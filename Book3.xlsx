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Port Operation Dashboard" sheetId="1" r:id="rId1"/>
  </sheets>
  <externalReferences>
    <externalReference r:id="rId2"/>
    <externalReference r:id="rId3"/>
  </externalReferences>
  <definedNames>
    <definedName name="LOAD_TYPE">'[2]CEMENTCLASS_LOAD TYPE'!$A$16:$A$25</definedName>
  </definedNames>
  <calcPr calcId="144525"/>
</workbook>
</file>

<file path=xl/calcChain.xml><?xml version="1.0" encoding="utf-8"?>
<calcChain xmlns="http://schemas.openxmlformats.org/spreadsheetml/2006/main">
  <c r="N37" i="1" l="1"/>
  <c r="D36" i="1"/>
  <c r="C36" i="1"/>
  <c r="G35" i="1"/>
  <c r="F35" i="1"/>
  <c r="D35" i="1"/>
  <c r="H34" i="1"/>
  <c r="G34" i="1"/>
  <c r="F34" i="1"/>
  <c r="D34" i="1"/>
  <c r="H33" i="1"/>
  <c r="F33" i="1"/>
  <c r="D33" i="1"/>
  <c r="K32" i="1"/>
  <c r="L31" i="1" a="1"/>
  <c r="L31" i="1" s="1"/>
  <c r="I31" i="1" a="1"/>
  <c r="I31" i="1" s="1"/>
  <c r="E31" i="1" a="1"/>
  <c r="E31" i="1" s="1"/>
  <c r="D31" i="1" a="1"/>
  <c r="D31" i="1" s="1"/>
  <c r="C31" i="1" a="1"/>
  <c r="C31" i="1" s="1"/>
  <c r="L30" i="1"/>
  <c r="L30" i="1" a="1"/>
  <c r="I30" i="1"/>
  <c r="I30" i="1" a="1"/>
  <c r="E30" i="1"/>
  <c r="E30" i="1" a="1"/>
  <c r="D30" i="1" a="1"/>
  <c r="D30" i="1" s="1"/>
  <c r="C30" i="1" a="1"/>
  <c r="C30" i="1" s="1"/>
  <c r="L29" i="1" a="1"/>
  <c r="L29" i="1" s="1"/>
  <c r="I29" i="1" a="1"/>
  <c r="I29" i="1" s="1"/>
  <c r="E29" i="1"/>
  <c r="D29" i="1"/>
  <c r="C29" i="1" a="1"/>
  <c r="C29" i="1" s="1"/>
  <c r="L28" i="1" a="1"/>
  <c r="L28" i="1" s="1"/>
  <c r="I28" i="1" a="1"/>
  <c r="I28" i="1" s="1"/>
  <c r="E28" i="1"/>
  <c r="D28" i="1"/>
  <c r="C28" i="1" a="1"/>
  <c r="C28" i="1" s="1"/>
  <c r="L27" i="1"/>
  <c r="L27" i="1" a="1"/>
  <c r="I27" i="1"/>
  <c r="E27" i="1"/>
  <c r="D27" i="1"/>
  <c r="C27" i="1" a="1"/>
  <c r="C27" i="1" s="1"/>
  <c r="N26" i="1" a="1"/>
  <c r="N26" i="1" s="1"/>
  <c r="L26" i="1"/>
  <c r="I26" i="1"/>
  <c r="L32" i="1" s="1"/>
  <c r="E26" i="1"/>
  <c r="D26" i="1"/>
  <c r="C26" i="1" a="1"/>
  <c r="C26" i="1" s="1"/>
  <c r="N25" i="1" a="1"/>
  <c r="N25" i="1" s="1"/>
  <c r="N27" i="1" s="1"/>
  <c r="E25" i="1"/>
  <c r="E32" i="1" s="1"/>
  <c r="D25" i="1"/>
  <c r="D25" i="1" a="1"/>
  <c r="C25" i="1" a="1"/>
  <c r="C25" i="1" s="1"/>
  <c r="C32" i="1" s="1"/>
  <c r="D24" i="1"/>
  <c r="C24" i="1"/>
  <c r="N23" i="1"/>
  <c r="L23" i="1"/>
  <c r="K23" i="1"/>
  <c r="H23" i="1"/>
  <c r="F23" i="1"/>
  <c r="I23" i="1" s="1"/>
  <c r="E23" i="1"/>
  <c r="C23" i="1"/>
  <c r="O20" i="1"/>
  <c r="N20" i="1"/>
  <c r="L20" i="1"/>
  <c r="K20" i="1"/>
  <c r="H20" i="1"/>
  <c r="F20" i="1"/>
  <c r="I20" i="1" s="1"/>
  <c r="E20" i="1"/>
  <c r="C20" i="1"/>
  <c r="N19" i="1"/>
  <c r="L19" i="1"/>
  <c r="K19" i="1"/>
  <c r="O19" i="1" s="1"/>
  <c r="I19" i="1"/>
  <c r="H19" i="1"/>
  <c r="F19" i="1"/>
  <c r="E19" i="1"/>
  <c r="C19" i="1"/>
  <c r="O18" i="1"/>
  <c r="N18" i="1"/>
  <c r="L18" i="1"/>
  <c r="K18" i="1"/>
  <c r="I18" i="1"/>
  <c r="H18" i="1"/>
  <c r="F18" i="1"/>
  <c r="E18" i="1"/>
  <c r="C18" i="1"/>
  <c r="N14" i="1"/>
  <c r="L14" i="1" a="1"/>
  <c r="L14" i="1" s="1"/>
  <c r="K14" i="1" a="1"/>
  <c r="K14" i="1" s="1"/>
  <c r="O14" i="1" s="1"/>
  <c r="E14" i="1"/>
  <c r="I14" i="1" s="1"/>
  <c r="D14" i="1"/>
  <c r="C14" i="1"/>
  <c r="G14" i="1" s="1"/>
  <c r="N13" i="1"/>
  <c r="L13" i="1" a="1"/>
  <c r="L13" i="1" s="1"/>
  <c r="K13" i="1" a="1"/>
  <c r="K13" i="1" s="1"/>
  <c r="O13" i="1" s="1"/>
  <c r="E13" i="1"/>
  <c r="D13" i="1"/>
  <c r="C13" i="1"/>
  <c r="F13" i="1" s="1"/>
  <c r="N12" i="1"/>
  <c r="L12" i="1" a="1"/>
  <c r="L12" i="1" s="1"/>
  <c r="K12" i="1" a="1"/>
  <c r="K12" i="1" s="1"/>
  <c r="O12" i="1" s="1"/>
  <c r="E12" i="1"/>
  <c r="D12" i="1"/>
  <c r="C12" i="1"/>
  <c r="G12" i="1" s="1"/>
  <c r="N11" i="1"/>
  <c r="L11" i="1" a="1"/>
  <c r="L11" i="1" s="1"/>
  <c r="K11" i="1" a="1"/>
  <c r="K11" i="1" s="1"/>
  <c r="O11" i="1" s="1"/>
  <c r="E11" i="1"/>
  <c r="D11" i="1"/>
  <c r="C11" i="1"/>
  <c r="F11" i="1" s="1"/>
  <c r="N10" i="1"/>
  <c r="L10" i="1" a="1"/>
  <c r="L10" i="1" s="1"/>
  <c r="K10" i="1" a="1"/>
  <c r="K10" i="1" s="1"/>
  <c r="O10" i="1" s="1"/>
  <c r="E10" i="1"/>
  <c r="I10" i="1" s="1"/>
  <c r="D10" i="1"/>
  <c r="C10" i="1"/>
  <c r="G10" i="1" s="1"/>
  <c r="N9" i="1"/>
  <c r="L9" i="1" a="1"/>
  <c r="L9" i="1" s="1"/>
  <c r="K9" i="1" a="1"/>
  <c r="K9" i="1" s="1"/>
  <c r="O9" i="1" s="1"/>
  <c r="E9" i="1"/>
  <c r="I9" i="1" s="1"/>
  <c r="D9" i="1"/>
  <c r="C9" i="1"/>
  <c r="F9" i="1" s="1"/>
  <c r="N8" i="1"/>
  <c r="L8" i="1" a="1"/>
  <c r="L8" i="1" s="1"/>
  <c r="K8" i="1" a="1"/>
  <c r="K8" i="1" s="1"/>
  <c r="O8" i="1" s="1"/>
  <c r="E8" i="1"/>
  <c r="D8" i="1"/>
  <c r="C8" i="1"/>
  <c r="G8" i="1" s="1"/>
  <c r="N7" i="1"/>
  <c r="L7" i="1" a="1"/>
  <c r="L7" i="1" s="1"/>
  <c r="K7" i="1" a="1"/>
  <c r="K7" i="1" s="1"/>
  <c r="O7" i="1" s="1"/>
  <c r="E7" i="1"/>
  <c r="D7" i="1"/>
  <c r="C7" i="1"/>
  <c r="F7" i="1" s="1"/>
  <c r="N6" i="1"/>
  <c r="L6" i="1" a="1"/>
  <c r="L6" i="1" s="1"/>
  <c r="K6" i="1" a="1"/>
  <c r="K6" i="1" s="1"/>
  <c r="O6" i="1" s="1"/>
  <c r="E6" i="1"/>
  <c r="I6" i="1" s="1"/>
  <c r="D6" i="1"/>
  <c r="C6" i="1"/>
  <c r="G6" i="1" s="1"/>
  <c r="N5" i="1"/>
  <c r="L5" i="1" a="1"/>
  <c r="L5" i="1" s="1"/>
  <c r="K5" i="1" a="1"/>
  <c r="K5" i="1" s="1"/>
  <c r="O5" i="1" s="1"/>
  <c r="E5" i="1"/>
  <c r="D5" i="1"/>
  <c r="C5" i="1"/>
  <c r="F5" i="1" s="1"/>
  <c r="N4" i="1"/>
  <c r="L4" i="1" a="1"/>
  <c r="L4" i="1" s="1"/>
  <c r="K4" i="1" a="1"/>
  <c r="K4" i="1" s="1"/>
  <c r="O4" i="1" s="1"/>
  <c r="E4" i="1"/>
  <c r="D4" i="1"/>
  <c r="C4" i="1"/>
  <c r="N32" i="1" s="1" a="1"/>
  <c r="N32" i="1" s="1"/>
  <c r="D32" i="1" l="1"/>
  <c r="I8" i="1"/>
  <c r="I12" i="1"/>
  <c r="G5" i="1"/>
  <c r="I5" i="1" s="1"/>
  <c r="G7" i="1"/>
  <c r="I7" i="1" s="1"/>
  <c r="G9" i="1"/>
  <c r="J9" i="1" s="1"/>
  <c r="G11" i="1"/>
  <c r="I11" i="1" s="1"/>
  <c r="G13" i="1"/>
  <c r="I13" i="1" s="1"/>
  <c r="E15" i="1"/>
  <c r="F4" i="1"/>
  <c r="H5" i="1"/>
  <c r="F6" i="1"/>
  <c r="J6" i="1" s="1"/>
  <c r="H7" i="1"/>
  <c r="F8" i="1"/>
  <c r="J8" i="1" s="1"/>
  <c r="H9" i="1"/>
  <c r="F10" i="1"/>
  <c r="J10" i="1" s="1"/>
  <c r="H11" i="1"/>
  <c r="F12" i="1"/>
  <c r="J12" i="1" s="1"/>
  <c r="F14" i="1"/>
  <c r="J14" i="1" s="1"/>
  <c r="N31" i="1" a="1"/>
  <c r="N31" i="1" s="1"/>
  <c r="N33" i="1"/>
  <c r="G4" i="1"/>
  <c r="G15" i="1" s="1"/>
  <c r="N29" i="1" a="1"/>
  <c r="N29" i="1" s="1"/>
  <c r="N30" i="1"/>
  <c r="N34" i="1" a="1"/>
  <c r="N34" i="1" s="1"/>
  <c r="H4" i="1"/>
  <c r="H6" i="1"/>
  <c r="H8" i="1"/>
  <c r="H10" i="1"/>
  <c r="H12" i="1"/>
  <c r="H14" i="1"/>
  <c r="N35" i="1" a="1"/>
  <c r="N35" i="1" s="1"/>
  <c r="N36" i="1" l="1"/>
  <c r="H13" i="1"/>
  <c r="H15" i="1" s="1"/>
  <c r="J13" i="1"/>
  <c r="F15" i="1"/>
  <c r="J4" i="1"/>
  <c r="J11" i="1"/>
  <c r="J7" i="1"/>
  <c r="J5" i="1"/>
  <c r="I4" i="1"/>
  <c r="I15" i="1" s="1"/>
  <c r="J15" i="1" l="1"/>
</calcChain>
</file>

<file path=xl/sharedStrings.xml><?xml version="1.0" encoding="utf-8"?>
<sst xmlns="http://schemas.openxmlformats.org/spreadsheetml/2006/main" count="89" uniqueCount="62">
  <si>
    <t>CEMENT LOADING</t>
  </si>
  <si>
    <t>Berth</t>
  </si>
  <si>
    <t>Vessel</t>
  </si>
  <si>
    <t>Voyage #</t>
  </si>
  <si>
    <t>Booking</t>
  </si>
  <si>
    <t>Dispatch</t>
  </si>
  <si>
    <t>Loaded</t>
  </si>
  <si>
    <t>Balance</t>
  </si>
  <si>
    <t>Progress</t>
  </si>
  <si>
    <t>Stockpile</t>
  </si>
  <si>
    <t>Time</t>
  </si>
  <si>
    <t>Remarks</t>
  </si>
  <si>
    <t>Deployed Equip.</t>
  </si>
  <si>
    <t>Activity time</t>
  </si>
  <si>
    <t>Berth 1</t>
  </si>
  <si>
    <t>Berth 2</t>
  </si>
  <si>
    <t>Berth 3</t>
  </si>
  <si>
    <t>Berth 4</t>
  </si>
  <si>
    <t>Berth 5</t>
  </si>
  <si>
    <t>Berth 6</t>
  </si>
  <si>
    <t>Berth 7</t>
  </si>
  <si>
    <t>Berth 8</t>
  </si>
  <si>
    <t>Berth 9</t>
  </si>
  <si>
    <t>Berth 10</t>
  </si>
  <si>
    <t>Jetty</t>
  </si>
  <si>
    <t>TOTAL</t>
  </si>
  <si>
    <t>ALPHA</t>
  </si>
  <si>
    <t>MATERIALS</t>
  </si>
  <si>
    <r>
      <t xml:space="preserve">DISCHARGE </t>
    </r>
    <r>
      <rPr>
        <b/>
        <u/>
        <sz val="10"/>
        <color theme="0"/>
        <rFont val="Calibri"/>
        <family val="2"/>
        <scheme val="minor"/>
      </rPr>
      <t>%</t>
    </r>
  </si>
  <si>
    <t>R1</t>
  </si>
  <si>
    <t>R2</t>
  </si>
  <si>
    <t>R3</t>
  </si>
  <si>
    <t>FOREIGN</t>
  </si>
  <si>
    <t xml:space="preserve">Trucking </t>
  </si>
  <si>
    <t>Daily</t>
  </si>
  <si>
    <t xml:space="preserve">Vessel Cement Loading </t>
  </si>
  <si>
    <t>Cement loading Daily Production</t>
  </si>
  <si>
    <t>SAFISCOR</t>
  </si>
  <si>
    <t>1st SHIFT</t>
  </si>
  <si>
    <t>LAPU-LAPU</t>
  </si>
  <si>
    <t>January</t>
  </si>
  <si>
    <t>July</t>
  </si>
  <si>
    <t>2ND SHIFT</t>
  </si>
  <si>
    <t>BADIE</t>
  </si>
  <si>
    <t>February</t>
  </si>
  <si>
    <t>August</t>
  </si>
  <si>
    <t>Total</t>
  </si>
  <si>
    <t>GEO</t>
  </si>
  <si>
    <t>March</t>
  </si>
  <si>
    <t>September</t>
  </si>
  <si>
    <t>TRUCKING (STOCKPILE)</t>
  </si>
  <si>
    <t>UCES</t>
  </si>
  <si>
    <t>April</t>
  </si>
  <si>
    <t>October</t>
  </si>
  <si>
    <t>APLUS</t>
  </si>
  <si>
    <t>May</t>
  </si>
  <si>
    <t>November</t>
  </si>
  <si>
    <t>FULACHE</t>
  </si>
  <si>
    <t>June</t>
  </si>
  <si>
    <t>December</t>
  </si>
  <si>
    <t>Supervisor</t>
  </si>
  <si>
    <t>Checker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</si>
</sst>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F800]dddd\,\ mmmm\ dd\,\ yyyy"/>
    <numFmt numFmtId="165" formatCode="_-* #,##0.00_-;\-* #,##0.00_-;_-* &quot;-&quot;??_-;_-@_-"/>
    <numFmt numFmtId="166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FFFF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b/>
      <sz val="11"/>
      <color theme="4" tint="0.39997558519241921"/>
      <name val="Calibri"/>
      <family val="2"/>
      <scheme val="minor"/>
    </font>
    <font>
      <sz val="10"/>
      <color theme="4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B0F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14999847407452621"/>
        <bgColor indexed="64"/>
      </patternFill>
    </fill>
  </fills>
  <borders count="18">
    <border>
      <left/>
      <right/>
      <top/>
      <bottom/>
      <diagonal/>
    </border>
    <border>
      <left/>
      <right style="hair">
        <color theme="0"/>
      </right>
      <top/>
      <bottom/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/>
      <bottom/>
      <diagonal/>
    </border>
    <border>
      <left/>
      <right/>
      <top style="hair">
        <color theme="0"/>
      </top>
      <bottom/>
      <diagonal/>
    </border>
    <border>
      <left/>
      <right/>
      <top/>
      <bottom style="hair">
        <color theme="0"/>
      </bottom>
      <diagonal/>
    </border>
    <border>
      <left/>
      <right style="hair">
        <color theme="0"/>
      </right>
      <top/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47">
    <xf numFmtId="0" fontId="0" fillId="0" borderId="0" xfId="0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left" vertical="top"/>
    </xf>
    <xf numFmtId="0" fontId="4" fillId="3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4" fillId="3" borderId="0" xfId="0" applyFont="1" applyFill="1" applyAlignment="1">
      <alignment horizontal="left" vertical="top"/>
    </xf>
    <xf numFmtId="0" fontId="4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right"/>
    </xf>
    <xf numFmtId="0" fontId="6" fillId="4" borderId="3" xfId="0" applyFont="1" applyFill="1" applyBorder="1" applyAlignment="1">
      <alignment horizontal="left"/>
    </xf>
    <xf numFmtId="0" fontId="6" fillId="4" borderId="3" xfId="0" applyFont="1" applyFill="1" applyBorder="1" applyAlignment="1">
      <alignment horizontal="center" vertical="top"/>
    </xf>
    <xf numFmtId="0" fontId="7" fillId="4" borderId="4" xfId="0" applyFont="1" applyFill="1" applyBorder="1" applyAlignment="1">
      <alignment horizontal="left"/>
    </xf>
    <xf numFmtId="0" fontId="7" fillId="5" borderId="5" xfId="0" applyFont="1" applyFill="1" applyBorder="1" applyAlignment="1">
      <alignment horizontal="center"/>
    </xf>
    <xf numFmtId="166" fontId="2" fillId="5" borderId="0" xfId="1" applyNumberFormat="1" applyFont="1" applyFill="1" applyBorder="1" applyAlignment="1">
      <alignment horizontal="left"/>
    </xf>
    <xf numFmtId="166" fontId="7" fillId="5" borderId="0" xfId="1" applyNumberFormat="1" applyFont="1" applyFill="1" applyBorder="1" applyAlignment="1">
      <alignment horizontal="left"/>
    </xf>
    <xf numFmtId="166" fontId="7" fillId="3" borderId="0" xfId="1" applyNumberFormat="1" applyFont="1" applyFill="1" applyBorder="1" applyAlignment="1">
      <alignment horizontal="left"/>
    </xf>
    <xf numFmtId="9" fontId="7" fillId="5" borderId="0" xfId="2" applyFont="1" applyFill="1" applyBorder="1" applyAlignment="1">
      <alignment vertical="center"/>
    </xf>
    <xf numFmtId="20" fontId="7" fillId="5" borderId="0" xfId="0" applyNumberFormat="1" applyFont="1" applyFill="1" applyAlignment="1">
      <alignment horizontal="left"/>
    </xf>
    <xf numFmtId="0" fontId="8" fillId="5" borderId="6" xfId="0" applyFont="1" applyFill="1" applyBorder="1" applyAlignment="1">
      <alignment horizontal="center" vertical="top"/>
    </xf>
    <xf numFmtId="0" fontId="7" fillId="5" borderId="0" xfId="0" applyFont="1" applyFill="1" applyAlignment="1">
      <alignment horizontal="left"/>
    </xf>
    <xf numFmtId="20" fontId="9" fillId="3" borderId="1" xfId="0" applyNumberFormat="1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166" fontId="2" fillId="2" borderId="0" xfId="1" applyNumberFormat="1" applyFont="1" applyFill="1" applyBorder="1" applyAlignment="1">
      <alignment horizontal="left"/>
    </xf>
    <xf numFmtId="166" fontId="7" fillId="2" borderId="0" xfId="1" applyNumberFormat="1" applyFont="1" applyFill="1" applyBorder="1" applyAlignment="1">
      <alignment horizontal="left"/>
    </xf>
    <xf numFmtId="0" fontId="8" fillId="5" borderId="0" xfId="0" applyFont="1" applyFill="1" applyAlignment="1">
      <alignment horizontal="center" vertical="top"/>
    </xf>
    <xf numFmtId="9" fontId="7" fillId="2" borderId="0" xfId="2" applyFont="1" applyFill="1" applyBorder="1" applyAlignment="1">
      <alignment vertical="center"/>
    </xf>
    <xf numFmtId="20" fontId="7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center" vertical="top"/>
    </xf>
    <xf numFmtId="0" fontId="4" fillId="6" borderId="5" xfId="0" applyFont="1" applyFill="1" applyBorder="1" applyAlignment="1">
      <alignment horizontal="center"/>
    </xf>
    <xf numFmtId="166" fontId="10" fillId="6" borderId="7" xfId="1" applyNumberFormat="1" applyFont="1" applyFill="1" applyBorder="1" applyAlignment="1">
      <alignment horizontal="center"/>
    </xf>
    <xf numFmtId="166" fontId="4" fillId="6" borderId="7" xfId="1" applyNumberFormat="1" applyFont="1" applyFill="1" applyBorder="1" applyAlignment="1">
      <alignment horizontal="center"/>
    </xf>
    <xf numFmtId="166" fontId="6" fillId="6" borderId="7" xfId="1" applyNumberFormat="1" applyFont="1" applyFill="1" applyBorder="1" applyAlignment="1">
      <alignment horizontal="right" vertical="center"/>
    </xf>
    <xf numFmtId="166" fontId="6" fillId="6" borderId="7" xfId="1" applyNumberFormat="1" applyFont="1" applyFill="1" applyBorder="1" applyAlignment="1">
      <alignment horizontal="center"/>
    </xf>
    <xf numFmtId="9" fontId="6" fillId="6" borderId="7" xfId="2" applyFont="1" applyFill="1" applyBorder="1" applyAlignment="1">
      <alignment horizontal="center"/>
    </xf>
    <xf numFmtId="20" fontId="7" fillId="6" borderId="7" xfId="0" applyNumberFormat="1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 vertical="top"/>
    </xf>
    <xf numFmtId="0" fontId="4" fillId="6" borderId="7" xfId="0" applyFont="1" applyFill="1" applyBorder="1" applyAlignment="1">
      <alignment horizontal="left"/>
    </xf>
    <xf numFmtId="20" fontId="4" fillId="6" borderId="8" xfId="0" applyNumberFormat="1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166" fontId="10" fillId="6" borderId="0" xfId="1" applyNumberFormat="1" applyFont="1" applyFill="1" applyBorder="1" applyAlignment="1">
      <alignment horizontal="center"/>
    </xf>
    <xf numFmtId="166" fontId="4" fillId="6" borderId="0" xfId="1" applyNumberFormat="1" applyFont="1" applyFill="1" applyBorder="1" applyAlignment="1">
      <alignment horizontal="center"/>
    </xf>
    <xf numFmtId="166" fontId="6" fillId="6" borderId="0" xfId="1" applyNumberFormat="1" applyFont="1" applyFill="1" applyBorder="1" applyAlignment="1">
      <alignment horizontal="right" vertical="center"/>
    </xf>
    <xf numFmtId="166" fontId="6" fillId="6" borderId="0" xfId="1" applyNumberFormat="1" applyFont="1" applyFill="1" applyBorder="1" applyAlignment="1">
      <alignment horizontal="center"/>
    </xf>
    <xf numFmtId="9" fontId="6" fillId="6" borderId="0" xfId="2" applyFont="1" applyFill="1" applyBorder="1" applyAlignment="1">
      <alignment horizontal="center"/>
    </xf>
    <xf numFmtId="20" fontId="7" fillId="6" borderId="0" xfId="0" applyNumberFormat="1" applyFont="1" applyFill="1" applyBorder="1" applyAlignment="1">
      <alignment horizontal="center"/>
    </xf>
    <xf numFmtId="0" fontId="4" fillId="6" borderId="0" xfId="0" applyFont="1" applyFill="1" applyBorder="1" applyAlignment="1">
      <alignment horizontal="left"/>
    </xf>
    <xf numFmtId="20" fontId="4" fillId="6" borderId="1" xfId="0" applyNumberFormat="1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right"/>
    </xf>
    <xf numFmtId="0" fontId="6" fillId="4" borderId="6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left"/>
    </xf>
    <xf numFmtId="0" fontId="7" fillId="4" borderId="10" xfId="0" applyFont="1" applyFill="1" applyBorder="1" applyAlignment="1">
      <alignment horizontal="left"/>
    </xf>
    <xf numFmtId="0" fontId="7" fillId="6" borderId="0" xfId="0" applyFont="1" applyFill="1" applyAlignment="1">
      <alignment horizontal="center"/>
    </xf>
    <xf numFmtId="166" fontId="2" fillId="6" borderId="0" xfId="1" applyNumberFormat="1" applyFont="1" applyFill="1" applyBorder="1" applyAlignment="1">
      <alignment horizontal="left"/>
    </xf>
    <xf numFmtId="0" fontId="6" fillId="6" borderId="0" xfId="2" applyNumberFormat="1" applyFont="1" applyFill="1" applyBorder="1" applyAlignment="1">
      <alignment horizontal="right" vertical="center"/>
    </xf>
    <xf numFmtId="9" fontId="6" fillId="6" borderId="0" xfId="2" applyFont="1" applyFill="1" applyBorder="1" applyAlignment="1">
      <alignment horizontal="center"/>
    </xf>
    <xf numFmtId="9" fontId="7" fillId="6" borderId="0" xfId="2" applyFont="1" applyFill="1" applyBorder="1" applyAlignment="1">
      <alignment vertical="center"/>
    </xf>
    <xf numFmtId="20" fontId="7" fillId="6" borderId="0" xfId="0" applyNumberFormat="1" applyFont="1" applyFill="1" applyAlignment="1">
      <alignment horizontal="center"/>
    </xf>
    <xf numFmtId="0" fontId="7" fillId="6" borderId="6" xfId="0" applyFont="1" applyFill="1" applyBorder="1" applyAlignment="1">
      <alignment horizontal="center" vertical="top"/>
    </xf>
    <xf numFmtId="0" fontId="7" fillId="6" borderId="0" xfId="0" applyFont="1" applyFill="1" applyAlignment="1">
      <alignment horizontal="left"/>
    </xf>
    <xf numFmtId="0" fontId="7" fillId="3" borderId="0" xfId="0" applyFont="1" applyFill="1" applyAlignment="1">
      <alignment horizontal="center"/>
    </xf>
    <xf numFmtId="166" fontId="2" fillId="3" borderId="0" xfId="1" applyNumberFormat="1" applyFont="1" applyFill="1" applyBorder="1" applyAlignment="1">
      <alignment horizontal="left"/>
    </xf>
    <xf numFmtId="0" fontId="6" fillId="3" borderId="0" xfId="2" applyNumberFormat="1" applyFont="1" applyFill="1" applyBorder="1" applyAlignment="1">
      <alignment horizontal="right" vertical="center"/>
    </xf>
    <xf numFmtId="9" fontId="6" fillId="3" borderId="0" xfId="2" applyFont="1" applyFill="1" applyBorder="1" applyAlignment="1">
      <alignment horizontal="center"/>
    </xf>
    <xf numFmtId="9" fontId="6" fillId="2" borderId="0" xfId="2" applyFont="1" applyFill="1" applyBorder="1" applyAlignment="1">
      <alignment horizontal="center"/>
    </xf>
    <xf numFmtId="166" fontId="6" fillId="2" borderId="0" xfId="1" applyNumberFormat="1" applyFont="1" applyFill="1" applyBorder="1" applyAlignment="1">
      <alignment horizontal="center"/>
    </xf>
    <xf numFmtId="20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/>
    </xf>
    <xf numFmtId="0" fontId="4" fillId="3" borderId="11" xfId="0" applyFont="1" applyFill="1" applyBorder="1" applyAlignment="1">
      <alignment horizontal="center"/>
    </xf>
    <xf numFmtId="0" fontId="7" fillId="6" borderId="0" xfId="0" applyFont="1" applyFill="1" applyAlignment="1">
      <alignment horizontal="center" vertical="top"/>
    </xf>
    <xf numFmtId="0" fontId="4" fillId="3" borderId="12" xfId="0" applyFont="1" applyFill="1" applyBorder="1" applyAlignment="1">
      <alignment horizontal="center"/>
    </xf>
    <xf numFmtId="166" fontId="2" fillId="3" borderId="0" xfId="1" applyNumberFormat="1" applyFont="1" applyFill="1" applyBorder="1" applyAlignment="1">
      <alignment horizontal="left"/>
    </xf>
    <xf numFmtId="9" fontId="6" fillId="3" borderId="0" xfId="2" applyFont="1" applyFill="1" applyBorder="1" applyAlignment="1">
      <alignment horizontal="center"/>
    </xf>
    <xf numFmtId="9" fontId="7" fillId="3" borderId="0" xfId="2" applyFont="1" applyFill="1" applyBorder="1" applyAlignment="1">
      <alignment vertical="center"/>
    </xf>
    <xf numFmtId="166" fontId="6" fillId="3" borderId="0" xfId="1" applyNumberFormat="1" applyFont="1" applyFill="1" applyBorder="1" applyAlignment="1">
      <alignment horizontal="center"/>
    </xf>
    <xf numFmtId="0" fontId="7" fillId="3" borderId="0" xfId="0" applyFont="1" applyFill="1" applyAlignment="1">
      <alignment horizontal="center" vertical="top"/>
    </xf>
    <xf numFmtId="0" fontId="6" fillId="7" borderId="0" xfId="0" applyFont="1" applyFill="1" applyAlignment="1">
      <alignment horizontal="center"/>
    </xf>
    <xf numFmtId="166" fontId="2" fillId="7" borderId="0" xfId="1" applyNumberFormat="1" applyFont="1" applyFill="1" applyBorder="1" applyAlignment="1">
      <alignment horizontal="left"/>
    </xf>
    <xf numFmtId="0" fontId="6" fillId="7" borderId="0" xfId="2" applyNumberFormat="1" applyFont="1" applyFill="1" applyBorder="1" applyAlignment="1">
      <alignment horizontal="right" vertical="center"/>
    </xf>
    <xf numFmtId="0" fontId="6" fillId="4" borderId="0" xfId="0" applyFont="1" applyFill="1"/>
    <xf numFmtId="0" fontId="6" fillId="4" borderId="0" xfId="0" applyFont="1" applyFill="1" applyAlignment="1">
      <alignment horizontal="right"/>
    </xf>
    <xf numFmtId="0" fontId="4" fillId="8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7" fillId="7" borderId="0" xfId="0" applyFont="1" applyFill="1" applyAlignment="1">
      <alignment horizontal="left"/>
    </xf>
    <xf numFmtId="166" fontId="7" fillId="7" borderId="0" xfId="1" applyNumberFormat="1" applyFont="1" applyFill="1" applyAlignment="1">
      <alignment horizontal="left"/>
    </xf>
    <xf numFmtId="166" fontId="7" fillId="7" borderId="0" xfId="1" applyNumberFormat="1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12" fillId="7" borderId="14" xfId="0" applyFont="1" applyFill="1" applyBorder="1" applyAlignment="1">
      <alignment horizontal="center" vertical="center"/>
    </xf>
    <xf numFmtId="0" fontId="12" fillId="7" borderId="14" xfId="0" applyFont="1" applyFill="1" applyBorder="1" applyAlignment="1">
      <alignment horizontal="center"/>
    </xf>
    <xf numFmtId="0" fontId="2" fillId="7" borderId="0" xfId="0" applyFont="1" applyFill="1" applyAlignment="1">
      <alignment horizontal="center" vertical="top"/>
    </xf>
    <xf numFmtId="0" fontId="7" fillId="3" borderId="12" xfId="0" applyFont="1" applyFill="1" applyBorder="1" applyAlignment="1">
      <alignment horizontal="left"/>
    </xf>
    <xf numFmtId="166" fontId="7" fillId="3" borderId="13" xfId="1" applyNumberFormat="1" applyFont="1" applyFill="1" applyBorder="1" applyAlignment="1">
      <alignment horizontal="center" vertical="top"/>
    </xf>
    <xf numFmtId="0" fontId="7" fillId="8" borderId="0" xfId="0" applyFont="1" applyFill="1" applyAlignment="1">
      <alignment horizontal="left"/>
    </xf>
    <xf numFmtId="166" fontId="7" fillId="8" borderId="0" xfId="1" applyNumberFormat="1" applyFont="1" applyFill="1" applyAlignment="1">
      <alignment horizontal="left"/>
    </xf>
    <xf numFmtId="166" fontId="7" fillId="8" borderId="0" xfId="1" applyNumberFormat="1" applyFont="1" applyFill="1" applyBorder="1" applyAlignment="1">
      <alignment horizontal="center"/>
    </xf>
    <xf numFmtId="166" fontId="7" fillId="3" borderId="0" xfId="1" applyNumberFormat="1" applyFont="1" applyFill="1" applyBorder="1" applyAlignment="1">
      <alignment horizontal="center"/>
    </xf>
    <xf numFmtId="0" fontId="6" fillId="3" borderId="0" xfId="0" applyFont="1" applyFill="1" applyAlignment="1">
      <alignment horizontal="left"/>
    </xf>
    <xf numFmtId="166" fontId="13" fillId="3" borderId="14" xfId="1" applyNumberFormat="1" applyFont="1" applyFill="1" applyBorder="1" applyAlignment="1">
      <alignment horizontal="center"/>
    </xf>
    <xf numFmtId="166" fontId="7" fillId="3" borderId="0" xfId="1" applyNumberFormat="1" applyFont="1" applyFill="1" applyAlignment="1">
      <alignment horizontal="center"/>
    </xf>
    <xf numFmtId="166" fontId="13" fillId="3" borderId="14" xfId="1" applyNumberFormat="1" applyFont="1" applyFill="1" applyBorder="1" applyAlignment="1">
      <alignment horizontal="left"/>
    </xf>
    <xf numFmtId="166" fontId="7" fillId="3" borderId="1" xfId="1" applyNumberFormat="1" applyFont="1" applyFill="1" applyBorder="1" applyAlignment="1">
      <alignment horizontal="center"/>
    </xf>
    <xf numFmtId="0" fontId="6" fillId="7" borderId="0" xfId="0" applyFont="1" applyFill="1" applyAlignment="1">
      <alignment horizontal="left"/>
    </xf>
    <xf numFmtId="166" fontId="13" fillId="7" borderId="14" xfId="1" applyNumberFormat="1" applyFont="1" applyFill="1" applyBorder="1" applyAlignment="1">
      <alignment horizontal="center"/>
    </xf>
    <xf numFmtId="166" fontId="7" fillId="7" borderId="0" xfId="1" applyNumberFormat="1" applyFont="1" applyFill="1" applyAlignment="1">
      <alignment horizontal="center"/>
    </xf>
    <xf numFmtId="166" fontId="13" fillId="7" borderId="14" xfId="1" applyNumberFormat="1" applyFont="1" applyFill="1" applyBorder="1" applyAlignment="1">
      <alignment horizontal="left"/>
    </xf>
    <xf numFmtId="166" fontId="7" fillId="7" borderId="1" xfId="1" applyNumberFormat="1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166" fontId="14" fillId="4" borderId="13" xfId="1" applyNumberFormat="1" applyFont="1" applyFill="1" applyBorder="1" applyAlignment="1">
      <alignment horizontal="center" vertical="top"/>
    </xf>
    <xf numFmtId="0" fontId="2" fillId="3" borderId="11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left"/>
    </xf>
    <xf numFmtId="166" fontId="7" fillId="3" borderId="15" xfId="1" applyNumberFormat="1" applyFont="1" applyFill="1" applyBorder="1" applyAlignment="1">
      <alignment horizontal="left" vertical="top"/>
    </xf>
    <xf numFmtId="166" fontId="7" fillId="3" borderId="13" xfId="1" applyNumberFormat="1" applyFont="1" applyFill="1" applyBorder="1" applyAlignment="1">
      <alignment horizontal="left" vertical="top"/>
    </xf>
    <xf numFmtId="0" fontId="6" fillId="7" borderId="0" xfId="0" applyFont="1" applyFill="1"/>
    <xf numFmtId="166" fontId="7" fillId="7" borderId="0" xfId="1" applyNumberFormat="1" applyFont="1" applyFill="1" applyBorder="1" applyAlignment="1"/>
    <xf numFmtId="166" fontId="7" fillId="7" borderId="1" xfId="1" applyNumberFormat="1" applyFont="1" applyFill="1" applyBorder="1" applyAlignment="1"/>
    <xf numFmtId="0" fontId="2" fillId="4" borderId="0" xfId="0" applyFont="1" applyFill="1" applyAlignment="1">
      <alignment horizontal="center"/>
    </xf>
    <xf numFmtId="166" fontId="2" fillId="4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166" fontId="15" fillId="4" borderId="0" xfId="0" applyNumberFormat="1" applyFont="1" applyFill="1" applyAlignment="1">
      <alignment horizontal="left"/>
    </xf>
    <xf numFmtId="166" fontId="7" fillId="4" borderId="0" xfId="0" applyNumberFormat="1" applyFont="1" applyFill="1" applyAlignment="1">
      <alignment horizontal="left" vertical="top"/>
    </xf>
    <xf numFmtId="166" fontId="7" fillId="5" borderId="13" xfId="1" applyNumberFormat="1" applyFont="1" applyFill="1" applyBorder="1" applyAlignment="1">
      <alignment horizontal="left" vertical="top"/>
    </xf>
    <xf numFmtId="0" fontId="4" fillId="4" borderId="0" xfId="0" applyFont="1" applyFill="1" applyAlignment="1">
      <alignment horizontal="center"/>
    </xf>
    <xf numFmtId="0" fontId="7" fillId="4" borderId="0" xfId="0" applyFont="1" applyFill="1" applyAlignment="1">
      <alignment horizontal="left"/>
    </xf>
    <xf numFmtId="0" fontId="3" fillId="4" borderId="0" xfId="0" applyFont="1" applyFill="1"/>
    <xf numFmtId="0" fontId="7" fillId="4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7" fillId="4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7" fillId="7" borderId="0" xfId="0" applyFont="1" applyFill="1" applyAlignment="1">
      <alignment horizontal="left"/>
    </xf>
    <xf numFmtId="0" fontId="7" fillId="8" borderId="16" xfId="0" applyFont="1" applyFill="1" applyBorder="1" applyAlignment="1">
      <alignment horizontal="left"/>
    </xf>
    <xf numFmtId="0" fontId="7" fillId="8" borderId="17" xfId="0" applyFont="1" applyFill="1" applyBorder="1" applyAlignment="1">
      <alignment horizontal="right" vertical="top"/>
    </xf>
    <xf numFmtId="0" fontId="7" fillId="7" borderId="0" xfId="0" applyFont="1" applyFill="1" applyAlignment="1">
      <alignment horizontal="center"/>
    </xf>
    <xf numFmtId="166" fontId="6" fillId="3" borderId="0" xfId="0" applyNumberFormat="1" applyFont="1" applyFill="1" applyAlignment="1">
      <alignment horizontal="left" vertical="top"/>
    </xf>
    <xf numFmtId="22" fontId="7" fillId="3" borderId="0" xfId="0" applyNumberFormat="1" applyFont="1" applyFill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top"/>
    </xf>
  </cellXfs>
  <cellStyles count="4">
    <cellStyle name="Comma" xfId="1" builtinId="3"/>
    <cellStyle name="Comma 2" xfId="3"/>
    <cellStyle name="Normal" xfId="0" builtinId="0"/>
    <cellStyle name="Percent" xfId="2" builtinId="5"/>
  </cellStyles>
  <dxfs count="4">
    <dxf>
      <font>
        <color theme="9"/>
      </font>
      <fill>
        <patternFill>
          <bgColor theme="1" tint="0.14996795556505021"/>
        </patternFill>
      </fill>
    </dxf>
    <dxf>
      <font>
        <color theme="9"/>
      </font>
      <fill>
        <patternFill>
          <bgColor theme="1" tint="0.14996795556505021"/>
        </patternFill>
      </fill>
    </dxf>
    <dxf>
      <font>
        <color theme="9"/>
      </font>
      <fill>
        <patternFill>
          <bgColor theme="1" tint="0.14996795556505021"/>
        </patternFill>
      </fill>
    </dxf>
    <dxf>
      <font>
        <color theme="5"/>
      </font>
      <fill>
        <patternFill>
          <bgColor theme="1" tint="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ownloads/input%20data%201.22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44\Users\Users\Public\TIME%20AND%20MOTION%20END%20OF%202024-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INPUT DATA"/>
      <sheetName val="SEDC PORT VESSELS"/>
      <sheetName val="Hauling For Billing"/>
      <sheetName val="Vessel Delay Monitoring"/>
      <sheetName val="Port Operation Dashboard"/>
      <sheetName val="STATEMENT OF FACTS"/>
      <sheetName val="Daily load"/>
      <sheetName val="Port Operation Dashboard (2)"/>
    </sheetNames>
    <sheetDataSet>
      <sheetData sheetId="0"/>
      <sheetData sheetId="1">
        <row r="1">
          <cell r="D1" t="str">
            <v>VESSEL</v>
          </cell>
          <cell r="E1" t="str">
            <v>voyage #</v>
          </cell>
          <cell r="N1" t="str">
            <v>TOTAL # OF BAGS</v>
          </cell>
          <cell r="AA1" t="str">
            <v># OF BAGS LOADED</v>
          </cell>
        </row>
        <row r="2">
          <cell r="D2" t="str">
            <v xml:space="preserve"> </v>
          </cell>
          <cell r="E2" t="str">
            <v xml:space="preserve"> </v>
          </cell>
          <cell r="N2" t="str">
            <v xml:space="preserve"> </v>
          </cell>
        </row>
        <row r="3">
          <cell r="E3" t="str">
            <v xml:space="preserve"> </v>
          </cell>
        </row>
        <row r="4">
          <cell r="A4">
            <v>46023</v>
          </cell>
          <cell r="AA4">
            <v>1219792</v>
          </cell>
        </row>
        <row r="5">
          <cell r="A5">
            <v>46081</v>
          </cell>
          <cell r="AA5">
            <v>1351343</v>
          </cell>
        </row>
        <row r="6">
          <cell r="A6">
            <v>46111</v>
          </cell>
          <cell r="AA6">
            <v>1778988</v>
          </cell>
        </row>
        <row r="7">
          <cell r="A7">
            <v>46142</v>
          </cell>
          <cell r="AA7">
            <v>1326652</v>
          </cell>
        </row>
        <row r="8">
          <cell r="A8">
            <v>46172</v>
          </cell>
          <cell r="AA8">
            <v>1836632</v>
          </cell>
        </row>
        <row r="9">
          <cell r="A9">
            <v>46179</v>
          </cell>
          <cell r="H9" t="str">
            <v>SAFISCOR</v>
          </cell>
          <cell r="N9">
            <v>247726</v>
          </cell>
          <cell r="Y9">
            <v>46174</v>
          </cell>
          <cell r="AA9">
            <v>247726</v>
          </cell>
        </row>
        <row r="10">
          <cell r="A10">
            <v>46179</v>
          </cell>
          <cell r="Y10">
            <v>46174</v>
          </cell>
          <cell r="AA10">
            <v>13737</v>
          </cell>
        </row>
        <row r="21">
          <cell r="A21">
            <v>46179</v>
          </cell>
          <cell r="D21" t="str">
            <v>LADY OF REMEDY</v>
          </cell>
          <cell r="E21">
            <v>1</v>
          </cell>
          <cell r="N21">
            <v>8900</v>
          </cell>
          <cell r="Y21">
            <v>46179</v>
          </cell>
          <cell r="AA21">
            <v>7000</v>
          </cell>
        </row>
        <row r="22">
          <cell r="AA22">
            <v>64000</v>
          </cell>
        </row>
        <row r="23">
          <cell r="A23">
            <v>46179</v>
          </cell>
          <cell r="D23" t="str">
            <v>SF ZENITH</v>
          </cell>
          <cell r="E23">
            <v>1</v>
          </cell>
          <cell r="N23">
            <v>77850</v>
          </cell>
          <cell r="AA23">
            <v>77850</v>
          </cell>
        </row>
        <row r="24">
          <cell r="A24">
            <v>46179</v>
          </cell>
          <cell r="D24" t="str">
            <v>SF ZENITH</v>
          </cell>
          <cell r="E24">
            <v>1</v>
          </cell>
          <cell r="H24" t="str">
            <v>SAFISCOR</v>
          </cell>
          <cell r="N24">
            <v>1000</v>
          </cell>
          <cell r="Y24">
            <v>46179</v>
          </cell>
          <cell r="AA24">
            <v>1000</v>
          </cell>
        </row>
        <row r="25">
          <cell r="A25">
            <v>46179</v>
          </cell>
          <cell r="D25" t="str">
            <v>LADY OF REMEDY</v>
          </cell>
          <cell r="E25">
            <v>1</v>
          </cell>
          <cell r="H25" t="str">
            <v>SAFISCOR</v>
          </cell>
          <cell r="N25">
            <v>1000</v>
          </cell>
          <cell r="Y25">
            <v>46179</v>
          </cell>
          <cell r="AA25">
            <v>1000</v>
          </cell>
        </row>
        <row r="26">
          <cell r="A26">
            <v>46179</v>
          </cell>
          <cell r="D26" t="str">
            <v>LADY OF REMEDY</v>
          </cell>
          <cell r="E26">
            <v>1</v>
          </cell>
          <cell r="H26" t="str">
            <v>SAFISCOR</v>
          </cell>
          <cell r="N26">
            <v>1000</v>
          </cell>
          <cell r="Y26">
            <v>46179</v>
          </cell>
          <cell r="AA26">
            <v>1000</v>
          </cell>
        </row>
        <row r="27">
          <cell r="A27">
            <v>46179</v>
          </cell>
          <cell r="D27" t="str">
            <v>SF ZENITH</v>
          </cell>
          <cell r="E27">
            <v>1</v>
          </cell>
          <cell r="H27" t="str">
            <v>GEO</v>
          </cell>
          <cell r="N27">
            <v>150</v>
          </cell>
          <cell r="Y27">
            <v>46179</v>
          </cell>
          <cell r="AA27">
            <v>150</v>
          </cell>
        </row>
        <row r="28">
          <cell r="A28">
            <v>46179</v>
          </cell>
          <cell r="D28" t="str">
            <v>SF ZENITH</v>
          </cell>
          <cell r="E28">
            <v>1</v>
          </cell>
          <cell r="H28" t="str">
            <v xml:space="preserve">GEO </v>
          </cell>
          <cell r="N28">
            <v>1000</v>
          </cell>
          <cell r="Y28">
            <v>46179</v>
          </cell>
          <cell r="AA28">
            <v>1000</v>
          </cell>
        </row>
        <row r="29">
          <cell r="A29">
            <v>46179</v>
          </cell>
          <cell r="D29" t="str">
            <v>SF ZENITH</v>
          </cell>
          <cell r="E29">
            <v>1</v>
          </cell>
          <cell r="H29" t="str">
            <v>SAFISCOR</v>
          </cell>
          <cell r="N29">
            <v>1000</v>
          </cell>
          <cell r="Y29">
            <v>46179</v>
          </cell>
          <cell r="AA29">
            <v>1000</v>
          </cell>
        </row>
        <row r="30">
          <cell r="A30">
            <v>46179</v>
          </cell>
          <cell r="D30" t="str">
            <v>LADY OF REMEDY</v>
          </cell>
          <cell r="E30">
            <v>1</v>
          </cell>
          <cell r="H30" t="str">
            <v>SAFISCOR</v>
          </cell>
          <cell r="N30">
            <v>1000</v>
          </cell>
          <cell r="Y30">
            <v>46179</v>
          </cell>
          <cell r="AA30">
            <v>1000</v>
          </cell>
        </row>
        <row r="31">
          <cell r="A31">
            <v>46179</v>
          </cell>
          <cell r="D31" t="str">
            <v>LADY OF REMEDY</v>
          </cell>
          <cell r="E31">
            <v>1</v>
          </cell>
          <cell r="H31" t="str">
            <v>SAFISCOR</v>
          </cell>
          <cell r="N31">
            <v>1000</v>
          </cell>
          <cell r="Y31">
            <v>46179</v>
          </cell>
          <cell r="AA31">
            <v>1000</v>
          </cell>
        </row>
        <row r="32">
          <cell r="A32">
            <v>46179</v>
          </cell>
          <cell r="D32" t="str">
            <v>LADY OF REMEDY</v>
          </cell>
          <cell r="E32">
            <v>1</v>
          </cell>
          <cell r="H32" t="str">
            <v>SAFISCOR</v>
          </cell>
          <cell r="N32">
            <v>1000</v>
          </cell>
        </row>
        <row r="33">
          <cell r="A33">
            <v>46179</v>
          </cell>
          <cell r="D33" t="str">
            <v>LADY OF REMEDY</v>
          </cell>
          <cell r="E33">
            <v>1</v>
          </cell>
          <cell r="H33" t="str">
            <v>BADIE</v>
          </cell>
          <cell r="N33">
            <v>1000</v>
          </cell>
          <cell r="Y33">
            <v>46179</v>
          </cell>
          <cell r="AA33">
            <v>1000</v>
          </cell>
        </row>
        <row r="34">
          <cell r="A34">
            <v>46180</v>
          </cell>
          <cell r="D34" t="str">
            <v>LADY OF REMEDY</v>
          </cell>
          <cell r="E34">
            <v>1</v>
          </cell>
          <cell r="H34" t="str">
            <v>SAFISCOR</v>
          </cell>
          <cell r="N34">
            <v>1000</v>
          </cell>
          <cell r="Y34">
            <v>46180</v>
          </cell>
          <cell r="AA34">
            <v>1000</v>
          </cell>
        </row>
        <row r="35">
          <cell r="A35">
            <v>46180</v>
          </cell>
          <cell r="D35" t="str">
            <v>LADY OF REMEDY</v>
          </cell>
          <cell r="E35">
            <v>1</v>
          </cell>
          <cell r="H35" t="str">
            <v>SAFISCOR</v>
          </cell>
          <cell r="N35">
            <v>1000</v>
          </cell>
          <cell r="Y35">
            <v>46180</v>
          </cell>
          <cell r="AA35">
            <v>1000</v>
          </cell>
        </row>
        <row r="36">
          <cell r="A36">
            <v>46179</v>
          </cell>
          <cell r="D36" t="str">
            <v>SF ZENITH</v>
          </cell>
          <cell r="E36">
            <v>1</v>
          </cell>
          <cell r="H36" t="str">
            <v>SAFISCOR</v>
          </cell>
          <cell r="N36">
            <v>1000</v>
          </cell>
          <cell r="Y36">
            <v>46179</v>
          </cell>
          <cell r="AA36">
            <v>1000</v>
          </cell>
        </row>
        <row r="37">
          <cell r="A37">
            <v>46180</v>
          </cell>
          <cell r="D37" t="str">
            <v>LADY OF REMEDY</v>
          </cell>
          <cell r="E37">
            <v>1</v>
          </cell>
          <cell r="H37" t="str">
            <v>GEO</v>
          </cell>
          <cell r="N37">
            <v>1100</v>
          </cell>
          <cell r="Y37">
            <v>46180</v>
          </cell>
          <cell r="AA37">
            <v>1100</v>
          </cell>
        </row>
        <row r="38">
          <cell r="A38">
            <v>46174</v>
          </cell>
          <cell r="D38" t="str">
            <v>LADY OF REMEDY</v>
          </cell>
          <cell r="E38">
            <v>1</v>
          </cell>
          <cell r="H38" t="str">
            <v>SAFISCOR</v>
          </cell>
          <cell r="N38">
            <v>1000</v>
          </cell>
          <cell r="Y38">
            <v>46180</v>
          </cell>
          <cell r="AA38">
            <v>1000</v>
          </cell>
        </row>
        <row r="39">
          <cell r="A39">
            <v>46179</v>
          </cell>
          <cell r="D39" t="str">
            <v>LADY OF REMEDY</v>
          </cell>
          <cell r="E39">
            <v>1</v>
          </cell>
          <cell r="H39" t="str">
            <v>SAFISCOR</v>
          </cell>
          <cell r="N39">
            <v>1000</v>
          </cell>
          <cell r="Y39">
            <v>46179</v>
          </cell>
          <cell r="AA39">
            <v>1000</v>
          </cell>
        </row>
        <row r="40">
          <cell r="A40">
            <v>46180</v>
          </cell>
          <cell r="D40" t="str">
            <v>LADY OF REMEDY</v>
          </cell>
          <cell r="E40">
            <v>1</v>
          </cell>
          <cell r="H40" t="str">
            <v>SAFISCOR</v>
          </cell>
          <cell r="N40">
            <v>1000</v>
          </cell>
          <cell r="Y40">
            <v>46180</v>
          </cell>
          <cell r="AA40">
            <v>1000</v>
          </cell>
        </row>
        <row r="41">
          <cell r="A41">
            <v>46180</v>
          </cell>
          <cell r="D41" t="str">
            <v>LADY OF REMEDY</v>
          </cell>
          <cell r="E41">
            <v>1</v>
          </cell>
          <cell r="H41" t="str">
            <v>SAFISCOR</v>
          </cell>
          <cell r="N41">
            <v>1050</v>
          </cell>
          <cell r="Y41">
            <v>46180</v>
          </cell>
          <cell r="AA41">
            <v>1050</v>
          </cell>
        </row>
        <row r="42">
          <cell r="A42">
            <v>46180</v>
          </cell>
          <cell r="D42" t="str">
            <v>LADY OF REMEDY</v>
          </cell>
          <cell r="E42">
            <v>1</v>
          </cell>
          <cell r="H42" t="str">
            <v>SAFISCOR</v>
          </cell>
          <cell r="N42">
            <v>1000</v>
          </cell>
          <cell r="Y42">
            <v>46180</v>
          </cell>
          <cell r="AA42">
            <v>1000</v>
          </cell>
        </row>
        <row r="43">
          <cell r="A43">
            <v>46180</v>
          </cell>
          <cell r="D43" t="str">
            <v>LADY OF REMEDY</v>
          </cell>
          <cell r="E43">
            <v>1</v>
          </cell>
          <cell r="H43" t="str">
            <v>SAFISCOR</v>
          </cell>
          <cell r="N43">
            <v>1000</v>
          </cell>
          <cell r="Y43">
            <v>46180</v>
          </cell>
          <cell r="AA43">
            <v>1000</v>
          </cell>
        </row>
        <row r="44">
          <cell r="A44">
            <v>46180</v>
          </cell>
          <cell r="D44" t="str">
            <v>LADY OF REMEDY</v>
          </cell>
          <cell r="E44">
            <v>1</v>
          </cell>
          <cell r="H44" t="str">
            <v>SAFISCOR</v>
          </cell>
          <cell r="N44">
            <v>1000</v>
          </cell>
          <cell r="Y44">
            <v>46180</v>
          </cell>
          <cell r="AA44">
            <v>1000</v>
          </cell>
        </row>
        <row r="45">
          <cell r="A45">
            <v>46180</v>
          </cell>
          <cell r="D45" t="str">
            <v>LADY OF REMEDY</v>
          </cell>
          <cell r="E45">
            <v>1</v>
          </cell>
          <cell r="H45" t="str">
            <v>SAFISCOR</v>
          </cell>
          <cell r="N45">
            <v>1000</v>
          </cell>
          <cell r="Y45">
            <v>46180</v>
          </cell>
          <cell r="AA45">
            <v>1000</v>
          </cell>
        </row>
        <row r="46">
          <cell r="A46">
            <v>46180</v>
          </cell>
          <cell r="D46" t="str">
            <v>LADY OF REMEDY</v>
          </cell>
          <cell r="E46">
            <v>1</v>
          </cell>
          <cell r="H46" t="str">
            <v>SAFISCOR</v>
          </cell>
          <cell r="N46">
            <v>1000</v>
          </cell>
          <cell r="Y46">
            <v>46180</v>
          </cell>
          <cell r="AA46">
            <v>1000</v>
          </cell>
        </row>
        <row r="47">
          <cell r="A47">
            <v>46180</v>
          </cell>
          <cell r="D47" t="str">
            <v>LADY OF REMEDY</v>
          </cell>
          <cell r="E47">
            <v>1</v>
          </cell>
          <cell r="H47" t="str">
            <v>SAFISCOR</v>
          </cell>
          <cell r="N47">
            <v>1000</v>
          </cell>
          <cell r="Y47">
            <v>46180</v>
          </cell>
          <cell r="AA47">
            <v>1000</v>
          </cell>
        </row>
        <row r="48">
          <cell r="A48">
            <v>46181</v>
          </cell>
          <cell r="D48" t="str">
            <v>HAN HORIZON</v>
          </cell>
          <cell r="E48">
            <v>1</v>
          </cell>
          <cell r="H48" t="str">
            <v>LAPU-LAPU</v>
          </cell>
          <cell r="N48">
            <v>1000</v>
          </cell>
          <cell r="Y48">
            <v>46181</v>
          </cell>
          <cell r="AA48">
            <v>1000</v>
          </cell>
        </row>
        <row r="49">
          <cell r="A49">
            <v>46181</v>
          </cell>
          <cell r="D49" t="str">
            <v>HAN HORIZON</v>
          </cell>
          <cell r="E49">
            <v>1</v>
          </cell>
          <cell r="H49" t="str">
            <v>GEO</v>
          </cell>
          <cell r="N49">
            <v>1000</v>
          </cell>
          <cell r="Y49">
            <v>46181</v>
          </cell>
          <cell r="AA49">
            <v>1000</v>
          </cell>
        </row>
        <row r="50">
          <cell r="A50">
            <v>46181</v>
          </cell>
          <cell r="D50" t="str">
            <v>HAN HORIZON</v>
          </cell>
          <cell r="E50">
            <v>1</v>
          </cell>
          <cell r="H50" t="str">
            <v>SAFISCOR</v>
          </cell>
          <cell r="N50">
            <v>1000</v>
          </cell>
          <cell r="Y50">
            <v>46182</v>
          </cell>
          <cell r="Z50">
            <v>1</v>
          </cell>
          <cell r="AA50">
            <v>1000</v>
          </cell>
        </row>
        <row r="51">
          <cell r="A51">
            <v>46181</v>
          </cell>
          <cell r="D51" t="str">
            <v>HAN HORIZON</v>
          </cell>
          <cell r="E51">
            <v>1</v>
          </cell>
          <cell r="H51" t="str">
            <v>SAFISCOR</v>
          </cell>
          <cell r="N51">
            <v>1000</v>
          </cell>
          <cell r="Y51">
            <v>46181</v>
          </cell>
          <cell r="AA51">
            <v>1000</v>
          </cell>
        </row>
        <row r="52">
          <cell r="A52">
            <v>46181</v>
          </cell>
          <cell r="D52" t="str">
            <v>HAN HORIZON</v>
          </cell>
          <cell r="E52">
            <v>1</v>
          </cell>
          <cell r="H52" t="str">
            <v>SAFISCOR</v>
          </cell>
          <cell r="N52">
            <v>1000</v>
          </cell>
          <cell r="Y52">
            <v>46181</v>
          </cell>
          <cell r="AA52">
            <v>1000</v>
          </cell>
        </row>
        <row r="53">
          <cell r="A53">
            <v>46181</v>
          </cell>
          <cell r="D53" t="str">
            <v>HAN HORIZON</v>
          </cell>
          <cell r="E53">
            <v>1</v>
          </cell>
          <cell r="H53" t="str">
            <v>SAFISCOR</v>
          </cell>
          <cell r="N53">
            <v>1000</v>
          </cell>
          <cell r="Y53">
            <v>46181</v>
          </cell>
          <cell r="AA53">
            <v>1000</v>
          </cell>
        </row>
        <row r="54">
          <cell r="A54">
            <v>46181</v>
          </cell>
          <cell r="D54" t="str">
            <v>HAN HORIZON</v>
          </cell>
          <cell r="E54">
            <v>1</v>
          </cell>
          <cell r="H54" t="str">
            <v>SAFISCOR</v>
          </cell>
          <cell r="N54">
            <v>1000</v>
          </cell>
          <cell r="Y54">
            <v>46181</v>
          </cell>
          <cell r="AA54">
            <v>1000</v>
          </cell>
        </row>
        <row r="55">
          <cell r="A55">
            <v>46181</v>
          </cell>
          <cell r="D55" t="str">
            <v>HAN HORIZON</v>
          </cell>
          <cell r="E55">
            <v>1</v>
          </cell>
          <cell r="H55" t="str">
            <v>APLUS</v>
          </cell>
          <cell r="N55">
            <v>1000</v>
          </cell>
          <cell r="Y55">
            <v>46181</v>
          </cell>
          <cell r="AA55">
            <v>1000</v>
          </cell>
        </row>
        <row r="56">
          <cell r="A56">
            <v>46181</v>
          </cell>
          <cell r="D56" t="str">
            <v>HAN HORIZON</v>
          </cell>
          <cell r="E56">
            <v>1</v>
          </cell>
          <cell r="H56" t="str">
            <v>SAFISCOR</v>
          </cell>
          <cell r="N56">
            <v>1000</v>
          </cell>
          <cell r="Y56">
            <v>46181</v>
          </cell>
          <cell r="AA56">
            <v>1000</v>
          </cell>
        </row>
        <row r="57">
          <cell r="A57">
            <v>46181</v>
          </cell>
          <cell r="D57" t="str">
            <v>HAN HORIZON</v>
          </cell>
          <cell r="E57">
            <v>1</v>
          </cell>
          <cell r="H57" t="str">
            <v>SAFISCOR</v>
          </cell>
          <cell r="N57">
            <v>1000</v>
          </cell>
          <cell r="Y57">
            <v>46181</v>
          </cell>
          <cell r="AA57">
            <v>1000</v>
          </cell>
        </row>
        <row r="58">
          <cell r="A58">
            <v>46181</v>
          </cell>
          <cell r="D58" t="str">
            <v>HAN HORIZON</v>
          </cell>
          <cell r="E58">
            <v>1</v>
          </cell>
          <cell r="H58" t="str">
            <v>SAFISCOR</v>
          </cell>
          <cell r="N58">
            <v>1000</v>
          </cell>
          <cell r="Y58">
            <v>46181</v>
          </cell>
          <cell r="AA58">
            <v>1000</v>
          </cell>
        </row>
        <row r="59">
          <cell r="A59">
            <v>46181</v>
          </cell>
          <cell r="D59" t="str">
            <v>HAN HORIZON</v>
          </cell>
          <cell r="E59">
            <v>1</v>
          </cell>
          <cell r="H59" t="str">
            <v>SAFISCOR</v>
          </cell>
          <cell r="N59">
            <v>1000</v>
          </cell>
          <cell r="Y59">
            <v>46181</v>
          </cell>
          <cell r="AA59">
            <v>1000</v>
          </cell>
        </row>
        <row r="60">
          <cell r="A60">
            <v>46181</v>
          </cell>
          <cell r="D60" t="str">
            <v>HAN HORIZON</v>
          </cell>
          <cell r="E60">
            <v>1</v>
          </cell>
          <cell r="H60" t="str">
            <v>SAFISCOR</v>
          </cell>
          <cell r="N60">
            <v>1000</v>
          </cell>
          <cell r="Y60">
            <v>46181</v>
          </cell>
          <cell r="AA60">
            <v>1000</v>
          </cell>
        </row>
        <row r="61">
          <cell r="A61">
            <v>46181</v>
          </cell>
          <cell r="D61" t="str">
            <v>HAN HORIZON</v>
          </cell>
          <cell r="E61">
            <v>1</v>
          </cell>
          <cell r="H61" t="str">
            <v>LAPU-LAPU</v>
          </cell>
          <cell r="N61">
            <v>1000</v>
          </cell>
          <cell r="Y61">
            <v>46181</v>
          </cell>
          <cell r="AA61">
            <v>1000</v>
          </cell>
        </row>
        <row r="62">
          <cell r="A62">
            <v>46181</v>
          </cell>
          <cell r="D62" t="str">
            <v>HAN HORIZON</v>
          </cell>
          <cell r="E62">
            <v>1</v>
          </cell>
          <cell r="H62" t="str">
            <v>LAPU-LAPU</v>
          </cell>
          <cell r="N62">
            <v>1000</v>
          </cell>
          <cell r="Y62">
            <v>46181</v>
          </cell>
          <cell r="AA62">
            <v>1000</v>
          </cell>
        </row>
        <row r="63">
          <cell r="A63">
            <v>46181</v>
          </cell>
          <cell r="D63" t="str">
            <v>HAN HORIZON</v>
          </cell>
          <cell r="E63">
            <v>1</v>
          </cell>
          <cell r="H63" t="str">
            <v>GEO</v>
          </cell>
          <cell r="N63">
            <v>1000</v>
          </cell>
          <cell r="Y63">
            <v>46181</v>
          </cell>
          <cell r="AA63">
            <v>1000</v>
          </cell>
        </row>
        <row r="64">
          <cell r="A64">
            <v>46181</v>
          </cell>
          <cell r="D64" t="str">
            <v>HAN HORIZON</v>
          </cell>
          <cell r="E64">
            <v>1</v>
          </cell>
          <cell r="H64" t="str">
            <v>APLUS</v>
          </cell>
          <cell r="N64">
            <v>1000</v>
          </cell>
          <cell r="Y64">
            <v>46181</v>
          </cell>
          <cell r="AA64">
            <v>1000</v>
          </cell>
        </row>
        <row r="65">
          <cell r="A65">
            <v>46181</v>
          </cell>
          <cell r="D65" t="str">
            <v>HAN HORIZON</v>
          </cell>
          <cell r="E65">
            <v>1</v>
          </cell>
          <cell r="H65" t="str">
            <v>LAPU-LAPU</v>
          </cell>
          <cell r="N65">
            <v>1000</v>
          </cell>
          <cell r="Y65">
            <v>46181</v>
          </cell>
          <cell r="AA65">
            <v>1000</v>
          </cell>
        </row>
        <row r="66">
          <cell r="A66">
            <v>46181</v>
          </cell>
          <cell r="D66" t="str">
            <v>HAN HORIZON</v>
          </cell>
          <cell r="E66">
            <v>1</v>
          </cell>
          <cell r="H66" t="str">
            <v>SAFISCOR</v>
          </cell>
          <cell r="N66">
            <v>1000</v>
          </cell>
          <cell r="Y66">
            <v>46181</v>
          </cell>
          <cell r="AA66">
            <v>1000</v>
          </cell>
        </row>
        <row r="67">
          <cell r="A67">
            <v>46181</v>
          </cell>
          <cell r="D67" t="str">
            <v>HAN HORIZON</v>
          </cell>
          <cell r="E67">
            <v>1</v>
          </cell>
          <cell r="H67" t="str">
            <v>SAFISCOR</v>
          </cell>
          <cell r="N67">
            <v>1000</v>
          </cell>
          <cell r="Y67">
            <v>46181</v>
          </cell>
          <cell r="AA67">
            <v>1000</v>
          </cell>
        </row>
        <row r="68">
          <cell r="A68">
            <v>46181</v>
          </cell>
          <cell r="D68" t="str">
            <v>HAN HORIZON</v>
          </cell>
          <cell r="E68">
            <v>1</v>
          </cell>
          <cell r="H68" t="str">
            <v>LAPU-LAPU</v>
          </cell>
          <cell r="N68">
            <v>1000</v>
          </cell>
          <cell r="Y68">
            <v>46181</v>
          </cell>
          <cell r="AA68">
            <v>1000</v>
          </cell>
        </row>
        <row r="69">
          <cell r="A69">
            <v>46181</v>
          </cell>
          <cell r="D69" t="str">
            <v>HAN HORIZON</v>
          </cell>
          <cell r="E69">
            <v>1</v>
          </cell>
          <cell r="H69" t="str">
            <v>SAFISCOR</v>
          </cell>
          <cell r="N69">
            <v>1000</v>
          </cell>
          <cell r="Y69">
            <v>46181</v>
          </cell>
          <cell r="AA69">
            <v>1000</v>
          </cell>
        </row>
        <row r="70">
          <cell r="A70">
            <v>46181</v>
          </cell>
          <cell r="D70" t="str">
            <v>HAN HORIZON</v>
          </cell>
          <cell r="E70">
            <v>1</v>
          </cell>
          <cell r="H70" t="str">
            <v>SAFISCOR</v>
          </cell>
          <cell r="N70">
            <v>1000</v>
          </cell>
          <cell r="Y70">
            <v>46181</v>
          </cell>
          <cell r="AA70">
            <v>1000</v>
          </cell>
        </row>
        <row r="71">
          <cell r="A71">
            <v>46181</v>
          </cell>
          <cell r="D71" t="str">
            <v>HAN HORIZON</v>
          </cell>
          <cell r="E71">
            <v>1</v>
          </cell>
          <cell r="H71" t="str">
            <v>SAFISCOR</v>
          </cell>
          <cell r="N71">
            <v>1000</v>
          </cell>
          <cell r="Y71">
            <v>46181</v>
          </cell>
          <cell r="AA71">
            <v>1000</v>
          </cell>
        </row>
        <row r="72">
          <cell r="A72">
            <v>46181</v>
          </cell>
          <cell r="D72" t="str">
            <v>EFG 5</v>
          </cell>
          <cell r="E72">
            <v>1</v>
          </cell>
          <cell r="H72" t="str">
            <v>SAFISCOR</v>
          </cell>
          <cell r="N72">
            <v>1000</v>
          </cell>
          <cell r="Y72">
            <v>46181</v>
          </cell>
          <cell r="AA72">
            <v>1000</v>
          </cell>
        </row>
        <row r="73">
          <cell r="A73">
            <v>46181</v>
          </cell>
          <cell r="D73" t="str">
            <v>HAN HORIZON</v>
          </cell>
          <cell r="E73">
            <v>1</v>
          </cell>
          <cell r="H73" t="str">
            <v>LAPU-LAPU</v>
          </cell>
          <cell r="N73">
            <v>1000</v>
          </cell>
          <cell r="Y73">
            <v>46181</v>
          </cell>
          <cell r="AA73">
            <v>1000</v>
          </cell>
        </row>
        <row r="74">
          <cell r="A74">
            <v>46181</v>
          </cell>
          <cell r="D74" t="str">
            <v>EFG 5</v>
          </cell>
          <cell r="E74">
            <v>1</v>
          </cell>
          <cell r="H74" t="str">
            <v>GEO</v>
          </cell>
          <cell r="N74">
            <v>1000</v>
          </cell>
          <cell r="Y74">
            <v>46181</v>
          </cell>
          <cell r="AA74">
            <v>1000</v>
          </cell>
        </row>
        <row r="75">
          <cell r="A75">
            <v>46181</v>
          </cell>
          <cell r="D75" t="str">
            <v>EFG 5</v>
          </cell>
          <cell r="E75">
            <v>1</v>
          </cell>
          <cell r="H75" t="str">
            <v>SAFISCOR</v>
          </cell>
          <cell r="N75">
            <v>1000</v>
          </cell>
          <cell r="Y75">
            <v>46181</v>
          </cell>
          <cell r="AA75">
            <v>1000</v>
          </cell>
        </row>
        <row r="76">
          <cell r="A76">
            <v>46181</v>
          </cell>
          <cell r="D76" t="str">
            <v>EFG 5</v>
          </cell>
          <cell r="E76">
            <v>1</v>
          </cell>
          <cell r="H76" t="str">
            <v>LAPU-LAPU</v>
          </cell>
          <cell r="N76">
            <v>1000</v>
          </cell>
          <cell r="Y76">
            <v>46181</v>
          </cell>
          <cell r="AA76">
            <v>1000</v>
          </cell>
        </row>
        <row r="77">
          <cell r="A77">
            <v>46181</v>
          </cell>
          <cell r="D77" t="str">
            <v>EFG 5</v>
          </cell>
          <cell r="E77">
            <v>1</v>
          </cell>
          <cell r="H77" t="str">
            <v>SAFISCOR</v>
          </cell>
          <cell r="N77">
            <v>1000</v>
          </cell>
          <cell r="Y77">
            <v>46181</v>
          </cell>
          <cell r="AA77">
            <v>1000</v>
          </cell>
        </row>
        <row r="78">
          <cell r="A78">
            <v>46181</v>
          </cell>
          <cell r="D78" t="str">
            <v>LADY OF COURAGE</v>
          </cell>
          <cell r="E78">
            <v>1</v>
          </cell>
          <cell r="H78" t="str">
            <v>SAFISCOR</v>
          </cell>
          <cell r="N78">
            <v>1000</v>
          </cell>
          <cell r="Y78">
            <v>46181</v>
          </cell>
          <cell r="AA78">
            <v>1000</v>
          </cell>
        </row>
        <row r="79">
          <cell r="A79">
            <v>46181</v>
          </cell>
          <cell r="D79" t="str">
            <v>STAR ILIGAN</v>
          </cell>
          <cell r="E79">
            <v>1</v>
          </cell>
          <cell r="H79" t="str">
            <v>SAFISCOR</v>
          </cell>
          <cell r="N79">
            <v>1000</v>
          </cell>
          <cell r="Y79">
            <v>46182</v>
          </cell>
          <cell r="Z79">
            <v>2</v>
          </cell>
          <cell r="AA79">
            <v>1000</v>
          </cell>
        </row>
        <row r="80">
          <cell r="A80">
            <v>46181</v>
          </cell>
          <cell r="D80" t="str">
            <v>LADY OF COURAGE</v>
          </cell>
          <cell r="E80">
            <v>1</v>
          </cell>
          <cell r="H80" t="str">
            <v>SAFISCOR</v>
          </cell>
          <cell r="N80">
            <v>1000</v>
          </cell>
          <cell r="Y80">
            <v>46181</v>
          </cell>
          <cell r="AA80">
            <v>1000</v>
          </cell>
        </row>
        <row r="81">
          <cell r="A81">
            <v>46181</v>
          </cell>
          <cell r="D81" t="str">
            <v>LADY OF COURAGE</v>
          </cell>
          <cell r="E81">
            <v>1</v>
          </cell>
          <cell r="H81" t="str">
            <v>SAFISCOR</v>
          </cell>
          <cell r="N81">
            <v>1000</v>
          </cell>
          <cell r="Y81">
            <v>46182</v>
          </cell>
          <cell r="Z81">
            <v>1</v>
          </cell>
          <cell r="AA81">
            <v>1000</v>
          </cell>
        </row>
        <row r="82">
          <cell r="A82">
            <v>46181</v>
          </cell>
          <cell r="D82" t="str">
            <v>STAR ILIGAN</v>
          </cell>
          <cell r="E82">
            <v>1</v>
          </cell>
          <cell r="H82" t="str">
            <v>SAFISCOR</v>
          </cell>
          <cell r="N82">
            <v>1000</v>
          </cell>
          <cell r="Y82">
            <v>46182</v>
          </cell>
          <cell r="Z82">
            <v>2</v>
          </cell>
          <cell r="AA82">
            <v>1000</v>
          </cell>
        </row>
        <row r="83">
          <cell r="A83">
            <v>46181</v>
          </cell>
          <cell r="D83" t="str">
            <v>LADY OF COURAGE</v>
          </cell>
          <cell r="E83">
            <v>1</v>
          </cell>
          <cell r="H83" t="str">
            <v>SAFISCOR</v>
          </cell>
          <cell r="N83">
            <v>1000</v>
          </cell>
          <cell r="Y83">
            <v>46181</v>
          </cell>
          <cell r="AA83">
            <v>1000</v>
          </cell>
        </row>
        <row r="84">
          <cell r="A84">
            <v>46181</v>
          </cell>
          <cell r="D84" t="str">
            <v>LADY OF COURAGE</v>
          </cell>
          <cell r="E84">
            <v>1</v>
          </cell>
          <cell r="H84" t="str">
            <v>SAFISCOR</v>
          </cell>
          <cell r="N84">
            <v>1000</v>
          </cell>
          <cell r="Y84">
            <v>46182</v>
          </cell>
          <cell r="Z84">
            <v>1</v>
          </cell>
          <cell r="AA84">
            <v>1000</v>
          </cell>
        </row>
        <row r="85">
          <cell r="A85">
            <v>46181</v>
          </cell>
          <cell r="D85" t="str">
            <v>STAR ILIGAN</v>
          </cell>
          <cell r="E85">
            <v>1</v>
          </cell>
          <cell r="H85" t="str">
            <v>SAFISCOR</v>
          </cell>
          <cell r="N85">
            <v>1000</v>
          </cell>
          <cell r="Y85">
            <v>46182</v>
          </cell>
          <cell r="Z85">
            <v>1</v>
          </cell>
          <cell r="AA85">
            <v>1000</v>
          </cell>
        </row>
        <row r="86">
          <cell r="A86">
            <v>46181</v>
          </cell>
          <cell r="D86" t="str">
            <v>LADY OF COURAGE</v>
          </cell>
          <cell r="E86">
            <v>1</v>
          </cell>
          <cell r="H86" t="str">
            <v>SAFISCOR</v>
          </cell>
          <cell r="N86">
            <v>1000</v>
          </cell>
          <cell r="Y86">
            <v>46181</v>
          </cell>
          <cell r="AA86">
            <v>1000</v>
          </cell>
        </row>
        <row r="87">
          <cell r="A87">
            <v>46181</v>
          </cell>
          <cell r="D87" t="str">
            <v>EFG 5</v>
          </cell>
          <cell r="E87">
            <v>1</v>
          </cell>
          <cell r="H87" t="str">
            <v>SAFISCOR</v>
          </cell>
          <cell r="N87">
            <v>1000</v>
          </cell>
          <cell r="Y87">
            <v>46181</v>
          </cell>
          <cell r="AA87">
            <v>1000</v>
          </cell>
        </row>
        <row r="88">
          <cell r="A88">
            <v>46181</v>
          </cell>
          <cell r="D88" t="str">
            <v>EFG 5</v>
          </cell>
          <cell r="E88">
            <v>1</v>
          </cell>
          <cell r="H88" t="str">
            <v>LAPU-LAPU</v>
          </cell>
          <cell r="N88">
            <v>1000</v>
          </cell>
          <cell r="Y88">
            <v>46181</v>
          </cell>
          <cell r="AA88">
            <v>1000</v>
          </cell>
        </row>
        <row r="89">
          <cell r="A89">
            <v>46181</v>
          </cell>
          <cell r="D89" t="str">
            <v>STAR ILIGAN</v>
          </cell>
          <cell r="E89">
            <v>1</v>
          </cell>
          <cell r="H89" t="str">
            <v>GEO</v>
          </cell>
          <cell r="N89">
            <v>1000</v>
          </cell>
          <cell r="Y89">
            <v>46182</v>
          </cell>
          <cell r="Z89">
            <v>1</v>
          </cell>
          <cell r="AA89">
            <v>1000</v>
          </cell>
        </row>
        <row r="90">
          <cell r="A90">
            <v>46181</v>
          </cell>
          <cell r="D90" t="str">
            <v>LADY OF COURAGE</v>
          </cell>
          <cell r="E90">
            <v>1</v>
          </cell>
          <cell r="H90" t="str">
            <v>LAPU-LAPU</v>
          </cell>
          <cell r="N90">
            <v>1000</v>
          </cell>
          <cell r="Y90">
            <v>46182</v>
          </cell>
          <cell r="Z90">
            <v>1</v>
          </cell>
          <cell r="AA90">
            <v>1000</v>
          </cell>
        </row>
        <row r="91">
          <cell r="A91">
            <v>46181</v>
          </cell>
          <cell r="D91" t="str">
            <v>LADY OF COURAGE</v>
          </cell>
          <cell r="E91">
            <v>1</v>
          </cell>
          <cell r="H91" t="str">
            <v>SAFISCOR</v>
          </cell>
          <cell r="N91">
            <v>1000</v>
          </cell>
          <cell r="Y91">
            <v>46182</v>
          </cell>
          <cell r="Z91">
            <v>2</v>
          </cell>
          <cell r="AA91">
            <v>1000</v>
          </cell>
        </row>
        <row r="92">
          <cell r="A92">
            <v>46181</v>
          </cell>
          <cell r="D92" t="str">
            <v>LADY OF COURAGE</v>
          </cell>
          <cell r="E92">
            <v>1</v>
          </cell>
          <cell r="H92" t="str">
            <v>SAFISCOR</v>
          </cell>
          <cell r="N92">
            <v>1000</v>
          </cell>
          <cell r="Y92">
            <v>46181</v>
          </cell>
          <cell r="AA92">
            <v>1000</v>
          </cell>
        </row>
        <row r="93">
          <cell r="A93">
            <v>46181</v>
          </cell>
          <cell r="D93" t="str">
            <v>LADY OF COURAGE</v>
          </cell>
          <cell r="E93">
            <v>1</v>
          </cell>
          <cell r="H93" t="str">
            <v>LAPU-LAPU</v>
          </cell>
          <cell r="N93">
            <v>1000</v>
          </cell>
          <cell r="Y93">
            <v>46181</v>
          </cell>
          <cell r="AA93">
            <v>1000</v>
          </cell>
        </row>
        <row r="94">
          <cell r="A94">
            <v>46181</v>
          </cell>
          <cell r="D94" t="str">
            <v>EFG 5</v>
          </cell>
          <cell r="E94">
            <v>1</v>
          </cell>
          <cell r="H94" t="str">
            <v>SAFISCOR</v>
          </cell>
          <cell r="N94">
            <v>1000</v>
          </cell>
          <cell r="Y94">
            <v>46181</v>
          </cell>
          <cell r="AA94">
            <v>1000</v>
          </cell>
        </row>
        <row r="95">
          <cell r="A95">
            <v>46181</v>
          </cell>
          <cell r="D95" t="str">
            <v>EFG 5</v>
          </cell>
          <cell r="E95">
            <v>1</v>
          </cell>
          <cell r="H95" t="str">
            <v>SAFISCOR</v>
          </cell>
          <cell r="N95">
            <v>1000</v>
          </cell>
          <cell r="Y95">
            <v>46181</v>
          </cell>
          <cell r="AA95">
            <v>1000</v>
          </cell>
        </row>
        <row r="96">
          <cell r="A96">
            <v>46181</v>
          </cell>
          <cell r="D96" t="str">
            <v>EFG 5</v>
          </cell>
          <cell r="E96">
            <v>1</v>
          </cell>
          <cell r="H96" t="str">
            <v>SAFISCOR</v>
          </cell>
          <cell r="N96">
            <v>1000</v>
          </cell>
          <cell r="Y96">
            <v>46181</v>
          </cell>
          <cell r="AA96">
            <v>1000</v>
          </cell>
        </row>
        <row r="97">
          <cell r="A97">
            <v>46181</v>
          </cell>
          <cell r="D97" t="str">
            <v>STAR ILIGAN</v>
          </cell>
          <cell r="E97">
            <v>1</v>
          </cell>
          <cell r="H97" t="str">
            <v>SAFISCOR</v>
          </cell>
          <cell r="N97">
            <v>1000</v>
          </cell>
          <cell r="Y97">
            <v>46182</v>
          </cell>
          <cell r="Z97">
            <v>1</v>
          </cell>
          <cell r="AA97">
            <v>1000</v>
          </cell>
        </row>
        <row r="98">
          <cell r="A98">
            <v>46181</v>
          </cell>
          <cell r="D98" t="str">
            <v>EFG 5</v>
          </cell>
          <cell r="E98">
            <v>1</v>
          </cell>
          <cell r="H98" t="str">
            <v>SAFISCOR</v>
          </cell>
          <cell r="N98">
            <v>1000</v>
          </cell>
          <cell r="Y98">
            <v>46181</v>
          </cell>
          <cell r="Z98">
            <v>1</v>
          </cell>
          <cell r="AA98">
            <v>1000</v>
          </cell>
        </row>
        <row r="99">
          <cell r="A99">
            <v>46181</v>
          </cell>
          <cell r="D99" t="str">
            <v>EFG 5</v>
          </cell>
          <cell r="E99">
            <v>1</v>
          </cell>
          <cell r="H99" t="str">
            <v>SAFISCOR</v>
          </cell>
          <cell r="N99">
            <v>1000</v>
          </cell>
          <cell r="Y99">
            <v>46182</v>
          </cell>
          <cell r="Z99">
            <v>1</v>
          </cell>
          <cell r="AA99">
            <v>1000</v>
          </cell>
        </row>
        <row r="100">
          <cell r="A100">
            <v>46181</v>
          </cell>
          <cell r="D100" t="str">
            <v>HAN HORIZON</v>
          </cell>
          <cell r="E100">
            <v>1</v>
          </cell>
          <cell r="H100" t="str">
            <v>SAFISCOR</v>
          </cell>
          <cell r="N100">
            <v>1000</v>
          </cell>
          <cell r="Y100">
            <v>46182</v>
          </cell>
          <cell r="Z100">
            <v>1</v>
          </cell>
          <cell r="AA100">
            <v>1000</v>
          </cell>
        </row>
        <row r="101">
          <cell r="A101">
            <v>46181</v>
          </cell>
          <cell r="D101" t="str">
            <v>EFG 5</v>
          </cell>
          <cell r="E101">
            <v>1</v>
          </cell>
          <cell r="H101" t="str">
            <v>GEO</v>
          </cell>
          <cell r="N101">
            <v>1000</v>
          </cell>
          <cell r="Y101">
            <v>46181</v>
          </cell>
          <cell r="AA101">
            <v>1000</v>
          </cell>
        </row>
        <row r="102">
          <cell r="A102">
            <v>46181</v>
          </cell>
          <cell r="D102" t="str">
            <v>STAR ILIGAN</v>
          </cell>
          <cell r="E102">
            <v>1</v>
          </cell>
          <cell r="H102" t="str">
            <v>SAFISCOR</v>
          </cell>
          <cell r="N102">
            <v>1000</v>
          </cell>
          <cell r="Y102">
            <v>46182</v>
          </cell>
          <cell r="Z102">
            <v>1</v>
          </cell>
          <cell r="AA102">
            <v>1000</v>
          </cell>
        </row>
        <row r="103">
          <cell r="A103">
            <v>46181</v>
          </cell>
          <cell r="D103" t="str">
            <v>EFG 5</v>
          </cell>
          <cell r="E103">
            <v>1</v>
          </cell>
          <cell r="H103" t="str">
            <v>SAFISCOR</v>
          </cell>
          <cell r="N103">
            <v>1000</v>
          </cell>
          <cell r="Y103">
            <v>46182</v>
          </cell>
          <cell r="Z103">
            <v>1</v>
          </cell>
          <cell r="AA103">
            <v>1000</v>
          </cell>
        </row>
        <row r="104">
          <cell r="A104">
            <v>46181</v>
          </cell>
          <cell r="D104" t="str">
            <v>EFG 5</v>
          </cell>
          <cell r="E104">
            <v>1</v>
          </cell>
          <cell r="H104" t="str">
            <v>SAFISCOR</v>
          </cell>
          <cell r="N104">
            <v>1000</v>
          </cell>
          <cell r="Y104">
            <v>46181</v>
          </cell>
          <cell r="AA104">
            <v>1000</v>
          </cell>
        </row>
        <row r="105">
          <cell r="A105">
            <v>46181</v>
          </cell>
          <cell r="D105" t="str">
            <v>STAR ILIGAN</v>
          </cell>
          <cell r="E105">
            <v>1</v>
          </cell>
          <cell r="H105" t="str">
            <v>SAFISCOR</v>
          </cell>
          <cell r="N105">
            <v>1000</v>
          </cell>
          <cell r="Y105">
            <v>46182</v>
          </cell>
          <cell r="Z105">
            <v>1</v>
          </cell>
          <cell r="AA105">
            <v>1000</v>
          </cell>
        </row>
        <row r="106">
          <cell r="A106">
            <v>46181</v>
          </cell>
          <cell r="D106" t="str">
            <v>EFG 5</v>
          </cell>
          <cell r="E106">
            <v>1</v>
          </cell>
          <cell r="H106" t="str">
            <v>SAFISCOR</v>
          </cell>
          <cell r="N106">
            <v>1000</v>
          </cell>
          <cell r="Y106">
            <v>46182</v>
          </cell>
          <cell r="Z106">
            <v>1</v>
          </cell>
          <cell r="AA106">
            <v>1000</v>
          </cell>
        </row>
        <row r="107">
          <cell r="A107">
            <v>46181</v>
          </cell>
          <cell r="D107" t="str">
            <v>EFG 5</v>
          </cell>
          <cell r="E107">
            <v>1</v>
          </cell>
          <cell r="H107" t="str">
            <v>SAFISCOR</v>
          </cell>
          <cell r="N107">
            <v>1000</v>
          </cell>
          <cell r="Y107">
            <v>46182</v>
          </cell>
          <cell r="Z107">
            <v>1</v>
          </cell>
          <cell r="AA107">
            <v>1000</v>
          </cell>
        </row>
        <row r="108">
          <cell r="A108">
            <v>46181</v>
          </cell>
          <cell r="D108" t="str">
            <v>EFG 5</v>
          </cell>
          <cell r="E108">
            <v>1</v>
          </cell>
          <cell r="H108" t="str">
            <v>LAPU-LAPU</v>
          </cell>
          <cell r="N108">
            <v>1000</v>
          </cell>
          <cell r="Y108">
            <v>46181</v>
          </cell>
          <cell r="AA108">
            <v>1000</v>
          </cell>
        </row>
        <row r="109">
          <cell r="A109">
            <v>46181</v>
          </cell>
          <cell r="D109" t="str">
            <v>EFG 5</v>
          </cell>
          <cell r="E109">
            <v>1</v>
          </cell>
          <cell r="H109" t="str">
            <v>LAPU-LAPU</v>
          </cell>
          <cell r="N109">
            <v>1000</v>
          </cell>
          <cell r="Y109">
            <v>46181</v>
          </cell>
          <cell r="AA109">
            <v>1000</v>
          </cell>
        </row>
        <row r="110">
          <cell r="A110">
            <v>46181</v>
          </cell>
          <cell r="D110" t="str">
            <v>EFG 5</v>
          </cell>
          <cell r="E110">
            <v>1</v>
          </cell>
          <cell r="H110" t="str">
            <v>LAPU-LAPU</v>
          </cell>
          <cell r="N110">
            <v>1000</v>
          </cell>
          <cell r="Y110">
            <v>46181</v>
          </cell>
          <cell r="AA110">
            <v>1000</v>
          </cell>
        </row>
        <row r="111">
          <cell r="A111">
            <v>46181</v>
          </cell>
          <cell r="D111" t="str">
            <v>EFG 5</v>
          </cell>
          <cell r="E111">
            <v>1</v>
          </cell>
          <cell r="H111" t="str">
            <v>SAFISCOR</v>
          </cell>
          <cell r="N111">
            <v>1000</v>
          </cell>
          <cell r="Y111">
            <v>46182</v>
          </cell>
          <cell r="Z111">
            <v>1</v>
          </cell>
          <cell r="AA111">
            <v>1000</v>
          </cell>
        </row>
        <row r="112">
          <cell r="A112">
            <v>46181</v>
          </cell>
          <cell r="D112" t="str">
            <v>EFG 5</v>
          </cell>
          <cell r="E112">
            <v>1</v>
          </cell>
          <cell r="H112" t="str">
            <v>LAPU-LAPU</v>
          </cell>
          <cell r="N112">
            <v>1000</v>
          </cell>
          <cell r="Y112">
            <v>46182</v>
          </cell>
          <cell r="Z112">
            <v>1</v>
          </cell>
          <cell r="AA112">
            <v>1000</v>
          </cell>
        </row>
        <row r="113">
          <cell r="A113">
            <v>46182</v>
          </cell>
          <cell r="D113" t="str">
            <v>EFG 5</v>
          </cell>
          <cell r="E113">
            <v>1</v>
          </cell>
          <cell r="H113" t="str">
            <v>LAPU-LAPU</v>
          </cell>
          <cell r="N113">
            <v>1000</v>
          </cell>
          <cell r="Y113">
            <v>46182</v>
          </cell>
          <cell r="Z113">
            <v>1</v>
          </cell>
          <cell r="AA113">
            <v>1000</v>
          </cell>
        </row>
        <row r="114">
          <cell r="A114">
            <v>46182</v>
          </cell>
          <cell r="D114" t="str">
            <v>STAR ILIGAN</v>
          </cell>
          <cell r="E114">
            <v>1</v>
          </cell>
          <cell r="H114" t="str">
            <v>SAFISCOR</v>
          </cell>
          <cell r="N114">
            <v>1000</v>
          </cell>
          <cell r="Y114">
            <v>46182</v>
          </cell>
          <cell r="Z114">
            <v>1</v>
          </cell>
          <cell r="AA114">
            <v>1000</v>
          </cell>
        </row>
        <row r="115">
          <cell r="A115">
            <v>46182</v>
          </cell>
          <cell r="D115" t="str">
            <v>LADY OF PEACE</v>
          </cell>
          <cell r="E115">
            <v>1</v>
          </cell>
          <cell r="H115" t="str">
            <v>SAFISCOR</v>
          </cell>
          <cell r="N115">
            <v>1000</v>
          </cell>
          <cell r="Y115">
            <v>45817</v>
          </cell>
          <cell r="Z115">
            <v>2</v>
          </cell>
          <cell r="AA115">
            <v>1000</v>
          </cell>
        </row>
        <row r="116">
          <cell r="A116">
            <v>46182</v>
          </cell>
          <cell r="D116" t="str">
            <v>HAN HORIZON</v>
          </cell>
          <cell r="E116">
            <v>1</v>
          </cell>
          <cell r="H116" t="str">
            <v>GEO</v>
          </cell>
          <cell r="N116">
            <v>1000</v>
          </cell>
          <cell r="Y116">
            <v>46182</v>
          </cell>
          <cell r="Z116">
            <v>1</v>
          </cell>
          <cell r="AA116">
            <v>1000</v>
          </cell>
        </row>
        <row r="117">
          <cell r="A117">
            <v>46182</v>
          </cell>
          <cell r="D117" t="str">
            <v>STAR ILIGAN</v>
          </cell>
          <cell r="E117">
            <v>1</v>
          </cell>
          <cell r="H117" t="str">
            <v>SAFISCOR</v>
          </cell>
          <cell r="N117">
            <v>1000</v>
          </cell>
          <cell r="Y117">
            <v>46182</v>
          </cell>
          <cell r="Z117">
            <v>1</v>
          </cell>
          <cell r="AA117">
            <v>1000</v>
          </cell>
        </row>
        <row r="118">
          <cell r="A118">
            <v>46182</v>
          </cell>
          <cell r="D118" t="str">
            <v>LADY OF COURAGE</v>
          </cell>
          <cell r="E118">
            <v>1</v>
          </cell>
          <cell r="H118" t="str">
            <v>SAFISCOR</v>
          </cell>
          <cell r="N118">
            <v>1000</v>
          </cell>
          <cell r="Y118">
            <v>46182</v>
          </cell>
          <cell r="Z118">
            <v>2</v>
          </cell>
          <cell r="AA118">
            <v>1000</v>
          </cell>
        </row>
        <row r="119">
          <cell r="A119">
            <v>46182</v>
          </cell>
          <cell r="D119" t="str">
            <v>LADY OF COURAGE</v>
          </cell>
          <cell r="E119">
            <v>1</v>
          </cell>
          <cell r="H119" t="str">
            <v>SAFISCOR</v>
          </cell>
          <cell r="N119">
            <v>1000</v>
          </cell>
          <cell r="Y119">
            <v>46182</v>
          </cell>
          <cell r="Z119">
            <v>1</v>
          </cell>
          <cell r="AA119">
            <v>1000</v>
          </cell>
        </row>
        <row r="120">
          <cell r="A120">
            <v>46182</v>
          </cell>
          <cell r="D120" t="str">
            <v>LADY OF PEACE</v>
          </cell>
          <cell r="E120">
            <v>1</v>
          </cell>
          <cell r="H120" t="str">
            <v>APLUS</v>
          </cell>
          <cell r="N120">
            <v>1000</v>
          </cell>
          <cell r="Y120">
            <v>46182</v>
          </cell>
          <cell r="Z120">
            <v>1</v>
          </cell>
          <cell r="AA120">
            <v>1000</v>
          </cell>
        </row>
        <row r="121">
          <cell r="A121">
            <v>46182</v>
          </cell>
          <cell r="D121" t="str">
            <v>STAR ILIGAN</v>
          </cell>
          <cell r="E121">
            <v>1</v>
          </cell>
          <cell r="H121" t="str">
            <v>SAFISCOR</v>
          </cell>
          <cell r="N121">
            <v>1000</v>
          </cell>
          <cell r="Y121">
            <v>46182</v>
          </cell>
          <cell r="Z121">
            <v>1</v>
          </cell>
          <cell r="AA121">
            <v>1000</v>
          </cell>
        </row>
        <row r="122">
          <cell r="A122">
            <v>46182</v>
          </cell>
          <cell r="D122" t="str">
            <v>LADY OF PEACE</v>
          </cell>
          <cell r="E122">
            <v>1</v>
          </cell>
          <cell r="H122" t="str">
            <v>SAFISCOR</v>
          </cell>
          <cell r="N122">
            <v>1000</v>
          </cell>
          <cell r="Y122">
            <v>46182</v>
          </cell>
          <cell r="Z122">
            <v>1</v>
          </cell>
          <cell r="AA122">
            <v>1000</v>
          </cell>
        </row>
        <row r="123">
          <cell r="A123">
            <v>46182</v>
          </cell>
          <cell r="D123" t="str">
            <v>LADY OF PEACE</v>
          </cell>
          <cell r="E123">
            <v>1</v>
          </cell>
          <cell r="H123" t="str">
            <v>GEO</v>
          </cell>
          <cell r="N123">
            <v>1000</v>
          </cell>
          <cell r="Y123">
            <v>46182</v>
          </cell>
          <cell r="Z123">
            <v>1</v>
          </cell>
          <cell r="AA123">
            <v>1000</v>
          </cell>
        </row>
        <row r="124">
          <cell r="A124">
            <v>46182</v>
          </cell>
          <cell r="D124" t="str">
            <v>LADY OF PEACE</v>
          </cell>
          <cell r="E124">
            <v>1</v>
          </cell>
          <cell r="H124" t="str">
            <v>SAFISCOR</v>
          </cell>
          <cell r="N124">
            <v>1000</v>
          </cell>
          <cell r="Y124">
            <v>46182</v>
          </cell>
          <cell r="Z124">
            <v>2</v>
          </cell>
          <cell r="AA124">
            <v>1000</v>
          </cell>
        </row>
        <row r="125">
          <cell r="A125">
            <v>46182</v>
          </cell>
          <cell r="D125" t="str">
            <v>LADY OF PEACE</v>
          </cell>
          <cell r="E125">
            <v>1</v>
          </cell>
          <cell r="H125" t="str">
            <v>SAFISCOR</v>
          </cell>
          <cell r="N125">
            <v>1000</v>
          </cell>
          <cell r="Y125">
            <v>46182</v>
          </cell>
          <cell r="Z125">
            <v>1</v>
          </cell>
          <cell r="AA125">
            <v>1000</v>
          </cell>
        </row>
        <row r="126">
          <cell r="A126">
            <v>46182</v>
          </cell>
          <cell r="D126" t="str">
            <v>HAN HORIZON</v>
          </cell>
          <cell r="E126">
            <v>1</v>
          </cell>
          <cell r="H126" t="str">
            <v>LAPU-LAPU</v>
          </cell>
          <cell r="N126">
            <v>1000</v>
          </cell>
          <cell r="Y126">
            <v>46182</v>
          </cell>
          <cell r="Z126">
            <v>1</v>
          </cell>
          <cell r="AA126">
            <v>1000</v>
          </cell>
        </row>
        <row r="127">
          <cell r="A127">
            <v>46182</v>
          </cell>
          <cell r="D127" t="str">
            <v>HAN HORIZON</v>
          </cell>
          <cell r="E127">
            <v>1</v>
          </cell>
          <cell r="H127" t="str">
            <v>SAFISCOR</v>
          </cell>
          <cell r="N127">
            <v>1000</v>
          </cell>
          <cell r="Y127">
            <v>46182</v>
          </cell>
          <cell r="Z127">
            <v>1</v>
          </cell>
          <cell r="AA127">
            <v>1000</v>
          </cell>
        </row>
        <row r="128">
          <cell r="A128">
            <v>46182</v>
          </cell>
          <cell r="D128" t="str">
            <v>HAN HORIZON</v>
          </cell>
          <cell r="E128">
            <v>1</v>
          </cell>
          <cell r="H128" t="str">
            <v>SAFISCOR</v>
          </cell>
          <cell r="N128">
            <v>1000</v>
          </cell>
          <cell r="Y128">
            <v>46182</v>
          </cell>
          <cell r="Z128">
            <v>1</v>
          </cell>
          <cell r="AA128">
            <v>1000</v>
          </cell>
        </row>
        <row r="129">
          <cell r="A129">
            <v>46182</v>
          </cell>
          <cell r="D129" t="str">
            <v>LADY OF PEACE</v>
          </cell>
          <cell r="E129">
            <v>1</v>
          </cell>
          <cell r="H129" t="str">
            <v>LAPU-LAPU</v>
          </cell>
          <cell r="N129">
            <v>1000</v>
          </cell>
          <cell r="Y129">
            <v>46182</v>
          </cell>
          <cell r="Z129">
            <v>1</v>
          </cell>
          <cell r="AA129">
            <v>1000</v>
          </cell>
        </row>
        <row r="130">
          <cell r="A130">
            <v>46182</v>
          </cell>
          <cell r="D130" t="str">
            <v>LADY OF PEACE</v>
          </cell>
          <cell r="E130">
            <v>1</v>
          </cell>
          <cell r="H130" t="str">
            <v>SAFISCOR</v>
          </cell>
          <cell r="N130">
            <v>1000</v>
          </cell>
          <cell r="Y130">
            <v>46182</v>
          </cell>
          <cell r="Z130">
            <v>2</v>
          </cell>
          <cell r="AA130">
            <v>1000</v>
          </cell>
        </row>
        <row r="131">
          <cell r="A131">
            <v>46182</v>
          </cell>
          <cell r="D131" t="str">
            <v>SALVACION VI</v>
          </cell>
          <cell r="E131">
            <v>1</v>
          </cell>
          <cell r="H131" t="str">
            <v>LAPU-LAPU</v>
          </cell>
          <cell r="N131">
            <v>1000</v>
          </cell>
          <cell r="Y131">
            <v>46182</v>
          </cell>
          <cell r="Z131">
            <v>1</v>
          </cell>
          <cell r="AA131">
            <v>1000</v>
          </cell>
        </row>
        <row r="132">
          <cell r="A132">
            <v>46182</v>
          </cell>
          <cell r="D132" t="str">
            <v>STAR ILIGAN</v>
          </cell>
          <cell r="E132">
            <v>1</v>
          </cell>
          <cell r="H132" t="str">
            <v>SAFISCOR</v>
          </cell>
          <cell r="N132">
            <v>1000</v>
          </cell>
          <cell r="Y132">
            <v>46182</v>
          </cell>
          <cell r="Z132">
            <v>2</v>
          </cell>
          <cell r="AA132">
            <v>1000</v>
          </cell>
        </row>
        <row r="133">
          <cell r="A133">
            <v>46182</v>
          </cell>
          <cell r="D133" t="str">
            <v>LADY OF PEACE</v>
          </cell>
          <cell r="E133">
            <v>1</v>
          </cell>
          <cell r="H133" t="str">
            <v>GEO</v>
          </cell>
          <cell r="N133">
            <v>1000</v>
          </cell>
          <cell r="Y133">
            <v>46182</v>
          </cell>
          <cell r="Z133">
            <v>2</v>
          </cell>
          <cell r="AA133">
            <v>1000</v>
          </cell>
        </row>
        <row r="134">
          <cell r="A134">
            <v>46182</v>
          </cell>
          <cell r="D134" t="str">
            <v>SALVACION VI</v>
          </cell>
          <cell r="E134">
            <v>1</v>
          </cell>
          <cell r="H134" t="str">
            <v>SAFISCOR</v>
          </cell>
          <cell r="N134">
            <v>1000</v>
          </cell>
          <cell r="Y134">
            <v>46182</v>
          </cell>
          <cell r="Z134">
            <v>1</v>
          </cell>
          <cell r="AA134">
            <v>1000</v>
          </cell>
        </row>
        <row r="135">
          <cell r="A135">
            <v>46182</v>
          </cell>
          <cell r="D135" t="str">
            <v>STAR ILIGAN</v>
          </cell>
          <cell r="E135">
            <v>1</v>
          </cell>
          <cell r="H135" t="str">
            <v>SAFISCOR</v>
          </cell>
          <cell r="N135">
            <v>1000</v>
          </cell>
          <cell r="Y135">
            <v>46182</v>
          </cell>
          <cell r="Z135">
            <v>2</v>
          </cell>
          <cell r="AA135">
            <v>1000</v>
          </cell>
        </row>
        <row r="136">
          <cell r="A136">
            <v>46182</v>
          </cell>
          <cell r="D136" t="str">
            <v>EFG 5</v>
          </cell>
          <cell r="E136">
            <v>1</v>
          </cell>
          <cell r="H136" t="str">
            <v>SAFISCOR</v>
          </cell>
          <cell r="N136">
            <v>1000</v>
          </cell>
          <cell r="Y136">
            <v>46182</v>
          </cell>
          <cell r="Z136">
            <v>1</v>
          </cell>
          <cell r="AA136">
            <v>1000</v>
          </cell>
        </row>
        <row r="137">
          <cell r="A137">
            <v>46182</v>
          </cell>
          <cell r="D137" t="str">
            <v>EFG 5</v>
          </cell>
          <cell r="E137">
            <v>1</v>
          </cell>
          <cell r="H137" t="str">
            <v>LAPU-LAPU</v>
          </cell>
          <cell r="N137">
            <v>1000</v>
          </cell>
          <cell r="Y137">
            <v>46182</v>
          </cell>
          <cell r="Z137">
            <v>1</v>
          </cell>
          <cell r="AA137">
            <v>1000</v>
          </cell>
        </row>
        <row r="138">
          <cell r="A138">
            <v>46182</v>
          </cell>
          <cell r="D138" t="str">
            <v>LADY OF COURAGE</v>
          </cell>
          <cell r="E138">
            <v>1</v>
          </cell>
          <cell r="H138" t="str">
            <v>LAPU-LAPU</v>
          </cell>
          <cell r="N138">
            <v>1000</v>
          </cell>
          <cell r="Y138">
            <v>46182</v>
          </cell>
          <cell r="Z138">
            <v>2</v>
          </cell>
          <cell r="AA138">
            <v>1000</v>
          </cell>
        </row>
        <row r="139">
          <cell r="A139">
            <v>46182</v>
          </cell>
          <cell r="D139" t="str">
            <v>HAN HORIZON</v>
          </cell>
          <cell r="E139">
            <v>1</v>
          </cell>
          <cell r="H139" t="str">
            <v>SAFISCOR</v>
          </cell>
          <cell r="N139">
            <v>1000</v>
          </cell>
          <cell r="Y139">
            <v>46182</v>
          </cell>
          <cell r="Z139">
            <v>1</v>
          </cell>
          <cell r="AA139">
            <v>1000</v>
          </cell>
        </row>
        <row r="140">
          <cell r="A140">
            <v>46182</v>
          </cell>
          <cell r="D140" t="str">
            <v>HAN HORIZON</v>
          </cell>
          <cell r="E140">
            <v>1</v>
          </cell>
          <cell r="H140" t="str">
            <v>SAFISCOR</v>
          </cell>
          <cell r="N140">
            <v>1000</v>
          </cell>
          <cell r="Y140">
            <v>46182</v>
          </cell>
          <cell r="Z140">
            <v>1</v>
          </cell>
          <cell r="AA140">
            <v>1000</v>
          </cell>
        </row>
        <row r="141">
          <cell r="A141">
            <v>46182</v>
          </cell>
          <cell r="D141" t="str">
            <v>LADY OF COURAGE</v>
          </cell>
          <cell r="E141">
            <v>1</v>
          </cell>
          <cell r="H141" t="str">
            <v>SAFISCOR</v>
          </cell>
          <cell r="N141">
            <v>1000</v>
          </cell>
          <cell r="Y141">
            <v>46183</v>
          </cell>
          <cell r="Z141">
            <v>1</v>
          </cell>
          <cell r="AA141">
            <v>1000</v>
          </cell>
        </row>
        <row r="142">
          <cell r="A142">
            <v>46181</v>
          </cell>
          <cell r="D142" t="str">
            <v>LADY OF COURAGE</v>
          </cell>
          <cell r="E142">
            <v>1</v>
          </cell>
          <cell r="H142" t="str">
            <v>LAPU-LAPU</v>
          </cell>
          <cell r="N142">
            <v>1000</v>
          </cell>
          <cell r="Y142">
            <v>46182</v>
          </cell>
          <cell r="Z142">
            <v>2</v>
          </cell>
          <cell r="AA142">
            <v>1000</v>
          </cell>
        </row>
        <row r="143">
          <cell r="A143">
            <v>46182</v>
          </cell>
          <cell r="D143" t="str">
            <v>EFG 5</v>
          </cell>
          <cell r="E143">
            <v>1</v>
          </cell>
          <cell r="H143" t="str">
            <v>SAFISCOR</v>
          </cell>
          <cell r="N143">
            <v>1000</v>
          </cell>
          <cell r="Y143">
            <v>46181</v>
          </cell>
          <cell r="AA143">
            <v>1000</v>
          </cell>
        </row>
        <row r="144">
          <cell r="A144">
            <v>46182</v>
          </cell>
          <cell r="D144" t="str">
            <v>EFG 5</v>
          </cell>
          <cell r="E144">
            <v>1</v>
          </cell>
          <cell r="H144" t="str">
            <v>SAFISCOR</v>
          </cell>
          <cell r="N144">
            <v>1000</v>
          </cell>
          <cell r="Y144">
            <v>46182</v>
          </cell>
          <cell r="Z144">
            <v>2</v>
          </cell>
          <cell r="AA144">
            <v>1000</v>
          </cell>
        </row>
        <row r="145">
          <cell r="A145">
            <v>46182</v>
          </cell>
          <cell r="D145" t="str">
            <v>HAN HORIZON</v>
          </cell>
          <cell r="E145">
            <v>1</v>
          </cell>
          <cell r="H145" t="str">
            <v>SAFISCOR</v>
          </cell>
          <cell r="N145">
            <v>1000</v>
          </cell>
          <cell r="Y145">
            <v>46182</v>
          </cell>
          <cell r="Z145">
            <v>2</v>
          </cell>
          <cell r="AA145">
            <v>1000</v>
          </cell>
        </row>
        <row r="146">
          <cell r="A146">
            <v>46182</v>
          </cell>
          <cell r="D146" t="str">
            <v>SALVACION VI</v>
          </cell>
          <cell r="E146">
            <v>1</v>
          </cell>
          <cell r="H146" t="str">
            <v>SAFISCOR</v>
          </cell>
          <cell r="N146">
            <v>1000</v>
          </cell>
          <cell r="Y146">
            <v>46182</v>
          </cell>
          <cell r="Z146">
            <v>2</v>
          </cell>
          <cell r="AA146">
            <v>1000</v>
          </cell>
        </row>
        <row r="147">
          <cell r="A147">
            <v>46182</v>
          </cell>
          <cell r="D147" t="str">
            <v>EFG 5</v>
          </cell>
          <cell r="E147">
            <v>1</v>
          </cell>
          <cell r="H147" t="str">
            <v>SAFISCOR</v>
          </cell>
          <cell r="N147">
            <v>1000</v>
          </cell>
          <cell r="Y147">
            <v>46182</v>
          </cell>
          <cell r="Z147">
            <v>2</v>
          </cell>
          <cell r="AA147">
            <v>1000</v>
          </cell>
        </row>
        <row r="148">
          <cell r="A148">
            <v>46182</v>
          </cell>
          <cell r="D148" t="str">
            <v>HAN HORIZON</v>
          </cell>
          <cell r="E148">
            <v>1</v>
          </cell>
          <cell r="H148" t="str">
            <v>LAPU-LAPU</v>
          </cell>
          <cell r="N148">
            <v>1000</v>
          </cell>
          <cell r="Y148">
            <v>46182</v>
          </cell>
          <cell r="Z148">
            <v>2</v>
          </cell>
          <cell r="AA148">
            <v>1000</v>
          </cell>
        </row>
        <row r="149">
          <cell r="A149">
            <v>46182</v>
          </cell>
          <cell r="D149" t="str">
            <v>EFG 5</v>
          </cell>
          <cell r="E149">
            <v>1</v>
          </cell>
          <cell r="H149" t="str">
            <v>LAPU-LAPU</v>
          </cell>
          <cell r="N149">
            <v>1000</v>
          </cell>
          <cell r="Y149">
            <v>46182</v>
          </cell>
          <cell r="Z149">
            <v>2</v>
          </cell>
          <cell r="AA149">
            <v>1000</v>
          </cell>
        </row>
        <row r="150">
          <cell r="A150">
            <v>46182</v>
          </cell>
          <cell r="D150" t="str">
            <v>STAR ILIGAN</v>
          </cell>
          <cell r="E150">
            <v>1</v>
          </cell>
          <cell r="H150" t="str">
            <v>GEO</v>
          </cell>
          <cell r="N150">
            <v>1000</v>
          </cell>
          <cell r="Y150">
            <v>46182</v>
          </cell>
          <cell r="Z150">
            <v>2</v>
          </cell>
          <cell r="AA150">
            <v>1000</v>
          </cell>
        </row>
        <row r="151">
          <cell r="A151">
            <v>46182</v>
          </cell>
          <cell r="D151" t="str">
            <v>SALVACION VI</v>
          </cell>
          <cell r="E151">
            <v>1</v>
          </cell>
          <cell r="H151" t="str">
            <v>LAPU-LAPU</v>
          </cell>
          <cell r="N151">
            <v>1000</v>
          </cell>
          <cell r="Y151">
            <v>46182</v>
          </cell>
          <cell r="Z151">
            <v>2</v>
          </cell>
          <cell r="AA151">
            <v>1000</v>
          </cell>
        </row>
        <row r="152">
          <cell r="A152">
            <v>46182</v>
          </cell>
          <cell r="D152" t="str">
            <v>SALVACION VI</v>
          </cell>
          <cell r="E152">
            <v>1</v>
          </cell>
          <cell r="H152" t="str">
            <v>LAPU-LAPU</v>
          </cell>
          <cell r="N152">
            <v>1000</v>
          </cell>
          <cell r="Y152">
            <v>46182</v>
          </cell>
          <cell r="Z152">
            <v>2</v>
          </cell>
          <cell r="AA152">
            <v>1000</v>
          </cell>
        </row>
        <row r="153">
          <cell r="A153">
            <v>46182</v>
          </cell>
          <cell r="D153" t="str">
            <v>STAR ILIGAN</v>
          </cell>
          <cell r="E153">
            <v>1</v>
          </cell>
          <cell r="H153" t="str">
            <v>SAFISCOR</v>
          </cell>
          <cell r="N153">
            <v>1000</v>
          </cell>
          <cell r="Y153">
            <v>46182</v>
          </cell>
          <cell r="Z153">
            <v>2</v>
          </cell>
          <cell r="AA153">
            <v>1000</v>
          </cell>
        </row>
        <row r="154">
          <cell r="A154">
            <v>46182</v>
          </cell>
          <cell r="D154" t="str">
            <v>STAR ILIGAN</v>
          </cell>
          <cell r="E154">
            <v>1</v>
          </cell>
          <cell r="H154" t="str">
            <v>SAFISCOR</v>
          </cell>
          <cell r="N154">
            <v>1000</v>
          </cell>
          <cell r="Y154">
            <v>46182</v>
          </cell>
          <cell r="Z154">
            <v>2</v>
          </cell>
          <cell r="AA154">
            <v>1000</v>
          </cell>
        </row>
        <row r="155">
          <cell r="A155">
            <v>46182</v>
          </cell>
          <cell r="D155" t="str">
            <v>HAN HORIZON</v>
          </cell>
          <cell r="E155">
            <v>1</v>
          </cell>
          <cell r="H155" t="str">
            <v>SAFISCOR</v>
          </cell>
          <cell r="N155">
            <v>1000</v>
          </cell>
          <cell r="Y155">
            <v>46183</v>
          </cell>
          <cell r="Z155">
            <v>1</v>
          </cell>
          <cell r="AA155">
            <v>1000</v>
          </cell>
        </row>
        <row r="156">
          <cell r="A156">
            <v>46182</v>
          </cell>
          <cell r="D156" t="str">
            <v>SALVACION VI</v>
          </cell>
          <cell r="E156">
            <v>1</v>
          </cell>
          <cell r="H156" t="str">
            <v>GEO</v>
          </cell>
          <cell r="N156">
            <v>1000</v>
          </cell>
          <cell r="Y156">
            <v>46182</v>
          </cell>
          <cell r="Z156">
            <v>2</v>
          </cell>
          <cell r="AA156">
            <v>1000</v>
          </cell>
        </row>
        <row r="157">
          <cell r="A157">
            <v>46182</v>
          </cell>
          <cell r="D157" t="str">
            <v>EFG 5</v>
          </cell>
          <cell r="E157">
            <v>1</v>
          </cell>
          <cell r="H157" t="str">
            <v>SAFISCOR</v>
          </cell>
          <cell r="N157">
            <v>1000</v>
          </cell>
          <cell r="Y157">
            <v>46182</v>
          </cell>
          <cell r="Z157">
            <v>2</v>
          </cell>
          <cell r="AA157">
            <v>1000</v>
          </cell>
        </row>
        <row r="158">
          <cell r="A158">
            <v>46182</v>
          </cell>
          <cell r="D158" t="str">
            <v>SALVACION VI</v>
          </cell>
          <cell r="E158">
            <v>1</v>
          </cell>
          <cell r="H158" t="str">
            <v>SAFISCOR</v>
          </cell>
          <cell r="N158">
            <v>1000</v>
          </cell>
          <cell r="Y158">
            <v>46183</v>
          </cell>
          <cell r="Z158">
            <v>2</v>
          </cell>
          <cell r="AA158">
            <v>1000</v>
          </cell>
        </row>
        <row r="159">
          <cell r="A159">
            <v>46182</v>
          </cell>
          <cell r="D159" t="str">
            <v>LADY OF PEACE</v>
          </cell>
          <cell r="E159">
            <v>1</v>
          </cell>
          <cell r="H159" t="str">
            <v>SAFISCOR</v>
          </cell>
          <cell r="N159">
            <v>1000</v>
          </cell>
          <cell r="Y159">
            <v>46183</v>
          </cell>
          <cell r="Z159">
            <v>1</v>
          </cell>
          <cell r="AA159">
            <v>1000</v>
          </cell>
        </row>
        <row r="160">
          <cell r="A160">
            <v>46182</v>
          </cell>
          <cell r="D160" t="str">
            <v>LADY OF PEACE</v>
          </cell>
          <cell r="E160">
            <v>1</v>
          </cell>
          <cell r="H160" t="str">
            <v>SAFISCOR</v>
          </cell>
          <cell r="N160">
            <v>1000</v>
          </cell>
          <cell r="Y160">
            <v>46183</v>
          </cell>
          <cell r="Z160">
            <v>1</v>
          </cell>
          <cell r="AA160">
            <v>1000</v>
          </cell>
        </row>
        <row r="161">
          <cell r="A161">
            <v>46182</v>
          </cell>
          <cell r="D161" t="str">
            <v>LADY OF PEACE</v>
          </cell>
          <cell r="E161">
            <v>1</v>
          </cell>
          <cell r="H161" t="str">
            <v>LAPU-LAPU</v>
          </cell>
          <cell r="N161">
            <v>1000</v>
          </cell>
          <cell r="Y161">
            <v>46182</v>
          </cell>
          <cell r="Z161">
            <v>2</v>
          </cell>
          <cell r="AA161">
            <v>1000</v>
          </cell>
        </row>
        <row r="162">
          <cell r="A162">
            <v>46182</v>
          </cell>
          <cell r="D162" t="str">
            <v>SALVACION VI</v>
          </cell>
          <cell r="E162">
            <v>1</v>
          </cell>
          <cell r="H162" t="str">
            <v>GEO</v>
          </cell>
          <cell r="N162">
            <v>1000</v>
          </cell>
          <cell r="Y162">
            <v>46183</v>
          </cell>
          <cell r="Z162">
            <v>1</v>
          </cell>
          <cell r="AA162">
            <v>1000</v>
          </cell>
        </row>
        <row r="163">
          <cell r="A163">
            <v>46182</v>
          </cell>
          <cell r="D163" t="str">
            <v>EFG 5</v>
          </cell>
          <cell r="E163">
            <v>1</v>
          </cell>
          <cell r="H163" t="str">
            <v>SAFISCOR</v>
          </cell>
          <cell r="N163">
            <v>1000</v>
          </cell>
          <cell r="Y163">
            <v>46182</v>
          </cell>
          <cell r="Z163">
            <v>2</v>
          </cell>
          <cell r="AA163">
            <v>1000</v>
          </cell>
        </row>
        <row r="164">
          <cell r="A164">
            <v>46182</v>
          </cell>
          <cell r="D164" t="str">
            <v>STAR ILIGAN</v>
          </cell>
          <cell r="E164">
            <v>1</v>
          </cell>
          <cell r="H164" t="str">
            <v>SAFISCOR</v>
          </cell>
          <cell r="N164">
            <v>1000</v>
          </cell>
          <cell r="Y164">
            <v>46182</v>
          </cell>
          <cell r="Z164">
            <v>2</v>
          </cell>
          <cell r="AA164">
            <v>1000</v>
          </cell>
        </row>
        <row r="165">
          <cell r="A165">
            <v>46182</v>
          </cell>
          <cell r="D165" t="str">
            <v>STAR ILIGAN</v>
          </cell>
          <cell r="E165">
            <v>1</v>
          </cell>
          <cell r="H165" t="str">
            <v>SAFISCOR</v>
          </cell>
          <cell r="N165">
            <v>1000</v>
          </cell>
          <cell r="Y165">
            <v>46182</v>
          </cell>
          <cell r="Z165">
            <v>2</v>
          </cell>
          <cell r="AA165">
            <v>1000</v>
          </cell>
        </row>
        <row r="166">
          <cell r="A166">
            <v>46182</v>
          </cell>
          <cell r="D166" t="str">
            <v>SALVACION VI</v>
          </cell>
          <cell r="E166">
            <v>1</v>
          </cell>
          <cell r="H166" t="str">
            <v>SAFISCOR</v>
          </cell>
          <cell r="N166">
            <v>1000</v>
          </cell>
          <cell r="Y166">
            <v>46183</v>
          </cell>
          <cell r="Z166">
            <v>1</v>
          </cell>
          <cell r="AA166">
            <v>1000</v>
          </cell>
        </row>
        <row r="167">
          <cell r="A167">
            <v>46182</v>
          </cell>
          <cell r="D167" t="str">
            <v>SALVACION VI</v>
          </cell>
          <cell r="E167">
            <v>1</v>
          </cell>
          <cell r="H167" t="str">
            <v>SAFISCOR</v>
          </cell>
          <cell r="N167">
            <v>1000</v>
          </cell>
          <cell r="Y167">
            <v>46183</v>
          </cell>
          <cell r="Z167">
            <v>1</v>
          </cell>
          <cell r="AA167">
            <v>1000</v>
          </cell>
        </row>
        <row r="168">
          <cell r="A168">
            <v>46182</v>
          </cell>
          <cell r="D168" t="str">
            <v>HAN HORIZON</v>
          </cell>
          <cell r="E168">
            <v>1</v>
          </cell>
          <cell r="H168" t="str">
            <v>SAFISCOR</v>
          </cell>
          <cell r="N168">
            <v>1000</v>
          </cell>
          <cell r="Y168">
            <v>46183</v>
          </cell>
          <cell r="Z168">
            <v>1</v>
          </cell>
          <cell r="AA168">
            <v>1000</v>
          </cell>
        </row>
        <row r="169">
          <cell r="A169">
            <v>46182</v>
          </cell>
          <cell r="D169" t="str">
            <v>HAN HORIZON</v>
          </cell>
          <cell r="E169">
            <v>1</v>
          </cell>
          <cell r="H169" t="str">
            <v>SAFISCOR</v>
          </cell>
          <cell r="N169">
            <v>1000</v>
          </cell>
          <cell r="Y169">
            <v>46183</v>
          </cell>
          <cell r="Z169">
            <v>1</v>
          </cell>
          <cell r="AA169">
            <v>1000</v>
          </cell>
        </row>
        <row r="170">
          <cell r="A170">
            <v>46182</v>
          </cell>
          <cell r="D170" t="str">
            <v>LADY OF PEACE</v>
          </cell>
          <cell r="E170">
            <v>1</v>
          </cell>
          <cell r="H170" t="str">
            <v>SAFISCOR</v>
          </cell>
          <cell r="N170">
            <v>1000</v>
          </cell>
          <cell r="Y170">
            <v>46183</v>
          </cell>
          <cell r="Z170">
            <v>1</v>
          </cell>
          <cell r="AA170">
            <v>1000</v>
          </cell>
        </row>
        <row r="171">
          <cell r="A171">
            <v>46182</v>
          </cell>
          <cell r="D171" t="str">
            <v>LADY OF PEACE</v>
          </cell>
          <cell r="E171">
            <v>1</v>
          </cell>
          <cell r="H171" t="str">
            <v>SAFISCOR</v>
          </cell>
          <cell r="N171">
            <v>500</v>
          </cell>
          <cell r="Y171">
            <v>46183</v>
          </cell>
          <cell r="Z171">
            <v>1</v>
          </cell>
          <cell r="AA171">
            <v>1000</v>
          </cell>
        </row>
        <row r="172">
          <cell r="A172">
            <v>46182</v>
          </cell>
          <cell r="D172" t="str">
            <v>LADY OF PEACE</v>
          </cell>
          <cell r="E172">
            <v>1</v>
          </cell>
          <cell r="H172" t="str">
            <v>SAFISCOR</v>
          </cell>
          <cell r="N172">
            <v>1000</v>
          </cell>
          <cell r="Y172">
            <v>46182</v>
          </cell>
          <cell r="Z172">
            <v>2</v>
          </cell>
          <cell r="AA172">
            <v>500</v>
          </cell>
        </row>
        <row r="173">
          <cell r="A173">
            <v>46182</v>
          </cell>
          <cell r="D173" t="str">
            <v>LADY OF PEACE</v>
          </cell>
          <cell r="E173">
            <v>1</v>
          </cell>
          <cell r="H173" t="str">
            <v>SAFISCOR</v>
          </cell>
          <cell r="N173">
            <v>1000</v>
          </cell>
          <cell r="Y173">
            <v>46182</v>
          </cell>
          <cell r="Z173">
            <v>2</v>
          </cell>
          <cell r="AA173">
            <v>1000</v>
          </cell>
        </row>
        <row r="174">
          <cell r="A174">
            <v>46182</v>
          </cell>
          <cell r="D174" t="str">
            <v>LADY OF PEACE</v>
          </cell>
          <cell r="E174">
            <v>1</v>
          </cell>
          <cell r="H174" t="str">
            <v>SAFISCOR</v>
          </cell>
          <cell r="N174">
            <v>1000</v>
          </cell>
          <cell r="Y174">
            <v>46182</v>
          </cell>
          <cell r="Z174">
            <v>2</v>
          </cell>
          <cell r="AA174">
            <v>1000</v>
          </cell>
        </row>
        <row r="175">
          <cell r="A175">
            <v>46182</v>
          </cell>
          <cell r="D175" t="str">
            <v>LADY OF PEACE</v>
          </cell>
          <cell r="E175">
            <v>1</v>
          </cell>
          <cell r="H175" t="str">
            <v>SAFISCOR</v>
          </cell>
          <cell r="N175">
            <v>500</v>
          </cell>
          <cell r="Y175">
            <v>46182</v>
          </cell>
          <cell r="Z175">
            <v>2</v>
          </cell>
          <cell r="AA175">
            <v>1000</v>
          </cell>
        </row>
        <row r="176">
          <cell r="A176">
            <v>46182</v>
          </cell>
          <cell r="D176" t="str">
            <v>LADY OF PEACE</v>
          </cell>
          <cell r="E176">
            <v>1</v>
          </cell>
          <cell r="H176" t="str">
            <v>SAFISCOR</v>
          </cell>
          <cell r="N176">
            <v>1000</v>
          </cell>
          <cell r="Y176">
            <v>46182</v>
          </cell>
          <cell r="Z176">
            <v>2</v>
          </cell>
          <cell r="AA176">
            <v>500</v>
          </cell>
        </row>
        <row r="177">
          <cell r="A177">
            <v>46182</v>
          </cell>
          <cell r="D177" t="str">
            <v>STAR ILIGAN</v>
          </cell>
          <cell r="E177">
            <v>1</v>
          </cell>
          <cell r="H177" t="str">
            <v>SAFISCOR</v>
          </cell>
          <cell r="N177">
            <v>1000</v>
          </cell>
          <cell r="Y177">
            <v>46182</v>
          </cell>
          <cell r="Z177">
            <v>2</v>
          </cell>
          <cell r="AA177">
            <v>1000</v>
          </cell>
        </row>
        <row r="178">
          <cell r="A178">
            <v>46182</v>
          </cell>
          <cell r="D178" t="str">
            <v>LADY OF COURAGE</v>
          </cell>
          <cell r="E178">
            <v>1</v>
          </cell>
          <cell r="H178" t="str">
            <v>SAFISCOR</v>
          </cell>
          <cell r="N178">
            <v>1000</v>
          </cell>
          <cell r="Y178">
            <v>46182</v>
          </cell>
          <cell r="Z178">
            <v>2</v>
          </cell>
          <cell r="AA178">
            <v>1000</v>
          </cell>
        </row>
        <row r="179">
          <cell r="A179">
            <v>46182</v>
          </cell>
          <cell r="D179" t="str">
            <v>LADY OF PEACE</v>
          </cell>
          <cell r="E179">
            <v>1</v>
          </cell>
          <cell r="H179" t="str">
            <v>LAPU-LAPU</v>
          </cell>
          <cell r="N179">
            <v>1000</v>
          </cell>
          <cell r="Y179">
            <v>46182</v>
          </cell>
          <cell r="Z179">
            <v>2</v>
          </cell>
          <cell r="AA179">
            <v>1000</v>
          </cell>
        </row>
        <row r="180">
          <cell r="A180">
            <v>46182</v>
          </cell>
          <cell r="D180" t="str">
            <v>SALVACION VI</v>
          </cell>
          <cell r="E180">
            <v>1</v>
          </cell>
          <cell r="H180" t="str">
            <v>SAFISCOR</v>
          </cell>
          <cell r="N180">
            <v>1000</v>
          </cell>
          <cell r="Y180">
            <v>46183</v>
          </cell>
          <cell r="Z180">
            <v>1</v>
          </cell>
          <cell r="AA180">
            <v>1000</v>
          </cell>
        </row>
        <row r="181">
          <cell r="A181">
            <v>46182</v>
          </cell>
          <cell r="D181" t="str">
            <v>LADY OF PEACE</v>
          </cell>
          <cell r="E181">
            <v>1</v>
          </cell>
          <cell r="H181" t="str">
            <v>SAFISCOR</v>
          </cell>
          <cell r="N181">
            <v>1000</v>
          </cell>
          <cell r="Y181">
            <v>46183</v>
          </cell>
          <cell r="Z181">
            <v>1</v>
          </cell>
          <cell r="AA181">
            <v>1000</v>
          </cell>
        </row>
        <row r="182">
          <cell r="A182">
            <v>46183</v>
          </cell>
          <cell r="D182" t="str">
            <v>LADY OF PEACE</v>
          </cell>
          <cell r="E182">
            <v>1</v>
          </cell>
          <cell r="H182" t="str">
            <v>SAFISCOR</v>
          </cell>
          <cell r="N182">
            <v>1000</v>
          </cell>
          <cell r="Y182">
            <v>46183</v>
          </cell>
          <cell r="Z182">
            <v>1</v>
          </cell>
          <cell r="AA182">
            <v>1000</v>
          </cell>
        </row>
        <row r="183">
          <cell r="A183">
            <v>46183</v>
          </cell>
          <cell r="D183" t="str">
            <v>LADY OF PEACE</v>
          </cell>
          <cell r="E183">
            <v>1</v>
          </cell>
          <cell r="H183" t="str">
            <v>SAFISCOR</v>
          </cell>
          <cell r="N183">
            <v>1000</v>
          </cell>
          <cell r="Y183">
            <v>46183</v>
          </cell>
          <cell r="Z183">
            <v>1</v>
          </cell>
          <cell r="AA183">
            <v>1000</v>
          </cell>
        </row>
        <row r="184">
          <cell r="A184">
            <v>46183</v>
          </cell>
          <cell r="D184" t="str">
            <v>LADY OF PEACE</v>
          </cell>
          <cell r="E184">
            <v>1</v>
          </cell>
          <cell r="H184" t="str">
            <v>SAFISCOR</v>
          </cell>
          <cell r="N184">
            <v>1000</v>
          </cell>
          <cell r="Y184">
            <v>46183</v>
          </cell>
          <cell r="Z184">
            <v>1</v>
          </cell>
          <cell r="AA184">
            <v>1000</v>
          </cell>
        </row>
        <row r="185">
          <cell r="A185">
            <v>46183</v>
          </cell>
          <cell r="D185" t="str">
            <v>LADY OF COURAGE</v>
          </cell>
          <cell r="E185">
            <v>1</v>
          </cell>
          <cell r="H185" t="str">
            <v>SAFISCOR</v>
          </cell>
          <cell r="N185">
            <v>1000</v>
          </cell>
          <cell r="Y185">
            <v>46183</v>
          </cell>
          <cell r="Z185">
            <v>1</v>
          </cell>
          <cell r="AA185">
            <v>1000</v>
          </cell>
        </row>
        <row r="186">
          <cell r="A186">
            <v>46183</v>
          </cell>
          <cell r="D186" t="str">
            <v>LADY OF COURAGE</v>
          </cell>
          <cell r="E186">
            <v>1</v>
          </cell>
          <cell r="H186" t="str">
            <v>APLUS</v>
          </cell>
          <cell r="N186">
            <v>1000</v>
          </cell>
          <cell r="Y186">
            <v>46183</v>
          </cell>
          <cell r="Z186">
            <v>1</v>
          </cell>
          <cell r="AA186">
            <v>1000</v>
          </cell>
        </row>
        <row r="187">
          <cell r="A187">
            <v>46183</v>
          </cell>
          <cell r="D187" t="str">
            <v>HAN HORIZON</v>
          </cell>
          <cell r="E187">
            <v>1</v>
          </cell>
          <cell r="H187" t="str">
            <v>SAFISCOR</v>
          </cell>
          <cell r="N187">
            <v>1000</v>
          </cell>
          <cell r="Y187">
            <v>46183</v>
          </cell>
          <cell r="Z187">
            <v>1</v>
          </cell>
          <cell r="AA187">
            <v>1000</v>
          </cell>
        </row>
        <row r="188">
          <cell r="A188">
            <v>46182</v>
          </cell>
          <cell r="D188" t="str">
            <v>LADY OF DIVINE GRACE</v>
          </cell>
          <cell r="E188">
            <v>1</v>
          </cell>
          <cell r="H188" t="str">
            <v>GEO</v>
          </cell>
          <cell r="N188">
            <v>1000</v>
          </cell>
          <cell r="Y188">
            <v>46183</v>
          </cell>
          <cell r="Z188">
            <v>1</v>
          </cell>
          <cell r="AA188">
            <v>1000</v>
          </cell>
        </row>
        <row r="189">
          <cell r="A189">
            <v>46183</v>
          </cell>
          <cell r="D189" t="str">
            <v>LADY OF DIVINE GRACE</v>
          </cell>
          <cell r="E189">
            <v>1</v>
          </cell>
          <cell r="H189" t="str">
            <v>SAFISCOR</v>
          </cell>
          <cell r="N189">
            <v>1000</v>
          </cell>
          <cell r="Y189">
            <v>46183</v>
          </cell>
          <cell r="Z189">
            <v>1</v>
          </cell>
          <cell r="AA189">
            <v>1000</v>
          </cell>
        </row>
        <row r="190">
          <cell r="A190">
            <v>46183</v>
          </cell>
          <cell r="D190" t="str">
            <v>SALVACION VI</v>
          </cell>
          <cell r="E190">
            <v>1</v>
          </cell>
          <cell r="H190" t="str">
            <v>SAFISCOR</v>
          </cell>
          <cell r="N190">
            <v>1000</v>
          </cell>
          <cell r="Y190">
            <v>46183</v>
          </cell>
          <cell r="Z190">
            <v>1</v>
          </cell>
          <cell r="AA190">
            <v>1000</v>
          </cell>
        </row>
        <row r="191">
          <cell r="A191">
            <v>46183</v>
          </cell>
          <cell r="D191" t="str">
            <v>SALVACION VI</v>
          </cell>
          <cell r="E191">
            <v>1</v>
          </cell>
          <cell r="H191" t="str">
            <v>SAFISCOR</v>
          </cell>
          <cell r="N191">
            <v>1000</v>
          </cell>
          <cell r="Y191">
            <v>46183</v>
          </cell>
          <cell r="Z191">
            <v>1</v>
          </cell>
          <cell r="AA191">
            <v>1000</v>
          </cell>
        </row>
        <row r="192">
          <cell r="A192">
            <v>46183</v>
          </cell>
          <cell r="D192" t="str">
            <v>HAN HORIZON</v>
          </cell>
          <cell r="E192">
            <v>1</v>
          </cell>
          <cell r="H192" t="str">
            <v>SAFISCOR</v>
          </cell>
          <cell r="N192">
            <v>500</v>
          </cell>
          <cell r="Y192">
            <v>46183</v>
          </cell>
          <cell r="Z192">
            <v>1</v>
          </cell>
          <cell r="AA192">
            <v>1000</v>
          </cell>
        </row>
        <row r="193">
          <cell r="A193">
            <v>46183</v>
          </cell>
          <cell r="D193" t="str">
            <v>SALVACION VI</v>
          </cell>
          <cell r="E193">
            <v>1</v>
          </cell>
          <cell r="H193" t="str">
            <v>LAPU-LAPU</v>
          </cell>
          <cell r="N193">
            <v>500</v>
          </cell>
          <cell r="Y193">
            <v>46183</v>
          </cell>
          <cell r="Z193">
            <v>1</v>
          </cell>
          <cell r="AA193">
            <v>500</v>
          </cell>
        </row>
        <row r="194">
          <cell r="A194">
            <v>46183</v>
          </cell>
          <cell r="D194" t="str">
            <v>SALVACION VI</v>
          </cell>
          <cell r="E194">
            <v>1</v>
          </cell>
          <cell r="H194" t="str">
            <v>LAPU-LAPU</v>
          </cell>
          <cell r="N194">
            <v>1000</v>
          </cell>
          <cell r="Y194">
            <v>46183</v>
          </cell>
          <cell r="Z194">
            <v>1</v>
          </cell>
          <cell r="AA194">
            <v>500</v>
          </cell>
        </row>
        <row r="195">
          <cell r="A195">
            <v>46183</v>
          </cell>
          <cell r="D195" t="str">
            <v>HAN HORIZON</v>
          </cell>
          <cell r="E195">
            <v>1</v>
          </cell>
          <cell r="H195" t="str">
            <v>SAFISCOR</v>
          </cell>
          <cell r="N195">
            <v>1000</v>
          </cell>
          <cell r="Y195">
            <v>46183</v>
          </cell>
          <cell r="Z195">
            <v>2</v>
          </cell>
          <cell r="AA195">
            <v>1000</v>
          </cell>
        </row>
        <row r="196">
          <cell r="A196">
            <v>46183</v>
          </cell>
          <cell r="D196" t="str">
            <v>LADY OF COURAGE</v>
          </cell>
          <cell r="E196">
            <v>1</v>
          </cell>
          <cell r="H196" t="str">
            <v>SAFISCOR</v>
          </cell>
          <cell r="N196">
            <v>1000</v>
          </cell>
          <cell r="Y196">
            <v>46183</v>
          </cell>
          <cell r="Z196">
            <v>1</v>
          </cell>
          <cell r="AA196">
            <v>1000</v>
          </cell>
        </row>
        <row r="197">
          <cell r="A197">
            <v>46183</v>
          </cell>
          <cell r="D197" t="str">
            <v>EASTERN CEBU</v>
          </cell>
          <cell r="E197">
            <v>1</v>
          </cell>
          <cell r="H197" t="str">
            <v>SAFISCOR</v>
          </cell>
          <cell r="N197">
            <v>1000</v>
          </cell>
          <cell r="Y197">
            <v>46183</v>
          </cell>
          <cell r="Z197">
            <v>1</v>
          </cell>
          <cell r="AA197">
            <v>1000</v>
          </cell>
        </row>
        <row r="198">
          <cell r="A198">
            <v>46183</v>
          </cell>
          <cell r="D198" t="str">
            <v>EASTERN CEBU</v>
          </cell>
          <cell r="E198">
            <v>1</v>
          </cell>
          <cell r="H198" t="str">
            <v>APLUS</v>
          </cell>
          <cell r="N198">
            <v>1000</v>
          </cell>
          <cell r="Y198">
            <v>46183</v>
          </cell>
          <cell r="Z198">
            <v>1</v>
          </cell>
          <cell r="AA198">
            <v>1000</v>
          </cell>
        </row>
        <row r="199">
          <cell r="A199">
            <v>46183</v>
          </cell>
          <cell r="D199" t="str">
            <v>EASTERN CEBU</v>
          </cell>
          <cell r="E199">
            <v>1</v>
          </cell>
          <cell r="H199" t="str">
            <v>GEO</v>
          </cell>
          <cell r="N199">
            <v>1000</v>
          </cell>
          <cell r="Y199">
            <v>46183</v>
          </cell>
          <cell r="Z199">
            <v>1</v>
          </cell>
          <cell r="AA199">
            <v>1000</v>
          </cell>
        </row>
        <row r="200">
          <cell r="A200">
            <v>46183</v>
          </cell>
          <cell r="D200" t="str">
            <v>EASTERN CEBU</v>
          </cell>
          <cell r="E200">
            <v>1</v>
          </cell>
          <cell r="H200" t="str">
            <v>LAPU-LAPU</v>
          </cell>
          <cell r="N200">
            <v>1000</v>
          </cell>
          <cell r="Y200">
            <v>46183</v>
          </cell>
          <cell r="Z200">
            <v>1</v>
          </cell>
          <cell r="AA200">
            <v>1000</v>
          </cell>
        </row>
        <row r="201">
          <cell r="A201">
            <v>46183</v>
          </cell>
          <cell r="D201" t="str">
            <v>HAN HORIZON</v>
          </cell>
          <cell r="E201">
            <v>1</v>
          </cell>
          <cell r="H201" t="str">
            <v>BADIE</v>
          </cell>
          <cell r="N201">
            <v>1000</v>
          </cell>
          <cell r="Y201">
            <v>46183</v>
          </cell>
          <cell r="Z201">
            <v>1</v>
          </cell>
          <cell r="AA201">
            <v>1000</v>
          </cell>
        </row>
        <row r="202">
          <cell r="A202">
            <v>46183</v>
          </cell>
          <cell r="D202" t="str">
            <v>EASTERN CEBU</v>
          </cell>
          <cell r="E202">
            <v>1</v>
          </cell>
          <cell r="H202" t="str">
            <v>SAFISCOR</v>
          </cell>
          <cell r="N202">
            <v>1000</v>
          </cell>
          <cell r="Y202">
            <v>46183</v>
          </cell>
          <cell r="Z202">
            <v>2</v>
          </cell>
          <cell r="AA202">
            <v>1000</v>
          </cell>
        </row>
        <row r="203">
          <cell r="A203">
            <v>46183</v>
          </cell>
          <cell r="D203" t="str">
            <v>EASTERN CEBU</v>
          </cell>
          <cell r="E203">
            <v>1</v>
          </cell>
          <cell r="H203" t="str">
            <v>SAFISCOR</v>
          </cell>
          <cell r="N203">
            <v>1000</v>
          </cell>
          <cell r="Y203">
            <v>46183</v>
          </cell>
          <cell r="Z203">
            <v>1</v>
          </cell>
          <cell r="AA203">
            <v>1000</v>
          </cell>
        </row>
        <row r="204">
          <cell r="A204">
            <v>46183</v>
          </cell>
          <cell r="D204" t="str">
            <v>EASTERN CEBU</v>
          </cell>
          <cell r="E204">
            <v>1</v>
          </cell>
          <cell r="H204" t="str">
            <v>SAFISCOR</v>
          </cell>
          <cell r="N204">
            <v>1000</v>
          </cell>
          <cell r="Y204">
            <v>46183</v>
          </cell>
          <cell r="Z204">
            <v>1</v>
          </cell>
          <cell r="AA204">
            <v>1000</v>
          </cell>
        </row>
        <row r="205">
          <cell r="A205">
            <v>46183</v>
          </cell>
          <cell r="D205" t="str">
            <v>EASTERN CEBU</v>
          </cell>
          <cell r="E205">
            <v>1</v>
          </cell>
          <cell r="H205" t="str">
            <v>LAPU-LAPU</v>
          </cell>
          <cell r="N205">
            <v>1000</v>
          </cell>
          <cell r="Y205">
            <v>46184</v>
          </cell>
          <cell r="Z205">
            <v>1</v>
          </cell>
          <cell r="AA205">
            <v>1000</v>
          </cell>
        </row>
        <row r="206">
          <cell r="A206">
            <v>46183</v>
          </cell>
          <cell r="D206" t="str">
            <v>EASTERN CEBU</v>
          </cell>
          <cell r="E206">
            <v>1</v>
          </cell>
          <cell r="H206" t="str">
            <v>GEO</v>
          </cell>
          <cell r="N206">
            <v>1000</v>
          </cell>
          <cell r="Y206">
            <v>46183</v>
          </cell>
          <cell r="Z206">
            <v>2</v>
          </cell>
          <cell r="AA206">
            <v>1000</v>
          </cell>
        </row>
        <row r="207">
          <cell r="A207">
            <v>46183</v>
          </cell>
          <cell r="D207" t="str">
            <v>SALVACION VI</v>
          </cell>
          <cell r="E207">
            <v>1</v>
          </cell>
          <cell r="H207" t="str">
            <v>SAFISCOR</v>
          </cell>
          <cell r="N207">
            <v>1000</v>
          </cell>
          <cell r="Y207">
            <v>46183</v>
          </cell>
          <cell r="Z207">
            <v>2</v>
          </cell>
          <cell r="AA207">
            <v>1000</v>
          </cell>
        </row>
        <row r="208">
          <cell r="A208">
            <v>46183</v>
          </cell>
          <cell r="D208" t="str">
            <v>SALVACION VI</v>
          </cell>
          <cell r="E208">
            <v>1</v>
          </cell>
          <cell r="H208" t="str">
            <v>SAFISCOR</v>
          </cell>
          <cell r="N208">
            <v>1000</v>
          </cell>
          <cell r="Y208">
            <v>46183</v>
          </cell>
          <cell r="Z208">
            <v>2</v>
          </cell>
          <cell r="AA208">
            <v>1000</v>
          </cell>
        </row>
        <row r="209">
          <cell r="A209">
            <v>46183</v>
          </cell>
          <cell r="D209" t="str">
            <v>LADY OF DIVINE GRACE</v>
          </cell>
          <cell r="E209">
            <v>1</v>
          </cell>
          <cell r="H209" t="str">
            <v>APLUS</v>
          </cell>
          <cell r="N209">
            <v>1000</v>
          </cell>
          <cell r="Y209">
            <v>46183</v>
          </cell>
          <cell r="Z209">
            <v>1</v>
          </cell>
          <cell r="AA209">
            <v>1000</v>
          </cell>
        </row>
        <row r="210">
          <cell r="A210">
            <v>46183</v>
          </cell>
          <cell r="D210" t="str">
            <v>EASTERN CEBU</v>
          </cell>
          <cell r="E210">
            <v>1</v>
          </cell>
          <cell r="H210" t="str">
            <v>LAPU-LAPU</v>
          </cell>
          <cell r="N210">
            <v>1000</v>
          </cell>
          <cell r="Y210">
            <v>46183</v>
          </cell>
          <cell r="Z210">
            <v>2</v>
          </cell>
          <cell r="AA210">
            <v>1000</v>
          </cell>
        </row>
        <row r="211">
          <cell r="A211">
            <v>46183</v>
          </cell>
          <cell r="D211" t="str">
            <v>HAN HORIZON</v>
          </cell>
          <cell r="E211">
            <v>1</v>
          </cell>
          <cell r="H211" t="str">
            <v>SAFISCOR</v>
          </cell>
          <cell r="N211">
            <v>1000</v>
          </cell>
          <cell r="Y211">
            <v>46183</v>
          </cell>
          <cell r="Z211">
            <v>2</v>
          </cell>
          <cell r="AA211">
            <v>1000</v>
          </cell>
        </row>
        <row r="212">
          <cell r="A212">
            <v>46183</v>
          </cell>
          <cell r="D212" t="str">
            <v>HAN HORIZON</v>
          </cell>
          <cell r="E212">
            <v>1</v>
          </cell>
          <cell r="H212" t="str">
            <v>LAPU-LAPU</v>
          </cell>
          <cell r="N212">
            <v>1000</v>
          </cell>
          <cell r="Y212">
            <v>46183</v>
          </cell>
          <cell r="Z212">
            <v>1</v>
          </cell>
          <cell r="AA212">
            <v>1000</v>
          </cell>
        </row>
        <row r="213">
          <cell r="A213">
            <v>46183</v>
          </cell>
          <cell r="D213" t="str">
            <v>NAPOLI</v>
          </cell>
          <cell r="E213">
            <v>1</v>
          </cell>
          <cell r="H213" t="str">
            <v>SAFISCOR</v>
          </cell>
          <cell r="N213">
            <v>1000</v>
          </cell>
          <cell r="Y213">
            <v>46183</v>
          </cell>
          <cell r="Z213">
            <v>1</v>
          </cell>
          <cell r="AA213">
            <v>1000</v>
          </cell>
        </row>
        <row r="214">
          <cell r="A214">
            <v>46183</v>
          </cell>
          <cell r="D214" t="str">
            <v>NAPOLI</v>
          </cell>
          <cell r="E214">
            <v>1</v>
          </cell>
          <cell r="H214" t="str">
            <v>GEO</v>
          </cell>
          <cell r="N214">
            <v>1000</v>
          </cell>
          <cell r="Y214">
            <v>46183</v>
          </cell>
          <cell r="Z214">
            <v>2</v>
          </cell>
          <cell r="AA214">
            <v>1000</v>
          </cell>
        </row>
        <row r="215">
          <cell r="A215">
            <v>46183</v>
          </cell>
          <cell r="D215" t="str">
            <v>NAPOLI</v>
          </cell>
          <cell r="E215">
            <v>1</v>
          </cell>
          <cell r="H215" t="str">
            <v>SAFISCOR</v>
          </cell>
          <cell r="N215">
            <v>1000</v>
          </cell>
          <cell r="Y215">
            <v>46183</v>
          </cell>
          <cell r="Z215">
            <v>2</v>
          </cell>
          <cell r="AA215">
            <v>1000</v>
          </cell>
        </row>
        <row r="216">
          <cell r="A216">
            <v>46183</v>
          </cell>
          <cell r="D216" t="str">
            <v>NAPOLI</v>
          </cell>
          <cell r="E216">
            <v>1</v>
          </cell>
          <cell r="H216" t="str">
            <v>SAFISCOR</v>
          </cell>
          <cell r="N216">
            <v>1000</v>
          </cell>
          <cell r="Y216">
            <v>46183</v>
          </cell>
          <cell r="Z216">
            <v>2</v>
          </cell>
          <cell r="AA216">
            <v>1000</v>
          </cell>
        </row>
        <row r="217">
          <cell r="A217">
            <v>46183</v>
          </cell>
          <cell r="D217" t="str">
            <v>NAPOLI</v>
          </cell>
          <cell r="E217">
            <v>1</v>
          </cell>
          <cell r="H217" t="str">
            <v>LAPU-LAPU</v>
          </cell>
          <cell r="N217">
            <v>1000</v>
          </cell>
          <cell r="Y217">
            <v>46183</v>
          </cell>
          <cell r="Z217">
            <v>2</v>
          </cell>
          <cell r="AA217">
            <v>1000</v>
          </cell>
        </row>
        <row r="218">
          <cell r="A218">
            <v>46183</v>
          </cell>
          <cell r="D218" t="str">
            <v>NAPOLI</v>
          </cell>
          <cell r="E218">
            <v>1</v>
          </cell>
          <cell r="H218" t="str">
            <v>BADIE</v>
          </cell>
          <cell r="N218">
            <v>1000</v>
          </cell>
          <cell r="Y218">
            <v>46183</v>
          </cell>
          <cell r="Z218">
            <v>2</v>
          </cell>
          <cell r="AA218">
            <v>1000</v>
          </cell>
        </row>
        <row r="219">
          <cell r="A219">
            <v>46183</v>
          </cell>
          <cell r="D219" t="str">
            <v>LADY OF DIVINE GRACE</v>
          </cell>
          <cell r="E219">
            <v>1</v>
          </cell>
          <cell r="H219" t="str">
            <v>SAFISCOR</v>
          </cell>
          <cell r="N219">
            <v>1000</v>
          </cell>
          <cell r="Y219">
            <v>46183</v>
          </cell>
          <cell r="Z219">
            <v>1</v>
          </cell>
          <cell r="AA219">
            <v>1000</v>
          </cell>
        </row>
        <row r="220">
          <cell r="A220">
            <v>46183</v>
          </cell>
          <cell r="D220" t="str">
            <v>NAPOLI</v>
          </cell>
          <cell r="E220">
            <v>1</v>
          </cell>
          <cell r="H220" t="str">
            <v>SAFISCOR</v>
          </cell>
          <cell r="N220">
            <v>1000</v>
          </cell>
          <cell r="Y220">
            <v>46183</v>
          </cell>
          <cell r="Z220">
            <v>2</v>
          </cell>
          <cell r="AA220">
            <v>1000</v>
          </cell>
        </row>
        <row r="221">
          <cell r="A221">
            <v>46183</v>
          </cell>
          <cell r="D221" t="str">
            <v>SALVACION VI</v>
          </cell>
          <cell r="E221">
            <v>1</v>
          </cell>
          <cell r="H221" t="str">
            <v>SAFISCOR</v>
          </cell>
          <cell r="N221">
            <v>1000</v>
          </cell>
          <cell r="Y221">
            <v>46183</v>
          </cell>
          <cell r="Z221">
            <v>2</v>
          </cell>
          <cell r="AA221">
            <v>1000</v>
          </cell>
        </row>
        <row r="222">
          <cell r="A222">
            <v>46183</v>
          </cell>
          <cell r="D222" t="str">
            <v>LADY OF PEACE</v>
          </cell>
          <cell r="E222">
            <v>1</v>
          </cell>
          <cell r="H222" t="str">
            <v>SAFISCOR</v>
          </cell>
          <cell r="N222">
            <v>1000</v>
          </cell>
          <cell r="Y222">
            <v>46183</v>
          </cell>
          <cell r="Z222">
            <v>2</v>
          </cell>
          <cell r="AA222">
            <v>1000</v>
          </cell>
        </row>
        <row r="223">
          <cell r="A223">
            <v>46183</v>
          </cell>
          <cell r="D223" t="str">
            <v>LADY OF PEACE</v>
          </cell>
          <cell r="E223">
            <v>1</v>
          </cell>
          <cell r="H223" t="str">
            <v>LAPU-LAPU</v>
          </cell>
          <cell r="N223">
            <v>1000</v>
          </cell>
          <cell r="Y223">
            <v>46183</v>
          </cell>
          <cell r="Z223">
            <v>2</v>
          </cell>
          <cell r="AA223">
            <v>1000</v>
          </cell>
        </row>
        <row r="224">
          <cell r="A224">
            <v>46183</v>
          </cell>
          <cell r="D224" t="str">
            <v>EASTERN CEBU</v>
          </cell>
          <cell r="E224">
            <v>1</v>
          </cell>
          <cell r="H224" t="str">
            <v>APLUS</v>
          </cell>
          <cell r="N224">
            <v>1000</v>
          </cell>
          <cell r="Y224">
            <v>46183</v>
          </cell>
          <cell r="Z224">
            <v>2</v>
          </cell>
          <cell r="AA224">
            <v>1000</v>
          </cell>
        </row>
        <row r="225">
          <cell r="A225">
            <v>46183</v>
          </cell>
          <cell r="D225" t="str">
            <v>NAPOLI</v>
          </cell>
          <cell r="E225">
            <v>1</v>
          </cell>
          <cell r="H225" t="str">
            <v>LAPU-LAPU</v>
          </cell>
          <cell r="N225">
            <v>1000</v>
          </cell>
          <cell r="Y225">
            <v>46184</v>
          </cell>
          <cell r="Z225">
            <v>1</v>
          </cell>
          <cell r="AA225">
            <v>1000</v>
          </cell>
        </row>
        <row r="226">
          <cell r="A226">
            <v>46183</v>
          </cell>
          <cell r="D226" t="str">
            <v>NAPOLI</v>
          </cell>
          <cell r="E226">
            <v>1</v>
          </cell>
          <cell r="H226" t="str">
            <v>SAFISCOR</v>
          </cell>
          <cell r="N226">
            <v>1000</v>
          </cell>
          <cell r="Y226">
            <v>46183</v>
          </cell>
          <cell r="Z226">
            <v>2</v>
          </cell>
          <cell r="AA226">
            <v>1000</v>
          </cell>
        </row>
        <row r="227">
          <cell r="A227">
            <v>46183</v>
          </cell>
          <cell r="D227" t="str">
            <v>NAPOLI</v>
          </cell>
          <cell r="E227">
            <v>1</v>
          </cell>
          <cell r="H227" t="str">
            <v>SAFISCOR</v>
          </cell>
          <cell r="N227">
            <v>1000</v>
          </cell>
          <cell r="Y227">
            <v>46183</v>
          </cell>
          <cell r="Z227">
            <v>2</v>
          </cell>
          <cell r="AA227">
            <v>1000</v>
          </cell>
        </row>
        <row r="228">
          <cell r="A228">
            <v>46183</v>
          </cell>
          <cell r="D228" t="str">
            <v>LADY OF DIVINE GRACE</v>
          </cell>
          <cell r="E228">
            <v>1</v>
          </cell>
          <cell r="H228" t="str">
            <v>LAPU-LAPU</v>
          </cell>
          <cell r="N228">
            <v>1000</v>
          </cell>
          <cell r="Y228">
            <v>46183</v>
          </cell>
          <cell r="Z228">
            <v>2</v>
          </cell>
          <cell r="AA228">
            <v>1000</v>
          </cell>
        </row>
        <row r="229">
          <cell r="A229">
            <v>46183</v>
          </cell>
          <cell r="D229" t="str">
            <v>EASTERN CEBU</v>
          </cell>
          <cell r="E229">
            <v>1</v>
          </cell>
          <cell r="H229" t="str">
            <v>SAFISCOR</v>
          </cell>
          <cell r="N229">
            <v>1000</v>
          </cell>
          <cell r="Y229">
            <v>46183</v>
          </cell>
          <cell r="Z229">
            <v>2</v>
          </cell>
          <cell r="AA229">
            <v>1000</v>
          </cell>
        </row>
        <row r="230">
          <cell r="A230">
            <v>46183</v>
          </cell>
          <cell r="D230" t="str">
            <v>EASTERN CEBU</v>
          </cell>
          <cell r="E230">
            <v>1</v>
          </cell>
          <cell r="H230" t="str">
            <v>SAFISCOR</v>
          </cell>
          <cell r="N230">
            <v>1000</v>
          </cell>
          <cell r="Y230">
            <v>46183</v>
          </cell>
          <cell r="Z230">
            <v>2</v>
          </cell>
          <cell r="AA230">
            <v>1000</v>
          </cell>
        </row>
        <row r="231">
          <cell r="A231">
            <v>46183</v>
          </cell>
          <cell r="D231" t="str">
            <v>EASTERN CEBU</v>
          </cell>
          <cell r="E231">
            <v>1</v>
          </cell>
          <cell r="H231" t="str">
            <v>APLUS</v>
          </cell>
          <cell r="N231">
            <v>1000</v>
          </cell>
          <cell r="Y231">
            <v>46183</v>
          </cell>
          <cell r="Z231">
            <v>2</v>
          </cell>
          <cell r="AA231">
            <v>1000</v>
          </cell>
        </row>
        <row r="232">
          <cell r="A232">
            <v>46183</v>
          </cell>
          <cell r="D232" t="str">
            <v>EASTERN CEBU</v>
          </cell>
          <cell r="E232">
            <v>1</v>
          </cell>
          <cell r="H232" t="str">
            <v>SAFISCOR</v>
          </cell>
          <cell r="N232">
            <v>1000</v>
          </cell>
          <cell r="Y232">
            <v>46183</v>
          </cell>
          <cell r="Z232">
            <v>2</v>
          </cell>
          <cell r="AA232">
            <v>1000</v>
          </cell>
        </row>
        <row r="233">
          <cell r="A233">
            <v>46183</v>
          </cell>
          <cell r="D233" t="str">
            <v>EASTERN CEBU</v>
          </cell>
          <cell r="E233">
            <v>1</v>
          </cell>
          <cell r="H233" t="str">
            <v>SAFISCOR</v>
          </cell>
          <cell r="N233">
            <v>1000</v>
          </cell>
          <cell r="Y233">
            <v>46183</v>
          </cell>
          <cell r="Z233">
            <v>2</v>
          </cell>
          <cell r="AA233">
            <v>1000</v>
          </cell>
        </row>
        <row r="234">
          <cell r="A234">
            <v>46183</v>
          </cell>
          <cell r="D234" t="str">
            <v>HAN HORIZON</v>
          </cell>
          <cell r="E234">
            <v>1</v>
          </cell>
          <cell r="H234" t="str">
            <v>GEO</v>
          </cell>
          <cell r="N234">
            <v>1000</v>
          </cell>
          <cell r="Y234">
            <v>46183</v>
          </cell>
          <cell r="Z234">
            <v>2</v>
          </cell>
          <cell r="AA234">
            <v>1000</v>
          </cell>
        </row>
        <row r="235">
          <cell r="A235">
            <v>46183</v>
          </cell>
          <cell r="D235" t="str">
            <v>EASTERN CEBU</v>
          </cell>
          <cell r="E235">
            <v>1</v>
          </cell>
          <cell r="H235" t="str">
            <v>SAFISCOR</v>
          </cell>
          <cell r="N235">
            <v>1000</v>
          </cell>
          <cell r="Y235">
            <v>46183</v>
          </cell>
          <cell r="Z235">
            <v>2</v>
          </cell>
          <cell r="AA235">
            <v>1000</v>
          </cell>
        </row>
        <row r="236">
          <cell r="A236">
            <v>46183</v>
          </cell>
          <cell r="D236" t="str">
            <v>SALVACION VI</v>
          </cell>
          <cell r="E236">
            <v>1</v>
          </cell>
          <cell r="H236" t="str">
            <v>SAFISCOR</v>
          </cell>
          <cell r="N236">
            <v>1000</v>
          </cell>
          <cell r="Y236">
            <v>46183</v>
          </cell>
          <cell r="Z236">
            <v>2</v>
          </cell>
          <cell r="AA236">
            <v>1000</v>
          </cell>
        </row>
        <row r="237">
          <cell r="A237">
            <v>46183</v>
          </cell>
          <cell r="D237" t="str">
            <v>NAPOLI</v>
          </cell>
          <cell r="E237">
            <v>1</v>
          </cell>
          <cell r="H237" t="str">
            <v>SAFISCOR</v>
          </cell>
          <cell r="N237">
            <v>1000</v>
          </cell>
          <cell r="Y237">
            <v>46184</v>
          </cell>
          <cell r="Z237">
            <v>1</v>
          </cell>
          <cell r="AA237">
            <v>1000</v>
          </cell>
        </row>
        <row r="238">
          <cell r="A238">
            <v>46183</v>
          </cell>
          <cell r="D238" t="str">
            <v>SALVACION VI</v>
          </cell>
          <cell r="E238">
            <v>1</v>
          </cell>
          <cell r="H238" t="str">
            <v>SAFISCOR</v>
          </cell>
          <cell r="N238">
            <v>1000</v>
          </cell>
          <cell r="Y238">
            <v>46183</v>
          </cell>
          <cell r="Z238">
            <v>2</v>
          </cell>
          <cell r="AA238">
            <v>1000</v>
          </cell>
        </row>
        <row r="239">
          <cell r="A239">
            <v>46183</v>
          </cell>
          <cell r="D239" t="str">
            <v>NAPOLI</v>
          </cell>
          <cell r="E239">
            <v>1</v>
          </cell>
          <cell r="H239" t="str">
            <v>BADIE</v>
          </cell>
          <cell r="N239">
            <v>1000</v>
          </cell>
          <cell r="Y239">
            <v>46183</v>
          </cell>
          <cell r="Z239">
            <v>2</v>
          </cell>
          <cell r="AA239">
            <v>1000</v>
          </cell>
        </row>
        <row r="240">
          <cell r="A240">
            <v>46183</v>
          </cell>
          <cell r="D240" t="str">
            <v>LADY OF DIVINE GRACE</v>
          </cell>
          <cell r="E240">
            <v>1</v>
          </cell>
          <cell r="H240" t="str">
            <v>SAFISCOR</v>
          </cell>
          <cell r="N240">
            <v>1000</v>
          </cell>
          <cell r="Y240">
            <v>46184</v>
          </cell>
          <cell r="Z240">
            <v>1</v>
          </cell>
          <cell r="AA240">
            <v>1000</v>
          </cell>
        </row>
        <row r="241">
          <cell r="A241">
            <v>46183</v>
          </cell>
          <cell r="D241" t="str">
            <v>LADY OF COURAGE</v>
          </cell>
          <cell r="E241">
            <v>1</v>
          </cell>
          <cell r="H241" t="str">
            <v>SAFISCOR</v>
          </cell>
          <cell r="N241">
            <v>1000</v>
          </cell>
          <cell r="Y241">
            <v>46183</v>
          </cell>
          <cell r="Z241">
            <v>2</v>
          </cell>
          <cell r="AA241">
            <v>1000</v>
          </cell>
        </row>
        <row r="242">
          <cell r="A242">
            <v>46183</v>
          </cell>
          <cell r="D242" t="str">
            <v>NAPOLI</v>
          </cell>
          <cell r="E242">
            <v>1</v>
          </cell>
          <cell r="H242" t="str">
            <v>SAFISCOR</v>
          </cell>
          <cell r="N242">
            <v>1000</v>
          </cell>
          <cell r="Y242">
            <v>46184</v>
          </cell>
          <cell r="Z242">
            <v>1</v>
          </cell>
          <cell r="AA242">
            <v>1000</v>
          </cell>
        </row>
        <row r="243">
          <cell r="A243">
            <v>46183</v>
          </cell>
          <cell r="D243" t="str">
            <v>EASTERN CEBU</v>
          </cell>
          <cell r="E243">
            <v>1</v>
          </cell>
          <cell r="H243" t="str">
            <v>SAFISCOR</v>
          </cell>
          <cell r="N243">
            <v>1000</v>
          </cell>
          <cell r="Y243">
            <v>46183</v>
          </cell>
          <cell r="Z243">
            <v>2</v>
          </cell>
          <cell r="AA243">
            <v>1000</v>
          </cell>
        </row>
        <row r="244">
          <cell r="A244">
            <v>46183</v>
          </cell>
          <cell r="D244" t="str">
            <v>LADY OF COURAGE</v>
          </cell>
          <cell r="E244">
            <v>1</v>
          </cell>
          <cell r="H244" t="str">
            <v>LAPU-LAPU</v>
          </cell>
          <cell r="N244">
            <v>1000</v>
          </cell>
          <cell r="Y244">
            <v>46183</v>
          </cell>
          <cell r="Z244">
            <v>2</v>
          </cell>
          <cell r="AA244">
            <v>1000</v>
          </cell>
        </row>
        <row r="245">
          <cell r="A245">
            <v>46183</v>
          </cell>
          <cell r="D245" t="str">
            <v>EASTERN CEBU</v>
          </cell>
          <cell r="E245">
            <v>1</v>
          </cell>
          <cell r="H245" t="str">
            <v>SAFISCOR</v>
          </cell>
          <cell r="N245">
            <v>1000</v>
          </cell>
          <cell r="Y245">
            <v>46183</v>
          </cell>
          <cell r="Z245">
            <v>2</v>
          </cell>
          <cell r="AA245">
            <v>1000</v>
          </cell>
        </row>
        <row r="246">
          <cell r="A246">
            <v>46183</v>
          </cell>
          <cell r="D246" t="str">
            <v>NAPOLI</v>
          </cell>
          <cell r="E246">
            <v>1</v>
          </cell>
          <cell r="H246" t="str">
            <v>LAPU-LAPU</v>
          </cell>
          <cell r="N246">
            <v>1000</v>
          </cell>
          <cell r="Y246">
            <v>46184</v>
          </cell>
          <cell r="Z246">
            <v>1</v>
          </cell>
          <cell r="AA246">
            <v>1000</v>
          </cell>
        </row>
        <row r="247">
          <cell r="A247">
            <v>46183</v>
          </cell>
          <cell r="D247" t="str">
            <v>EASTERN CEBU</v>
          </cell>
          <cell r="E247">
            <v>1</v>
          </cell>
          <cell r="H247" t="str">
            <v>SAFISCOR</v>
          </cell>
          <cell r="N247">
            <v>1000</v>
          </cell>
          <cell r="Y247">
            <v>46183</v>
          </cell>
          <cell r="Z247">
            <v>2</v>
          </cell>
          <cell r="AA247">
            <v>1000</v>
          </cell>
        </row>
        <row r="248">
          <cell r="A248">
            <v>46183</v>
          </cell>
          <cell r="D248" t="str">
            <v>EASTERN CEBU</v>
          </cell>
          <cell r="E248">
            <v>1</v>
          </cell>
          <cell r="H248" t="str">
            <v>SAFISCOR</v>
          </cell>
          <cell r="N248">
            <v>1000</v>
          </cell>
          <cell r="Y248">
            <v>46184</v>
          </cell>
          <cell r="Z248">
            <v>1</v>
          </cell>
          <cell r="AA248">
            <v>1000</v>
          </cell>
        </row>
        <row r="249">
          <cell r="A249">
            <v>46183</v>
          </cell>
          <cell r="D249" t="str">
            <v>HAN HORIZON</v>
          </cell>
          <cell r="E249">
            <v>1</v>
          </cell>
          <cell r="H249" t="str">
            <v>GEO</v>
          </cell>
          <cell r="N249">
            <v>1000</v>
          </cell>
          <cell r="Y249">
            <v>46184</v>
          </cell>
          <cell r="Z249">
            <v>1</v>
          </cell>
          <cell r="AA249">
            <v>1000</v>
          </cell>
        </row>
        <row r="250">
          <cell r="A250">
            <v>46183</v>
          </cell>
          <cell r="D250" t="str">
            <v>EASTERN CEBU</v>
          </cell>
          <cell r="E250">
            <v>1</v>
          </cell>
          <cell r="H250" t="str">
            <v>SAFISCOR</v>
          </cell>
          <cell r="N250">
            <v>1000</v>
          </cell>
          <cell r="Y250">
            <v>46184</v>
          </cell>
          <cell r="Z250">
            <v>1</v>
          </cell>
          <cell r="AA250">
            <v>1000</v>
          </cell>
        </row>
        <row r="251">
          <cell r="A251">
            <v>46183</v>
          </cell>
          <cell r="D251" t="str">
            <v>SALVACION VI</v>
          </cell>
          <cell r="E251">
            <v>1</v>
          </cell>
          <cell r="H251" t="str">
            <v>SAFISCOR</v>
          </cell>
          <cell r="N251">
            <v>1000</v>
          </cell>
          <cell r="Y251">
            <v>46184</v>
          </cell>
          <cell r="Z251">
            <v>1</v>
          </cell>
          <cell r="AA251">
            <v>1000</v>
          </cell>
        </row>
        <row r="252">
          <cell r="A252">
            <v>46183</v>
          </cell>
          <cell r="D252" t="str">
            <v>SALVACION VI</v>
          </cell>
          <cell r="E252">
            <v>1</v>
          </cell>
          <cell r="H252" t="str">
            <v>SAFISCOR</v>
          </cell>
          <cell r="N252">
            <v>1000</v>
          </cell>
          <cell r="Y252">
            <v>46184</v>
          </cell>
          <cell r="Z252">
            <v>1</v>
          </cell>
          <cell r="AA252">
            <v>1000</v>
          </cell>
        </row>
        <row r="253">
          <cell r="A253">
            <v>46183</v>
          </cell>
          <cell r="D253" t="str">
            <v>NAPOLI</v>
          </cell>
          <cell r="E253">
            <v>1</v>
          </cell>
          <cell r="H253" t="str">
            <v>SAFISCOR</v>
          </cell>
          <cell r="N253">
            <v>1000</v>
          </cell>
          <cell r="Y253">
            <v>46184</v>
          </cell>
          <cell r="Z253">
            <v>2</v>
          </cell>
          <cell r="AA253">
            <v>1000</v>
          </cell>
        </row>
        <row r="254">
          <cell r="A254">
            <v>46183</v>
          </cell>
          <cell r="D254" t="str">
            <v>EASTERN CEBU</v>
          </cell>
          <cell r="E254">
            <v>1</v>
          </cell>
          <cell r="H254" t="str">
            <v>SAFISCOR</v>
          </cell>
          <cell r="N254">
            <v>1000</v>
          </cell>
          <cell r="Y254">
            <v>46184</v>
          </cell>
          <cell r="Z254">
            <v>1</v>
          </cell>
          <cell r="AA254">
            <v>1000</v>
          </cell>
        </row>
        <row r="255">
          <cell r="A255">
            <v>46183</v>
          </cell>
          <cell r="D255" t="str">
            <v>EASTERN CEBU</v>
          </cell>
          <cell r="E255">
            <v>1</v>
          </cell>
          <cell r="H255" t="str">
            <v>SAFISCOR</v>
          </cell>
          <cell r="N255">
            <v>1000</v>
          </cell>
          <cell r="Y255">
            <v>46184</v>
          </cell>
          <cell r="Z255">
            <v>1</v>
          </cell>
          <cell r="AA255">
            <v>1000</v>
          </cell>
        </row>
        <row r="256">
          <cell r="A256">
            <v>46183</v>
          </cell>
          <cell r="D256" t="str">
            <v>EASTERN CEBU</v>
          </cell>
          <cell r="E256">
            <v>1</v>
          </cell>
          <cell r="H256" t="str">
            <v>SAFISCOR</v>
          </cell>
          <cell r="N256">
            <v>1000</v>
          </cell>
          <cell r="Y256">
            <v>46184</v>
          </cell>
          <cell r="Z256">
            <v>1</v>
          </cell>
          <cell r="AA256">
            <v>1000</v>
          </cell>
        </row>
        <row r="257">
          <cell r="A257">
            <v>46184</v>
          </cell>
          <cell r="D257" t="str">
            <v>NAPOLI</v>
          </cell>
          <cell r="E257">
            <v>1</v>
          </cell>
          <cell r="H257" t="str">
            <v>LAPU-LAPU</v>
          </cell>
          <cell r="N257">
            <v>1000</v>
          </cell>
          <cell r="Y257">
            <v>46183</v>
          </cell>
          <cell r="Z257">
            <v>2</v>
          </cell>
          <cell r="AA257">
            <v>1000</v>
          </cell>
        </row>
        <row r="258">
          <cell r="A258">
            <v>46184</v>
          </cell>
          <cell r="D258" t="str">
            <v>NAPOLI</v>
          </cell>
          <cell r="E258">
            <v>1</v>
          </cell>
          <cell r="H258" t="str">
            <v>SAFISCOR</v>
          </cell>
          <cell r="N258">
            <v>1000</v>
          </cell>
          <cell r="Y258">
            <v>46184</v>
          </cell>
          <cell r="Z258">
            <v>2</v>
          </cell>
          <cell r="AA258">
            <v>1000</v>
          </cell>
        </row>
        <row r="259">
          <cell r="A259">
            <v>46184</v>
          </cell>
          <cell r="D259" t="str">
            <v>NAPOLI</v>
          </cell>
          <cell r="E259">
            <v>1</v>
          </cell>
          <cell r="H259" t="str">
            <v>LAPU-LAPU</v>
          </cell>
          <cell r="N259">
            <v>1000</v>
          </cell>
          <cell r="Y259">
            <v>46184</v>
          </cell>
          <cell r="Z259">
            <v>1</v>
          </cell>
          <cell r="AA259">
            <v>1000</v>
          </cell>
        </row>
        <row r="260">
          <cell r="A260">
            <v>46184</v>
          </cell>
          <cell r="D260" t="str">
            <v>EASTERN CEBU</v>
          </cell>
          <cell r="E260">
            <v>1</v>
          </cell>
          <cell r="H260" t="str">
            <v>SAFISCOR</v>
          </cell>
          <cell r="N260">
            <v>1000</v>
          </cell>
          <cell r="Y260">
            <v>46184</v>
          </cell>
          <cell r="Z260">
            <v>1</v>
          </cell>
          <cell r="AA260">
            <v>1000</v>
          </cell>
        </row>
        <row r="261">
          <cell r="A261">
            <v>46184</v>
          </cell>
          <cell r="D261" t="str">
            <v>EASTERN CEBU</v>
          </cell>
          <cell r="E261">
            <v>1</v>
          </cell>
          <cell r="H261" t="str">
            <v>SAFISCOR</v>
          </cell>
          <cell r="N261">
            <v>1000</v>
          </cell>
          <cell r="Y261">
            <v>46184</v>
          </cell>
          <cell r="Z261">
            <v>1</v>
          </cell>
          <cell r="AA261">
            <v>1000</v>
          </cell>
        </row>
        <row r="262">
          <cell r="A262">
            <v>46184</v>
          </cell>
          <cell r="D262" t="str">
            <v>NAPOLI</v>
          </cell>
          <cell r="E262">
            <v>1</v>
          </cell>
          <cell r="H262" t="str">
            <v>SAFISCOR</v>
          </cell>
          <cell r="N262">
            <v>1000</v>
          </cell>
          <cell r="Y262">
            <v>46184</v>
          </cell>
          <cell r="Z262">
            <v>2</v>
          </cell>
          <cell r="AA262">
            <v>1000</v>
          </cell>
        </row>
        <row r="263">
          <cell r="A263">
            <v>46184</v>
          </cell>
          <cell r="D263" t="str">
            <v>NAPOLI</v>
          </cell>
          <cell r="E263">
            <v>1</v>
          </cell>
          <cell r="H263" t="str">
            <v>SAFISCOR</v>
          </cell>
          <cell r="N263">
            <v>1000</v>
          </cell>
          <cell r="Y263">
            <v>46184</v>
          </cell>
          <cell r="Z263">
            <v>2</v>
          </cell>
          <cell r="AA263">
            <v>1000</v>
          </cell>
        </row>
        <row r="264">
          <cell r="A264">
            <v>46184</v>
          </cell>
          <cell r="D264" t="str">
            <v>HAN HORIZON</v>
          </cell>
          <cell r="E264">
            <v>1</v>
          </cell>
          <cell r="H264" t="str">
            <v>GEO</v>
          </cell>
          <cell r="N264">
            <v>1000</v>
          </cell>
          <cell r="Y264">
            <v>46184</v>
          </cell>
          <cell r="Z264">
            <v>1</v>
          </cell>
          <cell r="AA264">
            <v>1000</v>
          </cell>
        </row>
        <row r="265">
          <cell r="A265">
            <v>46184</v>
          </cell>
          <cell r="D265" t="str">
            <v>NAPOLI</v>
          </cell>
          <cell r="E265">
            <v>1</v>
          </cell>
          <cell r="H265" t="str">
            <v>SAFISCOR</v>
          </cell>
          <cell r="N265">
            <v>1000</v>
          </cell>
          <cell r="Y265">
            <v>46184</v>
          </cell>
          <cell r="Z265">
            <v>2</v>
          </cell>
          <cell r="AA265">
            <v>1000</v>
          </cell>
        </row>
        <row r="266">
          <cell r="A266">
            <v>46184</v>
          </cell>
          <cell r="D266" t="str">
            <v>LADY OF COURAGE</v>
          </cell>
          <cell r="E266">
            <v>1</v>
          </cell>
          <cell r="H266" t="str">
            <v>APLUS</v>
          </cell>
          <cell r="N266">
            <v>1000</v>
          </cell>
          <cell r="Y266">
            <v>46184</v>
          </cell>
          <cell r="Z266">
            <v>1</v>
          </cell>
          <cell r="AA266">
            <v>1000</v>
          </cell>
        </row>
        <row r="267">
          <cell r="A267">
            <v>46184</v>
          </cell>
          <cell r="D267" t="str">
            <v>NAPOLI</v>
          </cell>
          <cell r="E267">
            <v>1</v>
          </cell>
          <cell r="H267" t="str">
            <v>LAPU-LAPU</v>
          </cell>
          <cell r="N267">
            <v>1000</v>
          </cell>
          <cell r="Y267">
            <v>46184</v>
          </cell>
          <cell r="Z267">
            <v>1</v>
          </cell>
          <cell r="AA267">
            <v>1000</v>
          </cell>
        </row>
        <row r="268">
          <cell r="A268">
            <v>46184</v>
          </cell>
          <cell r="D268" t="str">
            <v>HAN HORIZON</v>
          </cell>
          <cell r="E268">
            <v>1</v>
          </cell>
          <cell r="H268" t="str">
            <v>BADIE</v>
          </cell>
          <cell r="N268">
            <v>1000</v>
          </cell>
          <cell r="Y268">
            <v>46184</v>
          </cell>
          <cell r="Z268">
            <v>1</v>
          </cell>
          <cell r="AA268">
            <v>1000</v>
          </cell>
        </row>
        <row r="269">
          <cell r="A269">
            <v>46184</v>
          </cell>
          <cell r="D269" t="str">
            <v>HAN HORIZON</v>
          </cell>
          <cell r="E269">
            <v>1</v>
          </cell>
          <cell r="H269" t="str">
            <v>SAFISCOR</v>
          </cell>
          <cell r="N269">
            <v>1000</v>
          </cell>
          <cell r="Y269">
            <v>46184</v>
          </cell>
          <cell r="Z269">
            <v>2</v>
          </cell>
          <cell r="AA269">
            <v>1000</v>
          </cell>
        </row>
        <row r="270">
          <cell r="A270">
            <v>46184</v>
          </cell>
          <cell r="D270" t="str">
            <v>ADOLFO SR</v>
          </cell>
          <cell r="E270">
            <v>1</v>
          </cell>
          <cell r="H270" t="str">
            <v>SAFISCOR</v>
          </cell>
          <cell r="N270">
            <v>1000</v>
          </cell>
          <cell r="Y270">
            <v>46185</v>
          </cell>
          <cell r="Z270">
            <v>1</v>
          </cell>
          <cell r="AA270">
            <v>1000</v>
          </cell>
        </row>
        <row r="271">
          <cell r="A271">
            <v>46184</v>
          </cell>
          <cell r="D271" t="str">
            <v>LADY OF DIVINE GRACE</v>
          </cell>
          <cell r="E271">
            <v>1</v>
          </cell>
          <cell r="H271" t="str">
            <v>SAFISCOR</v>
          </cell>
          <cell r="N271">
            <v>1000</v>
          </cell>
          <cell r="Y271">
            <v>46184</v>
          </cell>
          <cell r="Z271">
            <v>1</v>
          </cell>
          <cell r="AA271">
            <v>1000</v>
          </cell>
        </row>
        <row r="272">
          <cell r="A272">
            <v>46184</v>
          </cell>
          <cell r="D272" t="str">
            <v>HAN HORIZON</v>
          </cell>
          <cell r="E272">
            <v>1</v>
          </cell>
          <cell r="H272" t="str">
            <v>SAFISCOR</v>
          </cell>
          <cell r="N272">
            <v>1000</v>
          </cell>
          <cell r="Y272">
            <v>46184</v>
          </cell>
          <cell r="Z272">
            <v>1</v>
          </cell>
          <cell r="AA272">
            <v>1000</v>
          </cell>
        </row>
        <row r="273">
          <cell r="A273">
            <v>46184</v>
          </cell>
          <cell r="D273" t="str">
            <v>LADY OF COURAGE</v>
          </cell>
          <cell r="E273">
            <v>1</v>
          </cell>
          <cell r="H273" t="str">
            <v>LAPU-LAPU</v>
          </cell>
          <cell r="N273">
            <v>1000</v>
          </cell>
          <cell r="Y273">
            <v>46184</v>
          </cell>
          <cell r="Z273">
            <v>1</v>
          </cell>
          <cell r="AA273">
            <v>1000</v>
          </cell>
        </row>
        <row r="274">
          <cell r="A274">
            <v>46184</v>
          </cell>
          <cell r="D274" t="str">
            <v>SALVACION VI</v>
          </cell>
          <cell r="E274">
            <v>1</v>
          </cell>
          <cell r="H274" t="str">
            <v>LAPU-LAPU</v>
          </cell>
          <cell r="N274">
            <v>1000</v>
          </cell>
          <cell r="Y274">
            <v>46184</v>
          </cell>
          <cell r="Z274">
            <v>1</v>
          </cell>
          <cell r="AA274">
            <v>1000</v>
          </cell>
        </row>
        <row r="275">
          <cell r="A275">
            <v>46184</v>
          </cell>
          <cell r="D275" t="str">
            <v>HAN HORIZON</v>
          </cell>
          <cell r="E275">
            <v>1</v>
          </cell>
          <cell r="H275" t="str">
            <v>SAFISCOR</v>
          </cell>
          <cell r="N275">
            <v>1000</v>
          </cell>
          <cell r="Y275">
            <v>46184</v>
          </cell>
          <cell r="Z275">
            <v>2</v>
          </cell>
          <cell r="AA275">
            <v>1000</v>
          </cell>
        </row>
        <row r="276">
          <cell r="A276">
            <v>46184</v>
          </cell>
          <cell r="D276" t="str">
            <v xml:space="preserve">STAR SOGOD </v>
          </cell>
          <cell r="E276">
            <v>1</v>
          </cell>
          <cell r="H276" t="str">
            <v>BADIE</v>
          </cell>
          <cell r="N276">
            <v>1000</v>
          </cell>
          <cell r="Y276">
            <v>46184</v>
          </cell>
          <cell r="Z276">
            <v>2</v>
          </cell>
          <cell r="AA276">
            <v>1000</v>
          </cell>
        </row>
        <row r="277">
          <cell r="A277">
            <v>46184</v>
          </cell>
          <cell r="D277" t="str">
            <v xml:space="preserve">STAR SOGOD </v>
          </cell>
          <cell r="E277">
            <v>1</v>
          </cell>
          <cell r="H277" t="str">
            <v>SAFISCOR</v>
          </cell>
          <cell r="N277">
            <v>1000</v>
          </cell>
          <cell r="Y277">
            <v>46184</v>
          </cell>
          <cell r="Z277">
            <v>2</v>
          </cell>
          <cell r="AA277">
            <v>1000</v>
          </cell>
        </row>
        <row r="278">
          <cell r="A278">
            <v>46184</v>
          </cell>
          <cell r="D278" t="str">
            <v>ADOLFO SR</v>
          </cell>
          <cell r="E278">
            <v>1</v>
          </cell>
          <cell r="H278" t="str">
            <v>SAFISCOR</v>
          </cell>
          <cell r="N278">
            <v>1000</v>
          </cell>
          <cell r="Y278">
            <v>46184</v>
          </cell>
          <cell r="Z278">
            <v>2</v>
          </cell>
          <cell r="AA278">
            <v>1000</v>
          </cell>
        </row>
        <row r="279">
          <cell r="A279">
            <v>46184</v>
          </cell>
          <cell r="D279" t="str">
            <v>LADY OF COURAGE</v>
          </cell>
          <cell r="E279">
            <v>1</v>
          </cell>
          <cell r="H279" t="str">
            <v>SAFISCOR</v>
          </cell>
          <cell r="N279">
            <v>1000</v>
          </cell>
          <cell r="Y279">
            <v>46184</v>
          </cell>
          <cell r="Z279">
            <v>1</v>
          </cell>
          <cell r="AA279">
            <v>1000</v>
          </cell>
        </row>
        <row r="280">
          <cell r="A280">
            <v>46184</v>
          </cell>
          <cell r="D280" t="str">
            <v xml:space="preserve">STAR SOGOD </v>
          </cell>
          <cell r="E280">
            <v>1</v>
          </cell>
          <cell r="H280" t="str">
            <v>LAPU-LAPU</v>
          </cell>
          <cell r="N280">
            <v>1000</v>
          </cell>
          <cell r="Y280">
            <v>46185</v>
          </cell>
          <cell r="Z280">
            <v>1</v>
          </cell>
          <cell r="AA280">
            <v>1000</v>
          </cell>
        </row>
        <row r="281">
          <cell r="A281">
            <v>46184</v>
          </cell>
          <cell r="D281" t="str">
            <v xml:space="preserve">STAR SOGOD </v>
          </cell>
          <cell r="E281">
            <v>1</v>
          </cell>
          <cell r="H281" t="str">
            <v>LAPU-LAPU</v>
          </cell>
          <cell r="N281">
            <v>1000</v>
          </cell>
          <cell r="Y281">
            <v>46185</v>
          </cell>
          <cell r="Z281">
            <v>1</v>
          </cell>
          <cell r="AA281">
            <v>1000</v>
          </cell>
        </row>
        <row r="282">
          <cell r="A282">
            <v>46184</v>
          </cell>
          <cell r="D282" t="str">
            <v>SALVACION VI</v>
          </cell>
          <cell r="E282">
            <v>1</v>
          </cell>
          <cell r="H282" t="str">
            <v>APLUS</v>
          </cell>
          <cell r="N282">
            <v>1000</v>
          </cell>
          <cell r="Y282">
            <v>46184</v>
          </cell>
          <cell r="Z282">
            <v>1</v>
          </cell>
          <cell r="AA282">
            <v>1000</v>
          </cell>
        </row>
        <row r="283">
          <cell r="A283">
            <v>46184</v>
          </cell>
          <cell r="D283" t="str">
            <v>SALVACION VI</v>
          </cell>
          <cell r="E283">
            <v>1</v>
          </cell>
          <cell r="H283" t="str">
            <v>LAPU-LAPU</v>
          </cell>
          <cell r="N283">
            <v>1000</v>
          </cell>
          <cell r="Y283">
            <v>46184</v>
          </cell>
          <cell r="Z283">
            <v>2</v>
          </cell>
          <cell r="AA283">
            <v>1000</v>
          </cell>
        </row>
        <row r="284">
          <cell r="A284">
            <v>46184</v>
          </cell>
          <cell r="D284" t="str">
            <v>EMERALD STAR</v>
          </cell>
          <cell r="E284">
            <v>1</v>
          </cell>
          <cell r="H284" t="str">
            <v>SAFISCOR</v>
          </cell>
          <cell r="N284">
            <v>1000</v>
          </cell>
          <cell r="Y284">
            <v>46184</v>
          </cell>
          <cell r="Z284">
            <v>2</v>
          </cell>
          <cell r="AA284">
            <v>1000</v>
          </cell>
        </row>
        <row r="285">
          <cell r="A285">
            <v>46184</v>
          </cell>
          <cell r="D285" t="str">
            <v>LADY OF COURAGE</v>
          </cell>
          <cell r="E285">
            <v>1</v>
          </cell>
          <cell r="H285" t="str">
            <v>LAPU-LAPU</v>
          </cell>
          <cell r="N285">
            <v>1000</v>
          </cell>
          <cell r="Y285">
            <v>46184</v>
          </cell>
          <cell r="Z285">
            <v>2</v>
          </cell>
          <cell r="AA285">
            <v>1000</v>
          </cell>
        </row>
        <row r="286">
          <cell r="A286">
            <v>46184</v>
          </cell>
          <cell r="D286" t="str">
            <v xml:space="preserve">STAR SOGOD </v>
          </cell>
          <cell r="E286">
            <v>1</v>
          </cell>
          <cell r="H286" t="str">
            <v>LAPU-LAPU</v>
          </cell>
          <cell r="N286">
            <v>1000</v>
          </cell>
          <cell r="Y286">
            <v>46184</v>
          </cell>
          <cell r="Z286">
            <v>2</v>
          </cell>
          <cell r="AA286">
            <v>1000</v>
          </cell>
        </row>
        <row r="287">
          <cell r="A287">
            <v>46184</v>
          </cell>
          <cell r="D287" t="str">
            <v xml:space="preserve">STAR SOGOD </v>
          </cell>
          <cell r="E287">
            <v>1</v>
          </cell>
          <cell r="H287" t="str">
            <v>SAFISCOR</v>
          </cell>
          <cell r="N287">
            <v>1000</v>
          </cell>
          <cell r="Y287">
            <v>46184</v>
          </cell>
          <cell r="Z287">
            <v>2</v>
          </cell>
          <cell r="AA287">
            <v>1000</v>
          </cell>
        </row>
        <row r="288">
          <cell r="A288">
            <v>46184</v>
          </cell>
          <cell r="D288" t="str">
            <v xml:space="preserve">STAR SOGOD </v>
          </cell>
          <cell r="E288">
            <v>1</v>
          </cell>
          <cell r="H288" t="str">
            <v>SAFISCOR</v>
          </cell>
          <cell r="N288">
            <v>1000</v>
          </cell>
          <cell r="Y288">
            <v>46184</v>
          </cell>
          <cell r="Z288">
            <v>2</v>
          </cell>
          <cell r="AA288">
            <v>1000</v>
          </cell>
        </row>
        <row r="289">
          <cell r="A289">
            <v>46184</v>
          </cell>
          <cell r="D289" t="str">
            <v xml:space="preserve">STAR SOGOD </v>
          </cell>
          <cell r="E289">
            <v>1</v>
          </cell>
          <cell r="H289" t="str">
            <v>GEO</v>
          </cell>
          <cell r="N289">
            <v>1000</v>
          </cell>
          <cell r="Y289">
            <v>46184</v>
          </cell>
          <cell r="Z289">
            <v>2</v>
          </cell>
          <cell r="AA289">
            <v>1000</v>
          </cell>
        </row>
        <row r="290">
          <cell r="D290" t="str">
            <v>SALVACION VI</v>
          </cell>
          <cell r="E290">
            <v>1</v>
          </cell>
          <cell r="H290" t="str">
            <v>SAFISCOR</v>
          </cell>
          <cell r="Y290">
            <v>46184</v>
          </cell>
          <cell r="Z290">
            <v>2</v>
          </cell>
          <cell r="AA290">
            <v>1000</v>
          </cell>
        </row>
        <row r="291">
          <cell r="A291">
            <v>46184</v>
          </cell>
          <cell r="N291">
            <v>1000</v>
          </cell>
        </row>
        <row r="292">
          <cell r="A292">
            <v>46184</v>
          </cell>
          <cell r="D292" t="str">
            <v>NAPOLI</v>
          </cell>
          <cell r="E292">
            <v>1</v>
          </cell>
          <cell r="H292" t="str">
            <v>LAPU-LAPU</v>
          </cell>
          <cell r="N292">
            <v>1000</v>
          </cell>
          <cell r="Y292">
            <v>46184</v>
          </cell>
          <cell r="Z292">
            <v>2</v>
          </cell>
          <cell r="AA292">
            <v>1000</v>
          </cell>
        </row>
        <row r="293">
          <cell r="A293">
            <v>46184</v>
          </cell>
          <cell r="D293" t="str">
            <v>EMERALD STAR</v>
          </cell>
          <cell r="E293">
            <v>1</v>
          </cell>
          <cell r="H293" t="str">
            <v>SAFISCOR</v>
          </cell>
          <cell r="N293">
            <v>1000</v>
          </cell>
          <cell r="Y293">
            <v>46185</v>
          </cell>
          <cell r="Z293">
            <v>2</v>
          </cell>
          <cell r="AA293">
            <v>1000</v>
          </cell>
        </row>
        <row r="294">
          <cell r="A294">
            <v>46184</v>
          </cell>
          <cell r="D294" t="str">
            <v>EMERALD STAR</v>
          </cell>
          <cell r="E294">
            <v>1</v>
          </cell>
          <cell r="H294" t="str">
            <v>SAFISCOR</v>
          </cell>
          <cell r="N294">
            <v>1000</v>
          </cell>
          <cell r="Y294">
            <v>46184</v>
          </cell>
          <cell r="Z294">
            <v>2</v>
          </cell>
          <cell r="AA294">
            <v>1000</v>
          </cell>
        </row>
        <row r="295">
          <cell r="A295">
            <v>46184</v>
          </cell>
          <cell r="D295" t="str">
            <v>EMERALD STAR</v>
          </cell>
          <cell r="E295">
            <v>1</v>
          </cell>
          <cell r="H295" t="str">
            <v>LAPU-LAPU</v>
          </cell>
          <cell r="N295">
            <v>1000</v>
          </cell>
          <cell r="Y295">
            <v>46184</v>
          </cell>
          <cell r="Z295">
            <v>2</v>
          </cell>
          <cell r="AA295">
            <v>1000</v>
          </cell>
        </row>
        <row r="296">
          <cell r="A296">
            <v>46184</v>
          </cell>
          <cell r="D296" t="str">
            <v>NAPOLI</v>
          </cell>
          <cell r="E296">
            <v>1</v>
          </cell>
          <cell r="H296" t="str">
            <v>GEO</v>
          </cell>
          <cell r="N296">
            <v>1000</v>
          </cell>
          <cell r="Y296">
            <v>46184</v>
          </cell>
          <cell r="Z296">
            <v>2</v>
          </cell>
          <cell r="AA296">
            <v>1000</v>
          </cell>
        </row>
        <row r="297">
          <cell r="A297">
            <v>46184</v>
          </cell>
          <cell r="D297" t="str">
            <v>SALVACION VI</v>
          </cell>
          <cell r="E297">
            <v>1</v>
          </cell>
          <cell r="H297" t="str">
            <v>SAFISCOR</v>
          </cell>
          <cell r="N297">
            <v>1000</v>
          </cell>
          <cell r="Y297">
            <v>46184</v>
          </cell>
          <cell r="Z297">
            <v>2</v>
          </cell>
          <cell r="AA297">
            <v>1000</v>
          </cell>
        </row>
        <row r="298">
          <cell r="A298">
            <v>46184</v>
          </cell>
          <cell r="D298" t="str">
            <v>ADOLFO SR</v>
          </cell>
          <cell r="E298">
            <v>1</v>
          </cell>
          <cell r="H298" t="str">
            <v>SAFISCOR</v>
          </cell>
          <cell r="N298">
            <v>1000</v>
          </cell>
          <cell r="Y298">
            <v>46184</v>
          </cell>
          <cell r="Z298">
            <v>2</v>
          </cell>
          <cell r="AA298">
            <v>1000</v>
          </cell>
        </row>
        <row r="299">
          <cell r="A299">
            <v>46184</v>
          </cell>
          <cell r="D299" t="str">
            <v>ADOLFO SR</v>
          </cell>
          <cell r="E299">
            <v>1</v>
          </cell>
          <cell r="H299" t="str">
            <v>SAFISCOR</v>
          </cell>
          <cell r="N299">
            <v>1000</v>
          </cell>
          <cell r="Y299">
            <v>46185</v>
          </cell>
          <cell r="Z299">
            <v>1</v>
          </cell>
          <cell r="AA299">
            <v>1000</v>
          </cell>
        </row>
        <row r="300">
          <cell r="A300">
            <v>46184</v>
          </cell>
          <cell r="D300" t="str">
            <v>EMERALD STAR</v>
          </cell>
          <cell r="E300">
            <v>1</v>
          </cell>
          <cell r="H300" t="str">
            <v>SAFISCOR</v>
          </cell>
          <cell r="N300">
            <v>1000</v>
          </cell>
          <cell r="Y300">
            <v>46185</v>
          </cell>
          <cell r="Z300">
            <v>1</v>
          </cell>
          <cell r="AA300">
            <v>1000</v>
          </cell>
        </row>
        <row r="301">
          <cell r="A301">
            <v>46184</v>
          </cell>
          <cell r="D301" t="str">
            <v>EMERALD STAR</v>
          </cell>
          <cell r="E301">
            <v>1</v>
          </cell>
          <cell r="H301" t="str">
            <v>SAFISCOR</v>
          </cell>
          <cell r="N301">
            <v>1000</v>
          </cell>
          <cell r="Y301">
            <v>46185</v>
          </cell>
          <cell r="Z301">
            <v>1</v>
          </cell>
          <cell r="AA301">
            <v>1000</v>
          </cell>
        </row>
        <row r="302">
          <cell r="A302">
            <v>46184</v>
          </cell>
          <cell r="D302" t="str">
            <v>EMERALD STAR</v>
          </cell>
          <cell r="E302">
            <v>1</v>
          </cell>
          <cell r="H302" t="str">
            <v>BADIE</v>
          </cell>
          <cell r="N302">
            <v>1000</v>
          </cell>
          <cell r="Y302">
            <v>46184</v>
          </cell>
          <cell r="Z302">
            <v>2</v>
          </cell>
          <cell r="AA302">
            <v>1000</v>
          </cell>
        </row>
        <row r="303">
          <cell r="A303">
            <v>46184</v>
          </cell>
          <cell r="D303" t="str">
            <v>EMERALD STAR</v>
          </cell>
          <cell r="E303">
            <v>1</v>
          </cell>
          <cell r="H303" t="str">
            <v>LAPU-LAPU</v>
          </cell>
          <cell r="N303">
            <v>1000</v>
          </cell>
          <cell r="Y303">
            <v>46184</v>
          </cell>
          <cell r="Z303">
            <v>2</v>
          </cell>
          <cell r="AA303">
            <v>1000</v>
          </cell>
        </row>
        <row r="304">
          <cell r="A304">
            <v>46184</v>
          </cell>
          <cell r="D304" t="str">
            <v>NAPOLI</v>
          </cell>
          <cell r="E304">
            <v>1</v>
          </cell>
          <cell r="H304" t="str">
            <v>GEO</v>
          </cell>
          <cell r="N304">
            <v>500</v>
          </cell>
          <cell r="Y304">
            <v>46184</v>
          </cell>
          <cell r="Z304">
            <v>2</v>
          </cell>
          <cell r="AA304">
            <v>1000</v>
          </cell>
        </row>
        <row r="305">
          <cell r="A305">
            <v>46184</v>
          </cell>
          <cell r="D305" t="str">
            <v>LADY OF DIVINE GRACE</v>
          </cell>
          <cell r="E305">
            <v>1</v>
          </cell>
          <cell r="H305" t="str">
            <v>SAFISCOR</v>
          </cell>
          <cell r="N305">
            <v>500</v>
          </cell>
          <cell r="Y305">
            <v>46184</v>
          </cell>
          <cell r="Z305">
            <v>2</v>
          </cell>
          <cell r="AA305">
            <v>500</v>
          </cell>
        </row>
        <row r="306">
          <cell r="A306">
            <v>46184</v>
          </cell>
          <cell r="D306" t="str">
            <v>LADY OF DIVINE GRACE</v>
          </cell>
          <cell r="E306">
            <v>1</v>
          </cell>
          <cell r="H306" t="str">
            <v>SAFISCOR</v>
          </cell>
          <cell r="N306">
            <v>1000</v>
          </cell>
          <cell r="Y306">
            <v>46184</v>
          </cell>
          <cell r="Z306">
            <v>2</v>
          </cell>
          <cell r="AA306">
            <v>500</v>
          </cell>
        </row>
        <row r="307">
          <cell r="A307">
            <v>46184</v>
          </cell>
          <cell r="D307" t="str">
            <v>LADY OF DIVINE GRACE</v>
          </cell>
          <cell r="E307">
            <v>1</v>
          </cell>
          <cell r="H307" t="str">
            <v>SAFISCOR</v>
          </cell>
          <cell r="N307">
            <v>1000</v>
          </cell>
          <cell r="Y307">
            <v>46184</v>
          </cell>
          <cell r="Z307">
            <v>2</v>
          </cell>
          <cell r="AA307">
            <v>1000</v>
          </cell>
        </row>
        <row r="308">
          <cell r="A308">
            <v>46184</v>
          </cell>
          <cell r="D308" t="str">
            <v xml:space="preserve">STAR SOGOD </v>
          </cell>
          <cell r="E308">
            <v>1</v>
          </cell>
          <cell r="H308" t="str">
            <v>SAFISCOR</v>
          </cell>
          <cell r="N308">
            <v>1000</v>
          </cell>
          <cell r="Y308">
            <v>46184</v>
          </cell>
          <cell r="Z308">
            <v>2</v>
          </cell>
          <cell r="AA308">
            <v>1000</v>
          </cell>
        </row>
        <row r="309">
          <cell r="A309">
            <v>46184</v>
          </cell>
          <cell r="D309" t="str">
            <v>LADY OF DIVINE GRACE</v>
          </cell>
          <cell r="E309">
            <v>1</v>
          </cell>
          <cell r="H309" t="str">
            <v>SAFISCOR</v>
          </cell>
          <cell r="N309">
            <v>1000</v>
          </cell>
          <cell r="Y309">
            <v>46184</v>
          </cell>
          <cell r="Z309">
            <v>2</v>
          </cell>
          <cell r="AA309">
            <v>1000</v>
          </cell>
        </row>
        <row r="310">
          <cell r="A310">
            <v>46184</v>
          </cell>
          <cell r="D310" t="str">
            <v>NAPOLI</v>
          </cell>
          <cell r="E310">
            <v>1</v>
          </cell>
          <cell r="H310" t="str">
            <v>SAFISCOR</v>
          </cell>
          <cell r="N310">
            <v>1000</v>
          </cell>
          <cell r="Y310">
            <v>46184</v>
          </cell>
          <cell r="Z310">
            <v>2</v>
          </cell>
          <cell r="AA310">
            <v>1000</v>
          </cell>
        </row>
        <row r="311">
          <cell r="A311">
            <v>46184</v>
          </cell>
          <cell r="D311" t="str">
            <v xml:space="preserve">STAR SOGOD </v>
          </cell>
          <cell r="E311">
            <v>1</v>
          </cell>
          <cell r="H311" t="str">
            <v>SAFISCOR</v>
          </cell>
          <cell r="N311">
            <v>1000</v>
          </cell>
          <cell r="Y311">
            <v>46184</v>
          </cell>
          <cell r="Z311">
            <v>2</v>
          </cell>
          <cell r="AA311">
            <v>1000</v>
          </cell>
        </row>
        <row r="312">
          <cell r="D312" t="str">
            <v>EMERALD STAR</v>
          </cell>
          <cell r="E312">
            <v>1</v>
          </cell>
          <cell r="H312" t="str">
            <v>SAFISCOR</v>
          </cell>
          <cell r="Y312">
            <v>46185</v>
          </cell>
          <cell r="Z312">
            <v>1</v>
          </cell>
          <cell r="AA312">
            <v>1000</v>
          </cell>
        </row>
        <row r="313">
          <cell r="A313">
            <v>46184</v>
          </cell>
          <cell r="N313">
            <v>1000</v>
          </cell>
        </row>
        <row r="314">
          <cell r="A314">
            <v>46184</v>
          </cell>
          <cell r="D314" t="str">
            <v xml:space="preserve">STAR SOGOD </v>
          </cell>
          <cell r="E314">
            <v>1</v>
          </cell>
          <cell r="H314" t="str">
            <v>SAFISCOR</v>
          </cell>
          <cell r="N314">
            <v>1000</v>
          </cell>
          <cell r="Y314">
            <v>46185</v>
          </cell>
          <cell r="Z314">
            <v>1</v>
          </cell>
          <cell r="AA314">
            <v>1000</v>
          </cell>
        </row>
        <row r="315">
          <cell r="A315">
            <v>46184</v>
          </cell>
          <cell r="D315" t="str">
            <v>EMERALD STAR</v>
          </cell>
          <cell r="E315">
            <v>1</v>
          </cell>
          <cell r="H315" t="str">
            <v>SAFISCOR</v>
          </cell>
          <cell r="N315">
            <v>1000</v>
          </cell>
          <cell r="Y315">
            <v>46185</v>
          </cell>
          <cell r="Z315">
            <v>1</v>
          </cell>
          <cell r="AA315">
            <v>1000</v>
          </cell>
        </row>
        <row r="316">
          <cell r="A316">
            <v>46184</v>
          </cell>
          <cell r="D316" t="str">
            <v>EMERALD STAR</v>
          </cell>
          <cell r="E316">
            <v>1</v>
          </cell>
          <cell r="H316" t="str">
            <v>SAFISCOR</v>
          </cell>
          <cell r="N316">
            <v>1000</v>
          </cell>
          <cell r="Y316">
            <v>46185</v>
          </cell>
          <cell r="Z316">
            <v>1</v>
          </cell>
          <cell r="AA316">
            <v>1000</v>
          </cell>
        </row>
        <row r="317">
          <cell r="A317">
            <v>46184</v>
          </cell>
          <cell r="D317" t="str">
            <v>EMERALD STAR</v>
          </cell>
          <cell r="E317">
            <v>1</v>
          </cell>
          <cell r="H317" t="str">
            <v>SAFISCOR</v>
          </cell>
          <cell r="N317">
            <v>1000</v>
          </cell>
          <cell r="Y317">
            <v>46185</v>
          </cell>
          <cell r="Z317">
            <v>1</v>
          </cell>
          <cell r="AA317">
            <v>1000</v>
          </cell>
        </row>
        <row r="318">
          <cell r="A318">
            <v>46185</v>
          </cell>
          <cell r="D318" t="str">
            <v>EMERALD STAR</v>
          </cell>
          <cell r="E318">
            <v>1</v>
          </cell>
          <cell r="H318" t="str">
            <v>SAFISCOR</v>
          </cell>
          <cell r="N318">
            <v>1000</v>
          </cell>
          <cell r="Y318">
            <v>46185</v>
          </cell>
          <cell r="Z318">
            <v>1</v>
          </cell>
          <cell r="AA318">
            <v>1000</v>
          </cell>
        </row>
        <row r="319">
          <cell r="A319">
            <v>46185</v>
          </cell>
          <cell r="D319" t="str">
            <v>LADY OF DIVINE GRACE</v>
          </cell>
          <cell r="E319">
            <v>1</v>
          </cell>
          <cell r="H319" t="str">
            <v>LAPU-LAPU</v>
          </cell>
          <cell r="N319">
            <v>1000</v>
          </cell>
          <cell r="Y319">
            <v>46185</v>
          </cell>
          <cell r="Z319">
            <v>1</v>
          </cell>
          <cell r="AA319">
            <v>1000</v>
          </cell>
        </row>
        <row r="320">
          <cell r="A320">
            <v>46185</v>
          </cell>
          <cell r="D320" t="str">
            <v>ADOLFO SR</v>
          </cell>
          <cell r="E320">
            <v>1</v>
          </cell>
          <cell r="H320" t="str">
            <v>SAFISCOR</v>
          </cell>
          <cell r="N320">
            <v>1000</v>
          </cell>
          <cell r="Y320">
            <v>46185</v>
          </cell>
          <cell r="Z320">
            <v>1</v>
          </cell>
          <cell r="AA320">
            <v>1000</v>
          </cell>
        </row>
        <row r="321">
          <cell r="A321">
            <v>46185</v>
          </cell>
          <cell r="D321" t="str">
            <v>EMERALD STAR</v>
          </cell>
          <cell r="E321">
            <v>1</v>
          </cell>
          <cell r="H321" t="str">
            <v>SAFISCOR</v>
          </cell>
          <cell r="N321">
            <v>1000</v>
          </cell>
          <cell r="Y321">
            <v>46185</v>
          </cell>
          <cell r="Z321">
            <v>2</v>
          </cell>
          <cell r="AA321">
            <v>1000</v>
          </cell>
        </row>
        <row r="322">
          <cell r="A322">
            <v>46185</v>
          </cell>
          <cell r="D322" t="str">
            <v>EMERALD STAR</v>
          </cell>
          <cell r="E322">
            <v>1</v>
          </cell>
          <cell r="H322" t="str">
            <v>SAFISCOR</v>
          </cell>
          <cell r="N322">
            <v>1000</v>
          </cell>
          <cell r="Y322">
            <v>46185</v>
          </cell>
          <cell r="Z322">
            <v>1</v>
          </cell>
          <cell r="AA322">
            <v>1000</v>
          </cell>
        </row>
        <row r="323">
          <cell r="A323">
            <v>46185</v>
          </cell>
          <cell r="D323" t="str">
            <v>LADY OF DIVINE GRACE</v>
          </cell>
          <cell r="E323">
            <v>1</v>
          </cell>
          <cell r="H323" t="str">
            <v>GEO</v>
          </cell>
          <cell r="N323">
            <v>1000</v>
          </cell>
          <cell r="Y323">
            <v>46185</v>
          </cell>
          <cell r="Z323">
            <v>1</v>
          </cell>
          <cell r="AA323">
            <v>1000</v>
          </cell>
        </row>
        <row r="324">
          <cell r="A324">
            <v>46185</v>
          </cell>
          <cell r="D324" t="str">
            <v xml:space="preserve">STAR SOGOD </v>
          </cell>
          <cell r="E324">
            <v>1</v>
          </cell>
          <cell r="H324" t="str">
            <v>SAFISCOR</v>
          </cell>
          <cell r="N324">
            <v>1000</v>
          </cell>
          <cell r="Y324">
            <v>46185</v>
          </cell>
          <cell r="Z324">
            <v>1</v>
          </cell>
          <cell r="AA324">
            <v>1000</v>
          </cell>
        </row>
        <row r="325">
          <cell r="A325">
            <v>46185</v>
          </cell>
          <cell r="D325" t="str">
            <v>EMERALD STAR</v>
          </cell>
          <cell r="E325">
            <v>1</v>
          </cell>
          <cell r="H325" t="str">
            <v>SAFISCOR</v>
          </cell>
          <cell r="N325">
            <v>1000</v>
          </cell>
          <cell r="Y325">
            <v>46185</v>
          </cell>
          <cell r="Z325">
            <v>2</v>
          </cell>
          <cell r="AA325">
            <v>1000</v>
          </cell>
        </row>
        <row r="326">
          <cell r="A326">
            <v>46185</v>
          </cell>
          <cell r="D326" t="str">
            <v>LADY OF DIVINE GRACE</v>
          </cell>
          <cell r="E326">
            <v>1</v>
          </cell>
          <cell r="H326" t="str">
            <v>LAPU-LAPU</v>
          </cell>
          <cell r="N326">
            <v>1000</v>
          </cell>
          <cell r="Y326">
            <v>46185</v>
          </cell>
          <cell r="Z326">
            <v>1</v>
          </cell>
          <cell r="AA326">
            <v>1000</v>
          </cell>
        </row>
        <row r="327">
          <cell r="A327">
            <v>46185</v>
          </cell>
          <cell r="D327" t="str">
            <v>LADY OF DIVINE GRACE</v>
          </cell>
          <cell r="E327">
            <v>1</v>
          </cell>
          <cell r="H327" t="str">
            <v>SAFISCOR</v>
          </cell>
          <cell r="N327">
            <v>1000</v>
          </cell>
          <cell r="Y327">
            <v>46185</v>
          </cell>
          <cell r="Z327">
            <v>1</v>
          </cell>
          <cell r="AA327">
            <v>1000</v>
          </cell>
        </row>
        <row r="328">
          <cell r="A328">
            <v>46185</v>
          </cell>
          <cell r="D328" t="str">
            <v xml:space="preserve">STAR SOGOD </v>
          </cell>
          <cell r="E328">
            <v>1</v>
          </cell>
          <cell r="H328" t="str">
            <v>SAFISCOR</v>
          </cell>
          <cell r="N328">
            <v>1000</v>
          </cell>
          <cell r="Y328">
            <v>46185</v>
          </cell>
          <cell r="Z328">
            <v>1</v>
          </cell>
          <cell r="AA328">
            <v>1000</v>
          </cell>
        </row>
        <row r="329">
          <cell r="A329">
            <v>46185</v>
          </cell>
          <cell r="D329" t="str">
            <v>LADY OF DIVINE GRACE</v>
          </cell>
          <cell r="E329">
            <v>1</v>
          </cell>
          <cell r="H329" t="str">
            <v>BADIE</v>
          </cell>
          <cell r="N329">
            <v>1000</v>
          </cell>
          <cell r="Y329">
            <v>46185</v>
          </cell>
          <cell r="Z329">
            <v>1</v>
          </cell>
          <cell r="AA329">
            <v>1000</v>
          </cell>
        </row>
        <row r="330">
          <cell r="A330">
            <v>46185</v>
          </cell>
          <cell r="D330" t="str">
            <v>EMERALD STAR</v>
          </cell>
          <cell r="E330">
            <v>1</v>
          </cell>
          <cell r="H330" t="str">
            <v>SAFISCOR</v>
          </cell>
          <cell r="N330">
            <v>1000</v>
          </cell>
          <cell r="Y330">
            <v>46185</v>
          </cell>
          <cell r="Z330">
            <v>2</v>
          </cell>
          <cell r="AA330">
            <v>1000</v>
          </cell>
        </row>
        <row r="331">
          <cell r="A331">
            <v>46185</v>
          </cell>
          <cell r="D331" t="str">
            <v>LADY OF DIVINE GRACE</v>
          </cell>
          <cell r="E331">
            <v>1</v>
          </cell>
          <cell r="H331" t="str">
            <v>SAFISCOR</v>
          </cell>
          <cell r="N331">
            <v>1000</v>
          </cell>
          <cell r="Y331">
            <v>46185</v>
          </cell>
          <cell r="Z331">
            <v>1</v>
          </cell>
          <cell r="AA331">
            <v>1000</v>
          </cell>
        </row>
        <row r="332">
          <cell r="A332">
            <v>46185</v>
          </cell>
          <cell r="D332" t="str">
            <v>LADY OF DIVINE GRACE</v>
          </cell>
          <cell r="E332">
            <v>1</v>
          </cell>
          <cell r="H332" t="str">
            <v>GEO</v>
          </cell>
          <cell r="N332">
            <v>800</v>
          </cell>
          <cell r="Y332">
            <v>46185</v>
          </cell>
          <cell r="Z332">
            <v>1</v>
          </cell>
          <cell r="AA332">
            <v>1000</v>
          </cell>
        </row>
        <row r="333">
          <cell r="A333">
            <v>46185</v>
          </cell>
          <cell r="D333" t="str">
            <v>ADOLFO SR</v>
          </cell>
          <cell r="E333">
            <v>1</v>
          </cell>
          <cell r="H333" t="str">
            <v>SAFISCOR</v>
          </cell>
          <cell r="N333">
            <v>200</v>
          </cell>
          <cell r="Y333">
            <v>46185</v>
          </cell>
          <cell r="Z333">
            <v>1</v>
          </cell>
          <cell r="AA333">
            <v>800</v>
          </cell>
        </row>
        <row r="334">
          <cell r="A334">
            <v>46185</v>
          </cell>
          <cell r="D334" t="str">
            <v>ADOLFO SR</v>
          </cell>
          <cell r="E334">
            <v>1</v>
          </cell>
          <cell r="H334" t="str">
            <v>SAFISCOR</v>
          </cell>
          <cell r="N334">
            <v>1080</v>
          </cell>
          <cell r="Y334">
            <v>46185</v>
          </cell>
          <cell r="Z334">
            <v>1</v>
          </cell>
          <cell r="AA334">
            <v>200</v>
          </cell>
        </row>
        <row r="335">
          <cell r="A335">
            <v>46185</v>
          </cell>
          <cell r="D335" t="str">
            <v xml:space="preserve">STAR SOGOD </v>
          </cell>
          <cell r="E335">
            <v>1</v>
          </cell>
          <cell r="H335" t="str">
            <v>SAFISCOR</v>
          </cell>
          <cell r="N335">
            <v>500</v>
          </cell>
          <cell r="Y335">
            <v>46185</v>
          </cell>
          <cell r="Z335">
            <v>1</v>
          </cell>
          <cell r="AA335">
            <v>1080</v>
          </cell>
        </row>
        <row r="336">
          <cell r="A336">
            <v>46185</v>
          </cell>
          <cell r="D336" t="str">
            <v>LADY OF DIVINE GRACE</v>
          </cell>
          <cell r="E336">
            <v>1</v>
          </cell>
          <cell r="H336" t="str">
            <v>LAPU-LAPU</v>
          </cell>
          <cell r="N336">
            <v>500</v>
          </cell>
          <cell r="Y336">
            <v>46185</v>
          </cell>
          <cell r="Z336">
            <v>1</v>
          </cell>
          <cell r="AA336">
            <v>500</v>
          </cell>
        </row>
        <row r="337">
          <cell r="A337">
            <v>46185</v>
          </cell>
          <cell r="D337" t="str">
            <v>EMERALD STAR</v>
          </cell>
          <cell r="E337">
            <v>1</v>
          </cell>
          <cell r="H337" t="str">
            <v>LAPU-LAPU</v>
          </cell>
          <cell r="N337">
            <v>1000</v>
          </cell>
          <cell r="Y337">
            <v>46185</v>
          </cell>
          <cell r="Z337">
            <v>1</v>
          </cell>
          <cell r="AA337">
            <v>500</v>
          </cell>
        </row>
        <row r="338">
          <cell r="A338">
            <v>46185</v>
          </cell>
          <cell r="D338" t="str">
            <v>EMERALD STAR</v>
          </cell>
          <cell r="E338">
            <v>1</v>
          </cell>
          <cell r="H338" t="str">
            <v>SAFISCOR</v>
          </cell>
          <cell r="N338">
            <v>1000</v>
          </cell>
          <cell r="Y338">
            <v>46185</v>
          </cell>
          <cell r="Z338">
            <v>2</v>
          </cell>
          <cell r="AA338">
            <v>1000</v>
          </cell>
        </row>
        <row r="339">
          <cell r="A339">
            <v>46185</v>
          </cell>
          <cell r="D339" t="str">
            <v>ADOLFO SR</v>
          </cell>
          <cell r="E339">
            <v>1</v>
          </cell>
          <cell r="H339" t="str">
            <v>LAPU-LAPU</v>
          </cell>
          <cell r="N339">
            <v>1000</v>
          </cell>
          <cell r="Y339">
            <v>46185</v>
          </cell>
          <cell r="Z339">
            <v>1</v>
          </cell>
          <cell r="AA339">
            <v>1000</v>
          </cell>
        </row>
        <row r="340">
          <cell r="A340">
            <v>46185</v>
          </cell>
          <cell r="D340" t="str">
            <v>ADOLFO SR</v>
          </cell>
          <cell r="E340">
            <v>1</v>
          </cell>
          <cell r="H340" t="str">
            <v>SAFISCOR</v>
          </cell>
          <cell r="N340">
            <v>1000</v>
          </cell>
          <cell r="Y340">
            <v>46185</v>
          </cell>
          <cell r="Z340">
            <v>1</v>
          </cell>
          <cell r="AA340">
            <v>1000</v>
          </cell>
        </row>
        <row r="341">
          <cell r="A341">
            <v>46185</v>
          </cell>
          <cell r="D341" t="str">
            <v>EMERALD STAR</v>
          </cell>
          <cell r="E341">
            <v>1</v>
          </cell>
          <cell r="H341" t="str">
            <v>SAFISCOR</v>
          </cell>
          <cell r="N341">
            <v>1000</v>
          </cell>
          <cell r="Y341">
            <v>46185</v>
          </cell>
          <cell r="Z341">
            <v>2</v>
          </cell>
          <cell r="AA341">
            <v>1000</v>
          </cell>
        </row>
        <row r="342">
          <cell r="A342">
            <v>46185</v>
          </cell>
          <cell r="D342" t="str">
            <v>ADOLFO SR</v>
          </cell>
          <cell r="E342">
            <v>1</v>
          </cell>
          <cell r="H342" t="str">
            <v>LAPU-LAPU</v>
          </cell>
          <cell r="N342">
            <v>1000</v>
          </cell>
          <cell r="Y342">
            <v>46185</v>
          </cell>
          <cell r="Z342">
            <v>2</v>
          </cell>
          <cell r="AA342">
            <v>1000</v>
          </cell>
        </row>
        <row r="343">
          <cell r="A343">
            <v>46185</v>
          </cell>
          <cell r="D343" t="str">
            <v>QUEEN CAROLYN</v>
          </cell>
          <cell r="E343">
            <v>1</v>
          </cell>
          <cell r="H343" t="str">
            <v>SAFISCOR</v>
          </cell>
          <cell r="N343">
            <v>1000</v>
          </cell>
          <cell r="Y343">
            <v>46185</v>
          </cell>
          <cell r="Z343">
            <v>2</v>
          </cell>
          <cell r="AA343">
            <v>1000</v>
          </cell>
        </row>
        <row r="344">
          <cell r="A344">
            <v>46185</v>
          </cell>
          <cell r="D344" t="str">
            <v>EMERALD STAR</v>
          </cell>
          <cell r="E344">
            <v>1</v>
          </cell>
          <cell r="H344" t="str">
            <v>GEO</v>
          </cell>
          <cell r="N344">
            <v>1000</v>
          </cell>
          <cell r="Y344">
            <v>46185</v>
          </cell>
          <cell r="Z344">
            <v>2</v>
          </cell>
          <cell r="AA344">
            <v>1000</v>
          </cell>
        </row>
        <row r="345">
          <cell r="A345">
            <v>46185</v>
          </cell>
          <cell r="D345" t="str">
            <v>QUEEN CAROLYN</v>
          </cell>
          <cell r="E345">
            <v>1</v>
          </cell>
          <cell r="H345" t="str">
            <v>SAFISCOR</v>
          </cell>
          <cell r="N345">
            <v>1000</v>
          </cell>
          <cell r="Y345">
            <v>46185</v>
          </cell>
          <cell r="Z345">
            <v>2</v>
          </cell>
          <cell r="AA345">
            <v>1000</v>
          </cell>
        </row>
        <row r="346">
          <cell r="A346">
            <v>46185</v>
          </cell>
          <cell r="D346" t="str">
            <v>QUEEN CAROLYN</v>
          </cell>
          <cell r="E346">
            <v>1</v>
          </cell>
          <cell r="H346" t="str">
            <v>BADIE</v>
          </cell>
          <cell r="N346">
            <v>1000</v>
          </cell>
          <cell r="Y346">
            <v>46185</v>
          </cell>
          <cell r="Z346">
            <v>2</v>
          </cell>
          <cell r="AA346">
            <v>1000</v>
          </cell>
        </row>
        <row r="347">
          <cell r="A347">
            <v>46185</v>
          </cell>
          <cell r="D347" t="str">
            <v>QUEEN CAROLYN</v>
          </cell>
          <cell r="E347">
            <v>1</v>
          </cell>
          <cell r="H347" t="str">
            <v>SAFISCOR</v>
          </cell>
          <cell r="N347">
            <v>1000</v>
          </cell>
          <cell r="Y347">
            <v>46185</v>
          </cell>
          <cell r="Z347">
            <v>2</v>
          </cell>
          <cell r="AA347">
            <v>1000</v>
          </cell>
        </row>
        <row r="348">
          <cell r="A348">
            <v>46185</v>
          </cell>
          <cell r="D348" t="str">
            <v>ADOLFO SR</v>
          </cell>
          <cell r="E348">
            <v>1</v>
          </cell>
          <cell r="H348" t="str">
            <v>SAFISCOR</v>
          </cell>
          <cell r="N348">
            <v>1000</v>
          </cell>
          <cell r="Y348">
            <v>46185</v>
          </cell>
          <cell r="Z348">
            <v>2</v>
          </cell>
          <cell r="AA348">
            <v>1000</v>
          </cell>
        </row>
        <row r="349">
          <cell r="A349">
            <v>46185</v>
          </cell>
          <cell r="D349" t="str">
            <v>QUEEN CAROLYN</v>
          </cell>
          <cell r="E349">
            <v>1</v>
          </cell>
          <cell r="H349" t="str">
            <v>SAFISCOR</v>
          </cell>
          <cell r="N349">
            <v>1000</v>
          </cell>
          <cell r="Y349">
            <v>46185</v>
          </cell>
          <cell r="Z349">
            <v>2</v>
          </cell>
          <cell r="AA349">
            <v>1000</v>
          </cell>
        </row>
        <row r="350">
          <cell r="A350">
            <v>46185</v>
          </cell>
          <cell r="D350" t="str">
            <v>EMERALD STAR</v>
          </cell>
          <cell r="E350">
            <v>1</v>
          </cell>
          <cell r="H350" t="str">
            <v>SAFISCOR</v>
          </cell>
          <cell r="N350">
            <v>500</v>
          </cell>
          <cell r="Y350">
            <v>46185</v>
          </cell>
          <cell r="Z350">
            <v>2</v>
          </cell>
          <cell r="AA350">
            <v>1000</v>
          </cell>
        </row>
        <row r="351">
          <cell r="A351">
            <v>46185</v>
          </cell>
          <cell r="D351" t="str">
            <v>EMERALD STAR</v>
          </cell>
          <cell r="E351">
            <v>1</v>
          </cell>
          <cell r="H351" t="str">
            <v>SAFISCOR</v>
          </cell>
          <cell r="N351">
            <v>500</v>
          </cell>
          <cell r="Y351">
            <v>46185</v>
          </cell>
          <cell r="Z351">
            <v>2</v>
          </cell>
          <cell r="AA351">
            <v>500</v>
          </cell>
        </row>
        <row r="352">
          <cell r="A352">
            <v>46185</v>
          </cell>
          <cell r="D352" t="str">
            <v>QUEEN CAROLYN</v>
          </cell>
          <cell r="E352">
            <v>1</v>
          </cell>
          <cell r="H352" t="str">
            <v>SAFISCOR</v>
          </cell>
          <cell r="N352">
            <v>1000</v>
          </cell>
          <cell r="Y352">
            <v>46185</v>
          </cell>
          <cell r="Z352">
            <v>2</v>
          </cell>
          <cell r="AA352">
            <v>500</v>
          </cell>
        </row>
        <row r="353">
          <cell r="A353">
            <v>46185</v>
          </cell>
          <cell r="D353" t="str">
            <v>ADOLFO SR</v>
          </cell>
          <cell r="E353">
            <v>1</v>
          </cell>
          <cell r="H353" t="str">
            <v>SAFISCOR</v>
          </cell>
          <cell r="N353">
            <v>1000</v>
          </cell>
          <cell r="Y353">
            <v>46186</v>
          </cell>
          <cell r="Z353">
            <v>1</v>
          </cell>
          <cell r="AA353">
            <v>1000</v>
          </cell>
        </row>
        <row r="354">
          <cell r="A354">
            <v>46185</v>
          </cell>
          <cell r="D354" t="str">
            <v>ADOLFO SR</v>
          </cell>
          <cell r="E354">
            <v>1</v>
          </cell>
          <cell r="H354" t="str">
            <v>GEO</v>
          </cell>
          <cell r="N354">
            <v>1000</v>
          </cell>
          <cell r="Y354">
            <v>46186</v>
          </cell>
          <cell r="Z354">
            <v>1</v>
          </cell>
          <cell r="AA354">
            <v>1000</v>
          </cell>
        </row>
        <row r="355">
          <cell r="A355">
            <v>46185</v>
          </cell>
          <cell r="D355" t="str">
            <v>ADOLFO SR</v>
          </cell>
          <cell r="E355">
            <v>1</v>
          </cell>
          <cell r="H355" t="str">
            <v>BADIE</v>
          </cell>
          <cell r="N355">
            <v>1000</v>
          </cell>
          <cell r="Y355">
            <v>46185</v>
          </cell>
          <cell r="Z355">
            <v>2</v>
          </cell>
          <cell r="AA355">
            <v>1000</v>
          </cell>
        </row>
        <row r="356">
          <cell r="A356">
            <v>46185</v>
          </cell>
          <cell r="D356" t="str">
            <v>ADOLFO SR</v>
          </cell>
          <cell r="E356">
            <v>1</v>
          </cell>
          <cell r="H356" t="str">
            <v>SAFISCOR</v>
          </cell>
          <cell r="N356">
            <v>1000</v>
          </cell>
          <cell r="Y356">
            <v>46185</v>
          </cell>
          <cell r="Z356">
            <v>2</v>
          </cell>
          <cell r="AA356">
            <v>1000</v>
          </cell>
        </row>
        <row r="357">
          <cell r="A357">
            <v>46185</v>
          </cell>
          <cell r="D357" t="str">
            <v>ADOLFO SR</v>
          </cell>
          <cell r="E357">
            <v>1</v>
          </cell>
          <cell r="H357" t="str">
            <v>SAFISCOR</v>
          </cell>
          <cell r="N357">
            <v>1000</v>
          </cell>
          <cell r="Y357">
            <v>46186</v>
          </cell>
          <cell r="Z357">
            <v>1</v>
          </cell>
          <cell r="AA357">
            <v>1000</v>
          </cell>
        </row>
        <row r="358">
          <cell r="A358">
            <v>46185</v>
          </cell>
          <cell r="D358" t="str">
            <v>ADOLFO SR</v>
          </cell>
          <cell r="E358">
            <v>1</v>
          </cell>
          <cell r="H358" t="str">
            <v>LAPU-LAPU</v>
          </cell>
          <cell r="N358">
            <v>1000</v>
          </cell>
          <cell r="Y358">
            <v>46185</v>
          </cell>
          <cell r="Z358">
            <v>2</v>
          </cell>
          <cell r="AA358">
            <v>1000</v>
          </cell>
        </row>
        <row r="359">
          <cell r="A359">
            <v>46185</v>
          </cell>
          <cell r="D359" t="str">
            <v>ADOLFO SR</v>
          </cell>
          <cell r="E359">
            <v>1</v>
          </cell>
          <cell r="H359" t="str">
            <v>SAFISCOR</v>
          </cell>
          <cell r="N359">
            <v>1000</v>
          </cell>
          <cell r="Y359">
            <v>46186</v>
          </cell>
          <cell r="Z359">
            <v>2</v>
          </cell>
          <cell r="AA359">
            <v>1000</v>
          </cell>
        </row>
        <row r="360">
          <cell r="A360">
            <v>46185</v>
          </cell>
          <cell r="D360" t="str">
            <v>EMERALD STAR</v>
          </cell>
          <cell r="E360">
            <v>1</v>
          </cell>
          <cell r="H360" t="str">
            <v>GEO</v>
          </cell>
          <cell r="N360">
            <v>1000</v>
          </cell>
          <cell r="Y360">
            <v>46185</v>
          </cell>
          <cell r="Z360">
            <v>2</v>
          </cell>
          <cell r="AA360">
            <v>1000</v>
          </cell>
        </row>
        <row r="361">
          <cell r="A361">
            <v>46185</v>
          </cell>
          <cell r="D361" t="str">
            <v>ADOLFO SR</v>
          </cell>
          <cell r="E361">
            <v>1</v>
          </cell>
          <cell r="H361" t="str">
            <v>SAFISCOR</v>
          </cell>
          <cell r="N361">
            <v>1080</v>
          </cell>
          <cell r="Y361">
            <v>46185</v>
          </cell>
          <cell r="Z361">
            <v>2</v>
          </cell>
          <cell r="AA361">
            <v>1000</v>
          </cell>
        </row>
        <row r="362">
          <cell r="A362">
            <v>46185</v>
          </cell>
          <cell r="D362" t="str">
            <v xml:space="preserve">STAR SOGOD </v>
          </cell>
          <cell r="E362">
            <v>1</v>
          </cell>
          <cell r="H362" t="str">
            <v>SAFISCOR</v>
          </cell>
          <cell r="N362">
            <v>1000</v>
          </cell>
          <cell r="Y362">
            <v>46185</v>
          </cell>
          <cell r="Z362">
            <v>2</v>
          </cell>
          <cell r="AA362">
            <v>1080</v>
          </cell>
        </row>
        <row r="363">
          <cell r="A363">
            <v>46185</v>
          </cell>
          <cell r="D363" t="str">
            <v>ADOLFO SR</v>
          </cell>
          <cell r="E363">
            <v>1</v>
          </cell>
          <cell r="H363" t="str">
            <v>SAFISCOR</v>
          </cell>
          <cell r="N363">
            <v>1000</v>
          </cell>
          <cell r="Y363">
            <v>46186</v>
          </cell>
          <cell r="Z363">
            <v>2</v>
          </cell>
          <cell r="AA363">
            <v>1000</v>
          </cell>
        </row>
        <row r="364">
          <cell r="A364">
            <v>46185</v>
          </cell>
          <cell r="D364" t="str">
            <v>ADOLFO SR</v>
          </cell>
          <cell r="E364">
            <v>1</v>
          </cell>
          <cell r="H364" t="str">
            <v>SAFISCOR</v>
          </cell>
          <cell r="N364">
            <v>1000</v>
          </cell>
          <cell r="Y364">
            <v>46186</v>
          </cell>
          <cell r="Z364">
            <v>2</v>
          </cell>
          <cell r="AA364">
            <v>1000</v>
          </cell>
        </row>
        <row r="365">
          <cell r="A365">
            <v>46185</v>
          </cell>
          <cell r="D365" t="str">
            <v>ADOLFO SR</v>
          </cell>
          <cell r="E365">
            <v>1</v>
          </cell>
          <cell r="H365" t="str">
            <v>SAFISCOR</v>
          </cell>
          <cell r="N365">
            <v>1000</v>
          </cell>
          <cell r="Y365">
            <v>46186</v>
          </cell>
          <cell r="Z365">
            <v>2</v>
          </cell>
          <cell r="AA365">
            <v>1000</v>
          </cell>
        </row>
        <row r="366">
          <cell r="A366">
            <v>46185</v>
          </cell>
          <cell r="D366" t="str">
            <v>ADOLFO SR</v>
          </cell>
          <cell r="E366">
            <v>1</v>
          </cell>
          <cell r="H366" t="str">
            <v>SAFISCOR</v>
          </cell>
          <cell r="N366">
            <v>1000</v>
          </cell>
          <cell r="Y366">
            <v>46186</v>
          </cell>
          <cell r="Z366">
            <v>1</v>
          </cell>
          <cell r="AA366">
            <v>1000</v>
          </cell>
        </row>
        <row r="367">
          <cell r="A367">
            <v>46185</v>
          </cell>
          <cell r="D367" t="str">
            <v>ADOLFO SR</v>
          </cell>
          <cell r="E367">
            <v>1</v>
          </cell>
          <cell r="H367" t="str">
            <v>SAFISCOR</v>
          </cell>
          <cell r="N367">
            <v>1000</v>
          </cell>
          <cell r="Y367">
            <v>46186</v>
          </cell>
          <cell r="Z367">
            <v>1</v>
          </cell>
          <cell r="AA367">
            <v>1000</v>
          </cell>
        </row>
        <row r="368">
          <cell r="A368">
            <v>46185</v>
          </cell>
          <cell r="D368" t="str">
            <v>ADOLFO SR</v>
          </cell>
          <cell r="E368">
            <v>1</v>
          </cell>
          <cell r="H368" t="str">
            <v>SAFISCOR</v>
          </cell>
          <cell r="N368">
            <v>1000</v>
          </cell>
          <cell r="Y368">
            <v>46185</v>
          </cell>
          <cell r="Z368">
            <v>2</v>
          </cell>
          <cell r="AA368">
            <v>1000</v>
          </cell>
        </row>
        <row r="369">
          <cell r="A369">
            <v>46185</v>
          </cell>
          <cell r="D369" t="str">
            <v>EMERALD STAR</v>
          </cell>
          <cell r="E369">
            <v>1</v>
          </cell>
          <cell r="H369" t="str">
            <v>SAFISCOR</v>
          </cell>
          <cell r="N369">
            <v>1000</v>
          </cell>
          <cell r="Y369">
            <v>46185</v>
          </cell>
          <cell r="Z369">
            <v>2</v>
          </cell>
          <cell r="AA369">
            <v>1000</v>
          </cell>
        </row>
        <row r="370">
          <cell r="A370">
            <v>46185</v>
          </cell>
          <cell r="D370" t="str">
            <v>ADOLFO SR</v>
          </cell>
          <cell r="E370">
            <v>1</v>
          </cell>
          <cell r="H370" t="str">
            <v>SAFISCOR</v>
          </cell>
          <cell r="N370">
            <v>1080</v>
          </cell>
          <cell r="Y370">
            <v>46185</v>
          </cell>
          <cell r="Z370">
            <v>2</v>
          </cell>
          <cell r="AA370">
            <v>1000</v>
          </cell>
        </row>
        <row r="371">
          <cell r="A371">
            <v>46186</v>
          </cell>
          <cell r="D371" t="str">
            <v xml:space="preserve">STAR SOGOD </v>
          </cell>
          <cell r="E371">
            <v>1</v>
          </cell>
          <cell r="H371" t="str">
            <v>LAPU-LAPU</v>
          </cell>
          <cell r="N371">
            <v>1000</v>
          </cell>
          <cell r="Y371">
            <v>46185</v>
          </cell>
          <cell r="Z371">
            <v>2</v>
          </cell>
          <cell r="AA371">
            <v>1080</v>
          </cell>
        </row>
        <row r="372">
          <cell r="A372">
            <v>46186</v>
          </cell>
          <cell r="D372" t="str">
            <v>ADOLFO SR</v>
          </cell>
          <cell r="E372">
            <v>1</v>
          </cell>
          <cell r="H372" t="str">
            <v>SAFISCOR</v>
          </cell>
          <cell r="N372">
            <v>1000</v>
          </cell>
          <cell r="Y372">
            <v>46176</v>
          </cell>
          <cell r="Z372">
            <v>2</v>
          </cell>
          <cell r="AA372">
            <v>1000</v>
          </cell>
        </row>
        <row r="373">
          <cell r="A373">
            <v>46186</v>
          </cell>
          <cell r="D373" t="str">
            <v>STAR FREEDOM</v>
          </cell>
          <cell r="E373">
            <v>1</v>
          </cell>
          <cell r="H373" t="str">
            <v>SAFISCOR</v>
          </cell>
          <cell r="N373">
            <v>1000</v>
          </cell>
          <cell r="Y373">
            <v>46186</v>
          </cell>
          <cell r="Z373">
            <v>1</v>
          </cell>
          <cell r="AA373">
            <v>1000</v>
          </cell>
        </row>
        <row r="374">
          <cell r="A374">
            <v>46186</v>
          </cell>
          <cell r="D374" t="str">
            <v>ADOLFO SR</v>
          </cell>
          <cell r="E374">
            <v>1</v>
          </cell>
          <cell r="H374" t="str">
            <v>SAFISCOR</v>
          </cell>
          <cell r="N374">
            <v>1000</v>
          </cell>
          <cell r="Y374">
            <v>46186</v>
          </cell>
          <cell r="Z374">
            <v>2</v>
          </cell>
          <cell r="AA374">
            <v>1000</v>
          </cell>
        </row>
        <row r="375">
          <cell r="A375">
            <v>46186</v>
          </cell>
          <cell r="D375" t="str">
            <v>STAR FREEDOM</v>
          </cell>
          <cell r="E375">
            <v>1</v>
          </cell>
          <cell r="H375" t="str">
            <v>LAPU-LAPU</v>
          </cell>
          <cell r="N375">
            <v>1000</v>
          </cell>
          <cell r="Y375">
            <v>46186</v>
          </cell>
          <cell r="Z375">
            <v>1</v>
          </cell>
          <cell r="AA375">
            <v>1000</v>
          </cell>
        </row>
        <row r="376">
          <cell r="A376">
            <v>46186</v>
          </cell>
          <cell r="D376" t="str">
            <v>STAR FREEDOM</v>
          </cell>
          <cell r="E376">
            <v>1</v>
          </cell>
          <cell r="H376" t="str">
            <v>SAFISCOR</v>
          </cell>
          <cell r="N376">
            <v>1000</v>
          </cell>
          <cell r="Y376">
            <v>46186</v>
          </cell>
          <cell r="Z376">
            <v>1</v>
          </cell>
          <cell r="AA376">
            <v>1000</v>
          </cell>
        </row>
        <row r="377">
          <cell r="A377">
            <v>46186</v>
          </cell>
          <cell r="D377" t="str">
            <v>QUEEN CAROLYN</v>
          </cell>
          <cell r="E377">
            <v>1</v>
          </cell>
          <cell r="H377" t="str">
            <v>BADIE</v>
          </cell>
          <cell r="N377">
            <v>1000</v>
          </cell>
          <cell r="Y377">
            <v>46186</v>
          </cell>
          <cell r="Z377">
            <v>1</v>
          </cell>
          <cell r="AA377">
            <v>1000</v>
          </cell>
        </row>
        <row r="378">
          <cell r="A378">
            <v>46186</v>
          </cell>
          <cell r="D378" t="str">
            <v>STAR FREEDOM</v>
          </cell>
          <cell r="E378">
            <v>1</v>
          </cell>
          <cell r="H378" t="str">
            <v>APLUS</v>
          </cell>
          <cell r="N378">
            <v>1000</v>
          </cell>
          <cell r="Y378">
            <v>46186</v>
          </cell>
          <cell r="Z378">
            <v>1</v>
          </cell>
          <cell r="AA378">
            <v>1000</v>
          </cell>
        </row>
        <row r="379">
          <cell r="A379">
            <v>46186</v>
          </cell>
          <cell r="D379" t="str">
            <v>QUEEN CAROLYN</v>
          </cell>
          <cell r="E379">
            <v>1</v>
          </cell>
          <cell r="H379" t="str">
            <v>GEO</v>
          </cell>
          <cell r="N379">
            <v>1080</v>
          </cell>
          <cell r="Y379">
            <v>46186</v>
          </cell>
          <cell r="Z379">
            <v>1</v>
          </cell>
          <cell r="AA379">
            <v>1000</v>
          </cell>
        </row>
        <row r="380">
          <cell r="A380">
            <v>46186</v>
          </cell>
          <cell r="D380" t="str">
            <v xml:space="preserve">STAR SOGOD </v>
          </cell>
          <cell r="E380">
            <v>1</v>
          </cell>
          <cell r="H380" t="str">
            <v>SAFISCOR</v>
          </cell>
          <cell r="N380">
            <v>1080</v>
          </cell>
          <cell r="Y380">
            <v>46186</v>
          </cell>
          <cell r="Z380">
            <v>2</v>
          </cell>
          <cell r="AA380">
            <v>1080</v>
          </cell>
        </row>
        <row r="381">
          <cell r="A381">
            <v>46186</v>
          </cell>
          <cell r="D381" t="str">
            <v>LADY ARMOR</v>
          </cell>
          <cell r="E381">
            <v>1</v>
          </cell>
          <cell r="H381" t="str">
            <v>LAPU-LAPU</v>
          </cell>
          <cell r="N381">
            <v>1000</v>
          </cell>
          <cell r="Y381">
            <v>46186</v>
          </cell>
          <cell r="Z381">
            <v>1</v>
          </cell>
          <cell r="AA381">
            <v>1080</v>
          </cell>
        </row>
        <row r="382">
          <cell r="A382">
            <v>46186</v>
          </cell>
          <cell r="D382" t="str">
            <v>QUEEN CAROLYN</v>
          </cell>
          <cell r="E382">
            <v>1</v>
          </cell>
          <cell r="H382" t="str">
            <v>SAFISCOR</v>
          </cell>
          <cell r="N382">
            <v>500</v>
          </cell>
          <cell r="Y382">
            <v>46186</v>
          </cell>
          <cell r="Z382">
            <v>1</v>
          </cell>
          <cell r="AA382">
            <v>1000</v>
          </cell>
        </row>
        <row r="383">
          <cell r="A383">
            <v>46186</v>
          </cell>
          <cell r="D383" t="str">
            <v>ADOLFO SR</v>
          </cell>
          <cell r="E383">
            <v>1</v>
          </cell>
          <cell r="H383" t="str">
            <v>SAFISCOR</v>
          </cell>
          <cell r="N383">
            <v>500</v>
          </cell>
          <cell r="Y383">
            <v>46186</v>
          </cell>
          <cell r="Z383">
            <v>1</v>
          </cell>
          <cell r="AA383">
            <v>1000</v>
          </cell>
        </row>
        <row r="384">
          <cell r="A384">
            <v>46186</v>
          </cell>
          <cell r="D384" t="str">
            <v>LADY ARMOR</v>
          </cell>
          <cell r="E384">
            <v>1</v>
          </cell>
          <cell r="H384" t="str">
            <v>SAFISCOR</v>
          </cell>
          <cell r="N384">
            <v>1000</v>
          </cell>
          <cell r="Y384">
            <v>46187</v>
          </cell>
          <cell r="Z384">
            <v>1</v>
          </cell>
          <cell r="AA384">
            <v>500</v>
          </cell>
        </row>
        <row r="385">
          <cell r="A385">
            <v>46186</v>
          </cell>
          <cell r="D385" t="str">
            <v>QUEEN CAROLYN</v>
          </cell>
          <cell r="E385">
            <v>1</v>
          </cell>
          <cell r="H385" t="str">
            <v>SAFISCOR</v>
          </cell>
          <cell r="N385">
            <v>1000</v>
          </cell>
          <cell r="Y385">
            <v>46186</v>
          </cell>
          <cell r="Z385">
            <v>1</v>
          </cell>
          <cell r="AA385">
            <v>1000</v>
          </cell>
        </row>
        <row r="386">
          <cell r="A386">
            <v>46186</v>
          </cell>
          <cell r="D386" t="str">
            <v>STAR FREEDOM</v>
          </cell>
          <cell r="E386">
            <v>1</v>
          </cell>
          <cell r="H386" t="str">
            <v>SAFISCOR</v>
          </cell>
          <cell r="N386">
            <v>1080</v>
          </cell>
          <cell r="Y386">
            <v>46186</v>
          </cell>
          <cell r="Z386">
            <v>1</v>
          </cell>
          <cell r="AA386">
            <v>1000</v>
          </cell>
        </row>
        <row r="387">
          <cell r="A387">
            <v>46186</v>
          </cell>
          <cell r="D387" t="str">
            <v>LADY ARMOR</v>
          </cell>
          <cell r="E387">
            <v>1</v>
          </cell>
          <cell r="H387" t="str">
            <v>SAFISCOR</v>
          </cell>
          <cell r="N387">
            <v>1000</v>
          </cell>
          <cell r="Y387">
            <v>46186</v>
          </cell>
          <cell r="Z387">
            <v>1</v>
          </cell>
          <cell r="AA387">
            <v>1080</v>
          </cell>
        </row>
        <row r="388">
          <cell r="A388">
            <v>46186</v>
          </cell>
          <cell r="D388" t="str">
            <v>STAR FREEDOM</v>
          </cell>
          <cell r="E388">
            <v>1</v>
          </cell>
          <cell r="H388" t="str">
            <v>LAPU-LAPU</v>
          </cell>
          <cell r="N388">
            <v>1000</v>
          </cell>
          <cell r="Y388">
            <v>46186</v>
          </cell>
          <cell r="Z388">
            <v>1</v>
          </cell>
          <cell r="AA388">
            <v>1000</v>
          </cell>
        </row>
        <row r="389">
          <cell r="A389">
            <v>46186</v>
          </cell>
          <cell r="D389" t="str">
            <v>STAR FREEDOM</v>
          </cell>
          <cell r="E389">
            <v>1</v>
          </cell>
          <cell r="H389" t="str">
            <v>SAFISCOR</v>
          </cell>
          <cell r="N389">
            <v>1000</v>
          </cell>
          <cell r="Y389">
            <v>46186</v>
          </cell>
          <cell r="Z389">
            <v>1</v>
          </cell>
          <cell r="AA389">
            <v>1000</v>
          </cell>
        </row>
        <row r="390">
          <cell r="A390">
            <v>46186</v>
          </cell>
          <cell r="D390" t="str">
            <v>QUEEN CAROLYN</v>
          </cell>
          <cell r="E390">
            <v>1</v>
          </cell>
          <cell r="H390" t="str">
            <v>SAFISCOR</v>
          </cell>
          <cell r="N390">
            <v>1080</v>
          </cell>
          <cell r="Y390">
            <v>46186</v>
          </cell>
          <cell r="Z390">
            <v>2</v>
          </cell>
          <cell r="AA390">
            <v>1000</v>
          </cell>
        </row>
        <row r="391">
          <cell r="A391">
            <v>46186</v>
          </cell>
          <cell r="D391" t="str">
            <v xml:space="preserve">STAR SOGOD </v>
          </cell>
          <cell r="E391">
            <v>1</v>
          </cell>
          <cell r="H391" t="str">
            <v>SAFISCOR</v>
          </cell>
          <cell r="N391">
            <v>1000</v>
          </cell>
          <cell r="Y391">
            <v>46186</v>
          </cell>
          <cell r="Z391">
            <v>1</v>
          </cell>
          <cell r="AA391">
            <v>1080</v>
          </cell>
        </row>
        <row r="392">
          <cell r="A392">
            <v>46186</v>
          </cell>
          <cell r="D392" t="str">
            <v>STAR FREEDOM</v>
          </cell>
          <cell r="E392">
            <v>1</v>
          </cell>
          <cell r="H392" t="str">
            <v>SAFISCOR</v>
          </cell>
          <cell r="N392">
            <v>1000</v>
          </cell>
          <cell r="Y392">
            <v>46186</v>
          </cell>
          <cell r="Z392">
            <v>2</v>
          </cell>
          <cell r="AA392">
            <v>1000</v>
          </cell>
        </row>
        <row r="393">
          <cell r="A393">
            <v>46186</v>
          </cell>
          <cell r="D393" t="str">
            <v>STAR FREEDOM</v>
          </cell>
          <cell r="E393">
            <v>1</v>
          </cell>
          <cell r="H393" t="str">
            <v>SAFISCOR</v>
          </cell>
          <cell r="N393">
            <v>1000</v>
          </cell>
          <cell r="Y393">
            <v>46186</v>
          </cell>
          <cell r="Z393">
            <v>1</v>
          </cell>
          <cell r="AA393">
            <v>1000</v>
          </cell>
        </row>
        <row r="394">
          <cell r="A394">
            <v>46186</v>
          </cell>
          <cell r="D394" t="str">
            <v>STAR FREEDOM</v>
          </cell>
          <cell r="E394">
            <v>1</v>
          </cell>
          <cell r="H394" t="str">
            <v>SAFISCOR</v>
          </cell>
          <cell r="N394">
            <v>1000</v>
          </cell>
          <cell r="Y394">
            <v>46186</v>
          </cell>
          <cell r="Z394">
            <v>1</v>
          </cell>
          <cell r="AA394">
            <v>1000</v>
          </cell>
        </row>
        <row r="395">
          <cell r="A395">
            <v>46186</v>
          </cell>
          <cell r="D395" t="str">
            <v>STAR FREEDOM</v>
          </cell>
          <cell r="E395">
            <v>1</v>
          </cell>
          <cell r="H395" t="str">
            <v>SAFISCOR</v>
          </cell>
          <cell r="N395">
            <v>1000</v>
          </cell>
          <cell r="Y395">
            <v>46187</v>
          </cell>
          <cell r="Z395">
            <v>1</v>
          </cell>
          <cell r="AA395">
            <v>1000</v>
          </cell>
        </row>
        <row r="396">
          <cell r="A396">
            <v>46186</v>
          </cell>
          <cell r="D396" t="str">
            <v>STAR FREEDOM</v>
          </cell>
          <cell r="E396">
            <v>1</v>
          </cell>
          <cell r="H396" t="str">
            <v>BADIE</v>
          </cell>
          <cell r="N396">
            <v>1000</v>
          </cell>
          <cell r="Y396">
            <v>46186</v>
          </cell>
          <cell r="Z396">
            <v>1</v>
          </cell>
          <cell r="AA396">
            <v>1000</v>
          </cell>
        </row>
        <row r="397">
          <cell r="A397">
            <v>46186</v>
          </cell>
          <cell r="D397" t="str">
            <v>STAR FREEDOM</v>
          </cell>
          <cell r="E397">
            <v>1</v>
          </cell>
          <cell r="H397" t="str">
            <v>GEO</v>
          </cell>
          <cell r="N397">
            <v>1000</v>
          </cell>
          <cell r="Y397">
            <v>46187</v>
          </cell>
          <cell r="Z397">
            <v>1</v>
          </cell>
          <cell r="AA397">
            <v>1000</v>
          </cell>
        </row>
        <row r="398">
          <cell r="A398">
            <v>46186</v>
          </cell>
          <cell r="D398" t="str">
            <v>STAR FREEDOM</v>
          </cell>
          <cell r="E398">
            <v>1</v>
          </cell>
          <cell r="H398" t="str">
            <v>GEO</v>
          </cell>
          <cell r="N398">
            <v>1080</v>
          </cell>
          <cell r="Y398">
            <v>46186</v>
          </cell>
          <cell r="Z398">
            <v>1</v>
          </cell>
          <cell r="AA398">
            <v>1000</v>
          </cell>
        </row>
        <row r="399">
          <cell r="A399">
            <v>46186</v>
          </cell>
          <cell r="D399" t="str">
            <v xml:space="preserve">STAR SOGOD </v>
          </cell>
          <cell r="E399">
            <v>1</v>
          </cell>
          <cell r="H399" t="str">
            <v>APLUS</v>
          </cell>
          <cell r="N399">
            <v>1000</v>
          </cell>
          <cell r="Y399">
            <v>46186</v>
          </cell>
          <cell r="Z399">
            <v>1</v>
          </cell>
          <cell r="AA399">
            <v>1080</v>
          </cell>
        </row>
        <row r="400">
          <cell r="A400">
            <v>46186</v>
          </cell>
          <cell r="D400" t="str">
            <v xml:space="preserve">STAR SOGOD </v>
          </cell>
          <cell r="E400">
            <v>1</v>
          </cell>
          <cell r="H400" t="str">
            <v>SAFISCOR</v>
          </cell>
          <cell r="N400">
            <v>1000</v>
          </cell>
          <cell r="Y400">
            <v>46187</v>
          </cell>
          <cell r="Z400">
            <v>1</v>
          </cell>
          <cell r="AA400">
            <v>1000</v>
          </cell>
        </row>
        <row r="401">
          <cell r="A401">
            <v>46186</v>
          </cell>
          <cell r="D401" t="str">
            <v>STAR FREEDOM</v>
          </cell>
          <cell r="E401">
            <v>1</v>
          </cell>
          <cell r="H401" t="str">
            <v>SAFISCOR</v>
          </cell>
          <cell r="N401">
            <v>1080</v>
          </cell>
          <cell r="Y401">
            <v>46186</v>
          </cell>
          <cell r="Z401">
            <v>2</v>
          </cell>
          <cell r="AA401">
            <v>1000</v>
          </cell>
        </row>
        <row r="402">
          <cell r="A402">
            <v>46186</v>
          </cell>
          <cell r="D402" t="str">
            <v>LADY ARMOR</v>
          </cell>
          <cell r="E402">
            <v>1</v>
          </cell>
          <cell r="H402" t="str">
            <v>GEO</v>
          </cell>
          <cell r="N402">
            <v>1000</v>
          </cell>
          <cell r="Y402">
            <v>46187</v>
          </cell>
          <cell r="Z402">
            <v>1</v>
          </cell>
          <cell r="AA402">
            <v>1080</v>
          </cell>
        </row>
        <row r="403">
          <cell r="A403">
            <v>46186</v>
          </cell>
          <cell r="D403" t="str">
            <v>LADY ARMOR</v>
          </cell>
          <cell r="E403">
            <v>1</v>
          </cell>
          <cell r="H403" t="str">
            <v>SAFISCOR</v>
          </cell>
          <cell r="N403">
            <v>1080</v>
          </cell>
          <cell r="Y403">
            <v>46187</v>
          </cell>
          <cell r="Z403">
            <v>1</v>
          </cell>
          <cell r="AA403">
            <v>1000</v>
          </cell>
        </row>
        <row r="404">
          <cell r="A404">
            <v>46186</v>
          </cell>
          <cell r="D404" t="str">
            <v>LADY ARMOR</v>
          </cell>
          <cell r="E404">
            <v>1</v>
          </cell>
          <cell r="H404" t="str">
            <v>SAFISCOR</v>
          </cell>
          <cell r="N404">
            <v>520</v>
          </cell>
          <cell r="Y404">
            <v>46187</v>
          </cell>
          <cell r="Z404">
            <v>1</v>
          </cell>
          <cell r="AA404">
            <v>1080</v>
          </cell>
        </row>
        <row r="405">
          <cell r="A405">
            <v>46186</v>
          </cell>
          <cell r="D405" t="str">
            <v xml:space="preserve">STAR SOGOD </v>
          </cell>
          <cell r="E405">
            <v>1</v>
          </cell>
          <cell r="H405" t="str">
            <v>SAFISCOR</v>
          </cell>
          <cell r="N405">
            <v>500</v>
          </cell>
          <cell r="Y405">
            <v>46186</v>
          </cell>
          <cell r="Z405">
            <v>2</v>
          </cell>
          <cell r="AA405">
            <v>520</v>
          </cell>
        </row>
        <row r="406">
          <cell r="A406">
            <v>46186</v>
          </cell>
          <cell r="D406" t="str">
            <v>LADY ARMOR</v>
          </cell>
          <cell r="E406">
            <v>1</v>
          </cell>
          <cell r="H406" t="str">
            <v>SAFISCOR</v>
          </cell>
          <cell r="N406">
            <v>1000</v>
          </cell>
          <cell r="Y406">
            <v>46187</v>
          </cell>
          <cell r="Z406">
            <v>1</v>
          </cell>
          <cell r="AA406">
            <v>500</v>
          </cell>
        </row>
        <row r="407">
          <cell r="A407">
            <v>46186</v>
          </cell>
          <cell r="D407" t="str">
            <v>STAR FREEDOM</v>
          </cell>
          <cell r="E407">
            <v>1</v>
          </cell>
          <cell r="H407" t="str">
            <v>SAFISCOR</v>
          </cell>
          <cell r="N407">
            <v>1000</v>
          </cell>
          <cell r="Y407">
            <v>46187</v>
          </cell>
          <cell r="Z407">
            <v>1</v>
          </cell>
          <cell r="AA407">
            <v>1000</v>
          </cell>
        </row>
        <row r="408">
          <cell r="A408">
            <v>46186</v>
          </cell>
          <cell r="D408" t="str">
            <v>STAR FREEDOM</v>
          </cell>
          <cell r="E408">
            <v>1</v>
          </cell>
          <cell r="H408" t="str">
            <v>SAFISCOR</v>
          </cell>
          <cell r="N408">
            <v>1000</v>
          </cell>
          <cell r="Y408">
            <v>46187</v>
          </cell>
          <cell r="Z408">
            <v>1</v>
          </cell>
          <cell r="AA408">
            <v>1000</v>
          </cell>
        </row>
        <row r="409">
          <cell r="A409">
            <v>46186</v>
          </cell>
          <cell r="D409" t="str">
            <v>STAR FREEDOM</v>
          </cell>
          <cell r="E409">
            <v>1</v>
          </cell>
          <cell r="H409" t="str">
            <v>SAFISCOR</v>
          </cell>
          <cell r="N409">
            <v>1000</v>
          </cell>
          <cell r="Y409">
            <v>46187</v>
          </cell>
          <cell r="Z409">
            <v>1</v>
          </cell>
          <cell r="AA409">
            <v>1000</v>
          </cell>
        </row>
        <row r="410">
          <cell r="A410">
            <v>46186</v>
          </cell>
          <cell r="D410" t="str">
            <v>STAR FREEDOM</v>
          </cell>
          <cell r="E410">
            <v>1</v>
          </cell>
          <cell r="H410" t="str">
            <v>LAPU-LAPU</v>
          </cell>
          <cell r="N410">
            <v>1000</v>
          </cell>
          <cell r="Y410">
            <v>46186</v>
          </cell>
          <cell r="Z410">
            <v>2</v>
          </cell>
          <cell r="AA410">
            <v>1000</v>
          </cell>
        </row>
        <row r="411">
          <cell r="A411">
            <v>46186</v>
          </cell>
          <cell r="D411" t="str">
            <v>STAR FREEDOM</v>
          </cell>
          <cell r="E411">
            <v>1</v>
          </cell>
          <cell r="H411" t="str">
            <v>BADIE</v>
          </cell>
          <cell r="N411">
            <v>1000</v>
          </cell>
          <cell r="Y411">
            <v>46186</v>
          </cell>
          <cell r="Z411">
            <v>2</v>
          </cell>
          <cell r="AA411">
            <v>1000</v>
          </cell>
        </row>
        <row r="412">
          <cell r="A412">
            <v>46186</v>
          </cell>
          <cell r="D412" t="str">
            <v>STAR FREEDOM</v>
          </cell>
          <cell r="E412">
            <v>1</v>
          </cell>
          <cell r="H412" t="str">
            <v>SAFISCOR</v>
          </cell>
          <cell r="N412">
            <v>1000</v>
          </cell>
          <cell r="Y412">
            <v>46186</v>
          </cell>
          <cell r="Z412">
            <v>2</v>
          </cell>
          <cell r="AA412">
            <v>1000</v>
          </cell>
        </row>
        <row r="413">
          <cell r="A413">
            <v>46186</v>
          </cell>
          <cell r="D413" t="str">
            <v>QUEEN CAROLYN</v>
          </cell>
          <cell r="E413">
            <v>1</v>
          </cell>
          <cell r="H413" t="str">
            <v>SAFISCOR</v>
          </cell>
          <cell r="N413">
            <v>1080</v>
          </cell>
          <cell r="Y413">
            <v>46186</v>
          </cell>
          <cell r="Z413">
            <v>2</v>
          </cell>
          <cell r="AA413">
            <v>1000</v>
          </cell>
        </row>
        <row r="414">
          <cell r="A414">
            <v>46186</v>
          </cell>
          <cell r="D414" t="str">
            <v>LADY ARMOR</v>
          </cell>
          <cell r="E414">
            <v>1</v>
          </cell>
          <cell r="H414" t="str">
            <v>SAFISCOR</v>
          </cell>
          <cell r="N414">
            <v>1080</v>
          </cell>
          <cell r="Y414">
            <v>46187</v>
          </cell>
          <cell r="Z414">
            <v>1</v>
          </cell>
          <cell r="AA414">
            <v>1080</v>
          </cell>
        </row>
        <row r="415">
          <cell r="A415">
            <v>46186</v>
          </cell>
          <cell r="D415" t="str">
            <v>LADY ARMOR</v>
          </cell>
          <cell r="E415">
            <v>1</v>
          </cell>
          <cell r="H415" t="str">
            <v>SAFISCOR</v>
          </cell>
          <cell r="N415">
            <v>1000</v>
          </cell>
          <cell r="Y415">
            <v>46187</v>
          </cell>
          <cell r="Z415">
            <v>1</v>
          </cell>
          <cell r="AA415">
            <v>1080</v>
          </cell>
        </row>
        <row r="416">
          <cell r="A416">
            <v>46186</v>
          </cell>
          <cell r="D416" t="str">
            <v>STAR FREEDOM</v>
          </cell>
          <cell r="E416">
            <v>1</v>
          </cell>
          <cell r="H416" t="str">
            <v>SAFISCOR</v>
          </cell>
          <cell r="N416">
            <v>1000</v>
          </cell>
          <cell r="Y416">
            <v>46187</v>
          </cell>
          <cell r="Z416">
            <v>1</v>
          </cell>
          <cell r="AA416">
            <v>1000</v>
          </cell>
        </row>
        <row r="417">
          <cell r="A417">
            <v>46186</v>
          </cell>
          <cell r="D417" t="str">
            <v>STAR FREEDOM</v>
          </cell>
          <cell r="E417">
            <v>1</v>
          </cell>
          <cell r="H417" t="str">
            <v>SAFISCOR</v>
          </cell>
          <cell r="N417">
            <v>1000</v>
          </cell>
          <cell r="Y417">
            <v>46187</v>
          </cell>
          <cell r="Z417">
            <v>1</v>
          </cell>
          <cell r="AA417">
            <v>1000</v>
          </cell>
        </row>
        <row r="418">
          <cell r="A418">
            <v>46186</v>
          </cell>
          <cell r="D418" t="str">
            <v>LADY ARMOR</v>
          </cell>
          <cell r="E418">
            <v>1</v>
          </cell>
          <cell r="H418" t="str">
            <v>SAFISCOR</v>
          </cell>
          <cell r="N418">
            <v>1000</v>
          </cell>
          <cell r="Y418">
            <v>46187</v>
          </cell>
          <cell r="Z418">
            <v>1</v>
          </cell>
          <cell r="AA418">
            <v>1000</v>
          </cell>
        </row>
        <row r="419">
          <cell r="A419">
            <v>46186</v>
          </cell>
          <cell r="D419" t="str">
            <v>LADY ARMOR</v>
          </cell>
          <cell r="E419">
            <v>1</v>
          </cell>
          <cell r="H419" t="str">
            <v>GEO</v>
          </cell>
          <cell r="N419">
            <v>1000</v>
          </cell>
          <cell r="Y419">
            <v>46187</v>
          </cell>
          <cell r="Z419">
            <v>1</v>
          </cell>
          <cell r="AA419">
            <v>1000</v>
          </cell>
        </row>
        <row r="420">
          <cell r="A420">
            <v>46186</v>
          </cell>
          <cell r="D420" t="str">
            <v>LADY ARMOR</v>
          </cell>
          <cell r="E420">
            <v>1</v>
          </cell>
          <cell r="H420" t="str">
            <v>SAFISCOR</v>
          </cell>
          <cell r="N420">
            <v>1080</v>
          </cell>
          <cell r="Y420">
            <v>46187</v>
          </cell>
          <cell r="Z420">
            <v>1</v>
          </cell>
          <cell r="AA420">
            <v>1000</v>
          </cell>
        </row>
        <row r="421">
          <cell r="A421">
            <v>46186</v>
          </cell>
          <cell r="D421" t="str">
            <v>LADY ARMOR</v>
          </cell>
          <cell r="E421">
            <v>1</v>
          </cell>
          <cell r="H421" t="str">
            <v>SAFISCOR</v>
          </cell>
          <cell r="N421">
            <v>1000</v>
          </cell>
          <cell r="Y421">
            <v>46187</v>
          </cell>
          <cell r="Z421">
            <v>1</v>
          </cell>
          <cell r="AA421">
            <v>1080</v>
          </cell>
        </row>
        <row r="422">
          <cell r="A422">
            <v>46186</v>
          </cell>
          <cell r="D422" t="str">
            <v>LADY ARMOR</v>
          </cell>
          <cell r="E422">
            <v>1</v>
          </cell>
          <cell r="H422" t="str">
            <v>SAFISCOR</v>
          </cell>
          <cell r="N422">
            <v>1000</v>
          </cell>
          <cell r="Y422">
            <v>46187</v>
          </cell>
          <cell r="Z422">
            <v>1</v>
          </cell>
          <cell r="AA422">
            <v>1000</v>
          </cell>
        </row>
        <row r="423">
          <cell r="A423">
            <v>46186</v>
          </cell>
          <cell r="D423" t="str">
            <v>LADY ARMOR</v>
          </cell>
          <cell r="E423">
            <v>1</v>
          </cell>
          <cell r="H423" t="str">
            <v>SAFISCOR</v>
          </cell>
          <cell r="N423">
            <v>540</v>
          </cell>
          <cell r="Y423">
            <v>46187</v>
          </cell>
          <cell r="Z423">
            <v>1</v>
          </cell>
          <cell r="AA423">
            <v>1000</v>
          </cell>
        </row>
        <row r="424">
          <cell r="A424">
            <v>46186</v>
          </cell>
          <cell r="D424" t="str">
            <v>LADY ARMOR</v>
          </cell>
          <cell r="E424">
            <v>1</v>
          </cell>
          <cell r="H424" t="str">
            <v>SAFISCOR</v>
          </cell>
          <cell r="N424">
            <v>500</v>
          </cell>
          <cell r="Y424">
            <v>46187</v>
          </cell>
          <cell r="Z424">
            <v>1</v>
          </cell>
          <cell r="AA424">
            <v>540</v>
          </cell>
        </row>
        <row r="425">
          <cell r="A425">
            <v>46187</v>
          </cell>
          <cell r="D425" t="str">
            <v>LADY ARMOR</v>
          </cell>
          <cell r="E425">
            <v>1</v>
          </cell>
          <cell r="H425" t="str">
            <v>SAFISCOR</v>
          </cell>
          <cell r="N425">
            <v>1000</v>
          </cell>
          <cell r="Y425">
            <v>46187</v>
          </cell>
          <cell r="Z425">
            <v>1</v>
          </cell>
          <cell r="AA425">
            <v>500</v>
          </cell>
        </row>
        <row r="426">
          <cell r="A426">
            <v>46187</v>
          </cell>
          <cell r="D426" t="str">
            <v>STAR FREEDOM</v>
          </cell>
          <cell r="E426">
            <v>1</v>
          </cell>
          <cell r="H426" t="str">
            <v>SAFISCOR</v>
          </cell>
          <cell r="N426">
            <v>1000</v>
          </cell>
          <cell r="Y426">
            <v>46187</v>
          </cell>
          <cell r="Z426">
            <v>1</v>
          </cell>
          <cell r="AA426">
            <v>1000</v>
          </cell>
        </row>
        <row r="427">
          <cell r="A427">
            <v>46188</v>
          </cell>
          <cell r="D427" t="str">
            <v>STAR FREEDOM</v>
          </cell>
          <cell r="E427">
            <v>1</v>
          </cell>
          <cell r="H427" t="str">
            <v>SAFISCOR</v>
          </cell>
          <cell r="N427">
            <v>1000</v>
          </cell>
          <cell r="Y427">
            <v>46187</v>
          </cell>
          <cell r="Z427">
            <v>1</v>
          </cell>
          <cell r="AA427">
            <v>1000</v>
          </cell>
        </row>
        <row r="428">
          <cell r="A428">
            <v>46188</v>
          </cell>
          <cell r="D428" t="str">
            <v>QUEEN CAROLYN</v>
          </cell>
          <cell r="E428">
            <v>1</v>
          </cell>
          <cell r="H428" t="str">
            <v>BADIE</v>
          </cell>
          <cell r="N428">
            <v>1000</v>
          </cell>
          <cell r="Y428">
            <v>46188</v>
          </cell>
          <cell r="Z428">
            <v>1</v>
          </cell>
          <cell r="AA428">
            <v>1000</v>
          </cell>
        </row>
        <row r="429">
          <cell r="A429">
            <v>46188</v>
          </cell>
          <cell r="D429" t="str">
            <v>LADY OF REMEDY</v>
          </cell>
          <cell r="E429">
            <v>2</v>
          </cell>
          <cell r="H429" t="str">
            <v>LAPU-LAPU</v>
          </cell>
          <cell r="N429">
            <v>1000</v>
          </cell>
          <cell r="Y429">
            <v>46188</v>
          </cell>
          <cell r="Z429">
            <v>1</v>
          </cell>
          <cell r="AA429">
            <v>1000</v>
          </cell>
        </row>
        <row r="430">
          <cell r="A430">
            <v>46188</v>
          </cell>
          <cell r="D430" t="str">
            <v>LADY ARMOR</v>
          </cell>
          <cell r="E430">
            <v>1</v>
          </cell>
          <cell r="H430" t="str">
            <v>APLUS</v>
          </cell>
          <cell r="N430">
            <v>600</v>
          </cell>
          <cell r="Y430">
            <v>46188</v>
          </cell>
          <cell r="Z430">
            <v>1</v>
          </cell>
          <cell r="AA430">
            <v>1000</v>
          </cell>
        </row>
        <row r="431">
          <cell r="A431">
            <v>46188</v>
          </cell>
          <cell r="D431" t="str">
            <v>QUEEN CAROLYN</v>
          </cell>
          <cell r="E431">
            <v>1</v>
          </cell>
          <cell r="H431" t="str">
            <v>GEO</v>
          </cell>
          <cell r="N431">
            <v>1000</v>
          </cell>
          <cell r="Y431">
            <v>46188</v>
          </cell>
          <cell r="Z431">
            <v>1</v>
          </cell>
          <cell r="AA431">
            <v>600</v>
          </cell>
        </row>
        <row r="432">
          <cell r="A432">
            <v>46188</v>
          </cell>
          <cell r="D432" t="str">
            <v>QUEEN CAROLYN</v>
          </cell>
          <cell r="E432">
            <v>1</v>
          </cell>
          <cell r="H432" t="str">
            <v>SAFISCOR</v>
          </cell>
          <cell r="N432">
            <v>400</v>
          </cell>
          <cell r="Y432">
            <v>46188</v>
          </cell>
          <cell r="Z432">
            <v>1</v>
          </cell>
          <cell r="AA432">
            <v>1000</v>
          </cell>
        </row>
        <row r="433">
          <cell r="A433">
            <v>46188</v>
          </cell>
          <cell r="D433" t="str">
            <v>LADY ARMOR</v>
          </cell>
          <cell r="E433">
            <v>1</v>
          </cell>
          <cell r="H433" t="str">
            <v>GEO</v>
          </cell>
          <cell r="N433">
            <v>1000</v>
          </cell>
          <cell r="Y433">
            <v>46188</v>
          </cell>
          <cell r="Z433">
            <v>1</v>
          </cell>
          <cell r="AA433">
            <v>400</v>
          </cell>
        </row>
        <row r="434">
          <cell r="A434">
            <v>46188</v>
          </cell>
          <cell r="D434" t="str">
            <v>EFG 8</v>
          </cell>
          <cell r="E434">
            <v>1</v>
          </cell>
          <cell r="H434" t="str">
            <v>SAFISCOR</v>
          </cell>
          <cell r="N434">
            <v>1000</v>
          </cell>
          <cell r="Y434">
            <v>46188</v>
          </cell>
          <cell r="Z434">
            <v>1</v>
          </cell>
          <cell r="AA434">
            <v>1000</v>
          </cell>
        </row>
        <row r="435">
          <cell r="A435">
            <v>46188</v>
          </cell>
          <cell r="D435" t="str">
            <v>QUEEN CAROLYN</v>
          </cell>
          <cell r="E435">
            <v>1</v>
          </cell>
          <cell r="H435" t="str">
            <v>SAFISCOR</v>
          </cell>
          <cell r="N435">
            <v>1000</v>
          </cell>
          <cell r="Y435">
            <v>46188</v>
          </cell>
          <cell r="Z435">
            <v>1</v>
          </cell>
          <cell r="AA435">
            <v>1000</v>
          </cell>
        </row>
        <row r="436">
          <cell r="A436">
            <v>46188</v>
          </cell>
          <cell r="D436" t="str">
            <v>EFG 8</v>
          </cell>
          <cell r="E436">
            <v>1</v>
          </cell>
          <cell r="H436" t="str">
            <v>SAFISCOR</v>
          </cell>
          <cell r="N436">
            <v>1000</v>
          </cell>
          <cell r="Y436">
            <v>46188</v>
          </cell>
          <cell r="Z436">
            <v>1</v>
          </cell>
          <cell r="AA436">
            <v>1000</v>
          </cell>
        </row>
        <row r="437">
          <cell r="A437">
            <v>46188</v>
          </cell>
          <cell r="D437" t="str">
            <v>EFG 8</v>
          </cell>
          <cell r="E437">
            <v>1</v>
          </cell>
          <cell r="H437" t="str">
            <v>SAFISCOR</v>
          </cell>
          <cell r="N437">
            <v>1000</v>
          </cell>
          <cell r="Y437">
            <v>46188</v>
          </cell>
          <cell r="Z437">
            <v>1</v>
          </cell>
          <cell r="AA437">
            <v>1000</v>
          </cell>
        </row>
        <row r="438">
          <cell r="A438">
            <v>46188</v>
          </cell>
          <cell r="D438" t="str">
            <v>QUEEN CAROLYN</v>
          </cell>
          <cell r="E438">
            <v>1</v>
          </cell>
          <cell r="H438" t="str">
            <v>BADIE</v>
          </cell>
          <cell r="N438">
            <v>1000</v>
          </cell>
          <cell r="Y438">
            <v>46188</v>
          </cell>
          <cell r="Z438">
            <v>1</v>
          </cell>
          <cell r="AA438">
            <v>1000</v>
          </cell>
        </row>
        <row r="439">
          <cell r="A439">
            <v>46188</v>
          </cell>
          <cell r="D439" t="str">
            <v>LADY OF REMEDY</v>
          </cell>
          <cell r="E439">
            <v>2</v>
          </cell>
          <cell r="H439" t="str">
            <v>LAPU-LAPU</v>
          </cell>
          <cell r="N439">
            <v>1000</v>
          </cell>
          <cell r="Y439">
            <v>46188</v>
          </cell>
          <cell r="Z439">
            <v>1</v>
          </cell>
          <cell r="AA439">
            <v>1000</v>
          </cell>
        </row>
        <row r="440">
          <cell r="A440">
            <v>46188</v>
          </cell>
          <cell r="D440" t="str">
            <v>QUEEN CAROLYN</v>
          </cell>
          <cell r="E440">
            <v>1</v>
          </cell>
          <cell r="H440" t="str">
            <v>SAFISCOR</v>
          </cell>
          <cell r="N440">
            <v>1000</v>
          </cell>
          <cell r="Y440">
            <v>46189</v>
          </cell>
          <cell r="Z440">
            <v>2</v>
          </cell>
          <cell r="AA440">
            <v>1000</v>
          </cell>
        </row>
        <row r="441">
          <cell r="A441">
            <v>46188</v>
          </cell>
          <cell r="D441" t="str">
            <v>QUEEN CAROLYN</v>
          </cell>
          <cell r="E441">
            <v>1</v>
          </cell>
          <cell r="H441" t="str">
            <v>SAFISCOR</v>
          </cell>
          <cell r="N441">
            <v>1000</v>
          </cell>
          <cell r="Y441">
            <v>46188</v>
          </cell>
          <cell r="Z441">
            <v>1</v>
          </cell>
          <cell r="AA441">
            <v>1000</v>
          </cell>
        </row>
        <row r="442">
          <cell r="A442">
            <v>46188</v>
          </cell>
          <cell r="D442" t="str">
            <v>QUEEN CAROLYN</v>
          </cell>
          <cell r="E442">
            <v>1</v>
          </cell>
          <cell r="H442" t="str">
            <v>SAFISCOR</v>
          </cell>
          <cell r="N442">
            <v>1000</v>
          </cell>
          <cell r="Y442">
            <v>46188</v>
          </cell>
          <cell r="Z442">
            <v>2</v>
          </cell>
          <cell r="AA442">
            <v>1000</v>
          </cell>
        </row>
        <row r="443">
          <cell r="A443">
            <v>46188</v>
          </cell>
          <cell r="D443" t="str">
            <v>EFG 8</v>
          </cell>
          <cell r="E443">
            <v>1</v>
          </cell>
          <cell r="H443" t="str">
            <v>SAFISCOR</v>
          </cell>
          <cell r="N443">
            <v>1000</v>
          </cell>
          <cell r="Y443">
            <v>46188</v>
          </cell>
          <cell r="Z443">
            <v>1</v>
          </cell>
          <cell r="AA443">
            <v>1000</v>
          </cell>
        </row>
        <row r="444">
          <cell r="A444">
            <v>46188</v>
          </cell>
          <cell r="D444" t="str">
            <v>LADY OF REMEDY</v>
          </cell>
          <cell r="E444">
            <v>2</v>
          </cell>
          <cell r="H444" t="str">
            <v>SAFISCOR</v>
          </cell>
          <cell r="N444">
            <v>1000</v>
          </cell>
          <cell r="Y444">
            <v>46188</v>
          </cell>
          <cell r="Z444">
            <v>1</v>
          </cell>
          <cell r="AA444">
            <v>1000</v>
          </cell>
        </row>
        <row r="445">
          <cell r="A445">
            <v>46188</v>
          </cell>
          <cell r="D445" t="str">
            <v>QUEEN CAROLYN</v>
          </cell>
          <cell r="E445">
            <v>1</v>
          </cell>
          <cell r="H445" t="str">
            <v>APLUS</v>
          </cell>
          <cell r="N445">
            <v>1000</v>
          </cell>
          <cell r="Y445">
            <v>46188</v>
          </cell>
          <cell r="Z445">
            <v>1</v>
          </cell>
          <cell r="AA445">
            <v>1000</v>
          </cell>
        </row>
        <row r="446">
          <cell r="A446">
            <v>46188</v>
          </cell>
          <cell r="D446" t="str">
            <v>LADY OF REMEDY</v>
          </cell>
          <cell r="E446">
            <v>2</v>
          </cell>
          <cell r="H446" t="str">
            <v>SAFISCOR</v>
          </cell>
          <cell r="N446">
            <v>1000</v>
          </cell>
          <cell r="Y446">
            <v>46188</v>
          </cell>
          <cell r="Z446">
            <v>1</v>
          </cell>
          <cell r="AA446">
            <v>1000</v>
          </cell>
        </row>
        <row r="447">
          <cell r="A447">
            <v>46188</v>
          </cell>
          <cell r="D447" t="str">
            <v>QUEEN CAROLYN</v>
          </cell>
          <cell r="E447">
            <v>1</v>
          </cell>
          <cell r="H447" t="str">
            <v>GEO</v>
          </cell>
          <cell r="N447">
            <v>1000</v>
          </cell>
          <cell r="Y447">
            <v>46188</v>
          </cell>
          <cell r="Z447">
            <v>1</v>
          </cell>
          <cell r="AA447">
            <v>1000</v>
          </cell>
        </row>
        <row r="448">
          <cell r="A448">
            <v>46188</v>
          </cell>
          <cell r="D448" t="str">
            <v>LADY OF REMEDY</v>
          </cell>
          <cell r="E448">
            <v>2</v>
          </cell>
          <cell r="H448" t="str">
            <v>SAFISCOR</v>
          </cell>
          <cell r="N448">
            <v>1000</v>
          </cell>
          <cell r="Y448">
            <v>46188</v>
          </cell>
          <cell r="Z448">
            <v>1</v>
          </cell>
          <cell r="AA448">
            <v>1000</v>
          </cell>
        </row>
        <row r="449">
          <cell r="A449">
            <v>46188</v>
          </cell>
          <cell r="D449" t="str">
            <v>LADY OF REMEDY</v>
          </cell>
          <cell r="E449">
            <v>2</v>
          </cell>
          <cell r="H449" t="str">
            <v>SAFISCOR</v>
          </cell>
          <cell r="N449">
            <v>1000</v>
          </cell>
          <cell r="Y449">
            <v>46188</v>
          </cell>
          <cell r="Z449">
            <v>1</v>
          </cell>
          <cell r="AA449">
            <v>1000</v>
          </cell>
        </row>
        <row r="450">
          <cell r="A450">
            <v>46188</v>
          </cell>
          <cell r="D450" t="str">
            <v>QUEEN CAROLYN</v>
          </cell>
          <cell r="E450">
            <v>1</v>
          </cell>
          <cell r="H450" t="str">
            <v>LAPU-LAPU</v>
          </cell>
          <cell r="N450">
            <v>1000</v>
          </cell>
          <cell r="Y450">
            <v>46188</v>
          </cell>
          <cell r="Z450">
            <v>2</v>
          </cell>
          <cell r="AA450">
            <v>1000</v>
          </cell>
        </row>
        <row r="451">
          <cell r="A451">
            <v>46188</v>
          </cell>
          <cell r="D451" t="str">
            <v>QUEEN CAROLYN</v>
          </cell>
          <cell r="E451">
            <v>1</v>
          </cell>
          <cell r="H451" t="str">
            <v>SAFISCOR</v>
          </cell>
          <cell r="N451">
            <v>1000</v>
          </cell>
          <cell r="Y451">
            <v>46188</v>
          </cell>
          <cell r="Z451">
            <v>2</v>
          </cell>
          <cell r="AA451">
            <v>1000</v>
          </cell>
        </row>
        <row r="452">
          <cell r="A452">
            <v>46188</v>
          </cell>
          <cell r="D452" t="str">
            <v>EFG 8</v>
          </cell>
          <cell r="E452">
            <v>1</v>
          </cell>
          <cell r="H452" t="str">
            <v>SAFISCOR</v>
          </cell>
          <cell r="N452">
            <v>1000</v>
          </cell>
          <cell r="Y452">
            <v>46188</v>
          </cell>
          <cell r="Z452">
            <v>1</v>
          </cell>
          <cell r="AA452">
            <v>1000</v>
          </cell>
        </row>
        <row r="453">
          <cell r="A453">
            <v>46188</v>
          </cell>
          <cell r="D453" t="str">
            <v>SALVACION 8</v>
          </cell>
          <cell r="E453">
            <v>1</v>
          </cell>
          <cell r="H453" t="str">
            <v>SAFISCOR</v>
          </cell>
          <cell r="N453">
            <v>1000</v>
          </cell>
          <cell r="Y453">
            <v>46188</v>
          </cell>
          <cell r="Z453">
            <v>1</v>
          </cell>
          <cell r="AA453">
            <v>1000</v>
          </cell>
        </row>
        <row r="454">
          <cell r="A454">
            <v>46188</v>
          </cell>
          <cell r="D454" t="str">
            <v>SALVACION 8</v>
          </cell>
          <cell r="E454">
            <v>1</v>
          </cell>
          <cell r="H454" t="str">
            <v>BADIE</v>
          </cell>
          <cell r="N454">
            <v>1000</v>
          </cell>
          <cell r="Y454">
            <v>46188</v>
          </cell>
          <cell r="Z454">
            <v>2</v>
          </cell>
          <cell r="AA454">
            <v>1000</v>
          </cell>
        </row>
        <row r="455">
          <cell r="A455">
            <v>46188</v>
          </cell>
          <cell r="D455" t="str">
            <v>QUEEN CAROLYN</v>
          </cell>
          <cell r="E455">
            <v>1</v>
          </cell>
          <cell r="H455" t="str">
            <v>SAFISCOR</v>
          </cell>
          <cell r="N455">
            <v>1000</v>
          </cell>
          <cell r="Y455">
            <v>46189</v>
          </cell>
          <cell r="Z455">
            <v>1</v>
          </cell>
          <cell r="AA455">
            <v>1000</v>
          </cell>
        </row>
        <row r="456">
          <cell r="A456">
            <v>46188</v>
          </cell>
          <cell r="D456" t="str">
            <v>SALVACION 8</v>
          </cell>
          <cell r="E456">
            <v>1</v>
          </cell>
          <cell r="H456" t="str">
            <v>SAFISCOR</v>
          </cell>
          <cell r="N456">
            <v>1000</v>
          </cell>
          <cell r="Y456">
            <v>46188</v>
          </cell>
          <cell r="Z456">
            <v>2</v>
          </cell>
          <cell r="AA456">
            <v>1000</v>
          </cell>
        </row>
        <row r="457">
          <cell r="A457">
            <v>46188</v>
          </cell>
          <cell r="D457" t="str">
            <v>QUEEN CAROLYN</v>
          </cell>
          <cell r="E457">
            <v>1</v>
          </cell>
          <cell r="H457" t="str">
            <v>SAFISCOR</v>
          </cell>
          <cell r="N457">
            <v>1000</v>
          </cell>
          <cell r="Y457">
            <v>46188</v>
          </cell>
          <cell r="Z457">
            <v>2</v>
          </cell>
          <cell r="AA457">
            <v>1000</v>
          </cell>
        </row>
        <row r="458">
          <cell r="A458">
            <v>46188</v>
          </cell>
          <cell r="D458" t="str">
            <v>EFG 8</v>
          </cell>
          <cell r="E458">
            <v>1</v>
          </cell>
          <cell r="H458" t="str">
            <v>SAFISCOR</v>
          </cell>
          <cell r="N458">
            <v>1000</v>
          </cell>
          <cell r="Y458">
            <v>46188</v>
          </cell>
          <cell r="Z458">
            <v>2</v>
          </cell>
          <cell r="AA458">
            <v>1000</v>
          </cell>
        </row>
        <row r="459">
          <cell r="A459">
            <v>46188</v>
          </cell>
          <cell r="D459" t="str">
            <v>QUEEN CAROLYN</v>
          </cell>
          <cell r="E459">
            <v>1</v>
          </cell>
          <cell r="H459" t="str">
            <v>SAFISCOR</v>
          </cell>
          <cell r="N459">
            <v>1000</v>
          </cell>
          <cell r="Y459">
            <v>46189</v>
          </cell>
          <cell r="Z459">
            <v>2</v>
          </cell>
          <cell r="AA459">
            <v>1000</v>
          </cell>
        </row>
        <row r="460">
          <cell r="A460">
            <v>46188</v>
          </cell>
          <cell r="D460" t="str">
            <v>CESAR ESTER</v>
          </cell>
          <cell r="E460">
            <v>1</v>
          </cell>
          <cell r="H460" t="str">
            <v>SAFISCOR</v>
          </cell>
          <cell r="N460">
            <v>1000</v>
          </cell>
          <cell r="Y460">
            <v>46188</v>
          </cell>
          <cell r="Z460">
            <v>2</v>
          </cell>
          <cell r="AA460">
            <v>1000</v>
          </cell>
        </row>
        <row r="461">
          <cell r="A461">
            <v>46188</v>
          </cell>
          <cell r="D461" t="str">
            <v>LADY OF REMEDY</v>
          </cell>
          <cell r="E461">
            <v>2</v>
          </cell>
          <cell r="H461" t="str">
            <v>SAFISCOR</v>
          </cell>
          <cell r="N461">
            <v>1000</v>
          </cell>
          <cell r="Y461">
            <v>46188</v>
          </cell>
          <cell r="Z461">
            <v>2</v>
          </cell>
          <cell r="AA461">
            <v>1000</v>
          </cell>
        </row>
        <row r="462">
          <cell r="A462">
            <v>46188</v>
          </cell>
          <cell r="D462" t="str">
            <v>LADY OF REMEDY</v>
          </cell>
          <cell r="E462">
            <v>2</v>
          </cell>
          <cell r="H462" t="str">
            <v>LAPU-LAPU</v>
          </cell>
          <cell r="N462">
            <v>1000</v>
          </cell>
          <cell r="Y462">
            <v>46188</v>
          </cell>
          <cell r="Z462">
            <v>2</v>
          </cell>
          <cell r="AA462">
            <v>1000</v>
          </cell>
        </row>
        <row r="463">
          <cell r="A463">
            <v>46188</v>
          </cell>
          <cell r="D463" t="str">
            <v>QUEEN CAROLYN</v>
          </cell>
          <cell r="E463">
            <v>1</v>
          </cell>
          <cell r="H463" t="str">
            <v>GEO</v>
          </cell>
          <cell r="N463">
            <v>1000</v>
          </cell>
          <cell r="Y463">
            <v>46188</v>
          </cell>
          <cell r="Z463">
            <v>2</v>
          </cell>
          <cell r="AA463">
            <v>1000</v>
          </cell>
        </row>
        <row r="464">
          <cell r="A464">
            <v>46188</v>
          </cell>
          <cell r="D464" t="str">
            <v>QUEEN CAROLYN</v>
          </cell>
          <cell r="E464">
            <v>1</v>
          </cell>
          <cell r="H464" t="str">
            <v>SAFISCOR</v>
          </cell>
          <cell r="N464">
            <v>1000</v>
          </cell>
          <cell r="Y464">
            <v>46188</v>
          </cell>
          <cell r="Z464">
            <v>2</v>
          </cell>
          <cell r="AA464">
            <v>1000</v>
          </cell>
        </row>
        <row r="465">
          <cell r="A465">
            <v>46188</v>
          </cell>
          <cell r="D465" t="str">
            <v>QUEEN CAROLYN</v>
          </cell>
          <cell r="E465">
            <v>1</v>
          </cell>
          <cell r="H465" t="str">
            <v>SAFISCOR</v>
          </cell>
          <cell r="N465">
            <v>1000</v>
          </cell>
          <cell r="Y465">
            <v>46189</v>
          </cell>
          <cell r="Z465">
            <v>1</v>
          </cell>
          <cell r="AA465">
            <v>1000</v>
          </cell>
        </row>
        <row r="466">
          <cell r="A466">
            <v>46188</v>
          </cell>
          <cell r="D466" t="str">
            <v>EFG 8</v>
          </cell>
          <cell r="E466">
            <v>1</v>
          </cell>
          <cell r="H466" t="str">
            <v>SAFISCOR</v>
          </cell>
          <cell r="N466">
            <v>1000</v>
          </cell>
          <cell r="Y466">
            <v>46188</v>
          </cell>
          <cell r="Z466">
            <v>2</v>
          </cell>
          <cell r="AA466">
            <v>1000</v>
          </cell>
        </row>
        <row r="467">
          <cell r="A467">
            <v>46188</v>
          </cell>
          <cell r="D467" t="str">
            <v>EFG 8</v>
          </cell>
          <cell r="E467">
            <v>1</v>
          </cell>
          <cell r="H467" t="str">
            <v>SAFISCOR</v>
          </cell>
          <cell r="N467">
            <v>1000</v>
          </cell>
          <cell r="Y467">
            <v>46188</v>
          </cell>
          <cell r="Z467">
            <v>2</v>
          </cell>
          <cell r="AA467">
            <v>1000</v>
          </cell>
        </row>
        <row r="468">
          <cell r="A468">
            <v>46188</v>
          </cell>
          <cell r="D468" t="str">
            <v>EFG 8</v>
          </cell>
          <cell r="E468">
            <v>1</v>
          </cell>
          <cell r="H468" t="str">
            <v>SAFISCOR</v>
          </cell>
          <cell r="N468">
            <v>1000</v>
          </cell>
          <cell r="Y468">
            <v>46188</v>
          </cell>
          <cell r="Z468">
            <v>2</v>
          </cell>
          <cell r="AA468">
            <v>1000</v>
          </cell>
        </row>
        <row r="469">
          <cell r="A469">
            <v>46188</v>
          </cell>
          <cell r="D469" t="str">
            <v>EFG 8</v>
          </cell>
          <cell r="E469">
            <v>1</v>
          </cell>
          <cell r="H469" t="str">
            <v>SAFISCOR</v>
          </cell>
          <cell r="N469">
            <v>1000</v>
          </cell>
          <cell r="Y469">
            <v>46188</v>
          </cell>
          <cell r="Z469">
            <v>2</v>
          </cell>
          <cell r="AA469">
            <v>1000</v>
          </cell>
        </row>
        <row r="470">
          <cell r="A470">
            <v>46188</v>
          </cell>
          <cell r="D470" t="str">
            <v>SALVACION 8</v>
          </cell>
          <cell r="E470">
            <v>1</v>
          </cell>
          <cell r="H470" t="str">
            <v>SAFISCOR</v>
          </cell>
          <cell r="N470">
            <v>1000</v>
          </cell>
          <cell r="Y470">
            <v>46188</v>
          </cell>
          <cell r="Z470">
            <v>2</v>
          </cell>
          <cell r="AA470">
            <v>1000</v>
          </cell>
        </row>
        <row r="471">
          <cell r="A471">
            <v>46188</v>
          </cell>
          <cell r="D471" t="str">
            <v>LADY OF REMEDY</v>
          </cell>
          <cell r="E471">
            <v>2</v>
          </cell>
          <cell r="H471" t="str">
            <v>SAFISCOR</v>
          </cell>
          <cell r="N471">
            <v>1000</v>
          </cell>
          <cell r="Y471">
            <v>46188</v>
          </cell>
          <cell r="Z471">
            <v>2</v>
          </cell>
          <cell r="AA471">
            <v>1000</v>
          </cell>
        </row>
        <row r="472">
          <cell r="A472">
            <v>46188</v>
          </cell>
          <cell r="D472" t="str">
            <v xml:space="preserve">AGRO MARINE </v>
          </cell>
          <cell r="E472">
            <v>1</v>
          </cell>
          <cell r="H472" t="str">
            <v>LAPU-LAPU</v>
          </cell>
          <cell r="N472">
            <v>1000</v>
          </cell>
          <cell r="Y472">
            <v>46188</v>
          </cell>
          <cell r="Z472">
            <v>2</v>
          </cell>
          <cell r="AA472">
            <v>1000</v>
          </cell>
        </row>
        <row r="473">
          <cell r="A473">
            <v>46188</v>
          </cell>
          <cell r="D473" t="str">
            <v>CESAR ESTER</v>
          </cell>
          <cell r="E473">
            <v>1</v>
          </cell>
          <cell r="H473" t="str">
            <v>SAFISCOR</v>
          </cell>
          <cell r="N473">
            <v>1000</v>
          </cell>
          <cell r="Y473">
            <v>46188</v>
          </cell>
          <cell r="Z473">
            <v>2</v>
          </cell>
          <cell r="AA473">
            <v>1000</v>
          </cell>
        </row>
        <row r="474">
          <cell r="A474">
            <v>46188</v>
          </cell>
          <cell r="D474" t="str">
            <v>CESAR ESTER</v>
          </cell>
          <cell r="E474">
            <v>1</v>
          </cell>
          <cell r="H474" t="str">
            <v>SAFISCOR</v>
          </cell>
          <cell r="N474">
            <v>1000</v>
          </cell>
          <cell r="Y474">
            <v>46188</v>
          </cell>
          <cell r="Z474">
            <v>2</v>
          </cell>
          <cell r="AA474">
            <v>1000</v>
          </cell>
        </row>
        <row r="475">
          <cell r="A475">
            <v>46188</v>
          </cell>
          <cell r="D475" t="str">
            <v>LADY OF WISDOM</v>
          </cell>
          <cell r="E475">
            <v>1</v>
          </cell>
          <cell r="H475" t="str">
            <v>SAFISCOR</v>
          </cell>
          <cell r="N475">
            <v>1000</v>
          </cell>
          <cell r="Y475">
            <v>46189</v>
          </cell>
          <cell r="Z475">
            <v>1</v>
          </cell>
          <cell r="AA475">
            <v>1000</v>
          </cell>
        </row>
        <row r="476">
          <cell r="A476">
            <v>46188</v>
          </cell>
          <cell r="D476" t="str">
            <v>LADY OF WISDOM</v>
          </cell>
          <cell r="E476">
            <v>1</v>
          </cell>
          <cell r="H476" t="str">
            <v>SAFISCOR</v>
          </cell>
          <cell r="N476">
            <v>1000</v>
          </cell>
          <cell r="Y476">
            <v>46189</v>
          </cell>
          <cell r="Z476">
            <v>1</v>
          </cell>
          <cell r="AA476">
            <v>1000</v>
          </cell>
        </row>
        <row r="477">
          <cell r="A477">
            <v>46188</v>
          </cell>
          <cell r="D477" t="str">
            <v>AGRO MARINE 1</v>
          </cell>
          <cell r="E477">
            <v>1</v>
          </cell>
          <cell r="H477" t="str">
            <v>SAFISCOR</v>
          </cell>
          <cell r="N477">
            <v>1000</v>
          </cell>
          <cell r="Y477">
            <v>46189</v>
          </cell>
          <cell r="Z477">
            <v>1</v>
          </cell>
          <cell r="AA477">
            <v>1000</v>
          </cell>
        </row>
        <row r="478">
          <cell r="A478">
            <v>46188</v>
          </cell>
          <cell r="D478" t="str">
            <v>LADY OF REMEDY</v>
          </cell>
          <cell r="E478">
            <v>2</v>
          </cell>
          <cell r="H478" t="str">
            <v>SAFISCOR</v>
          </cell>
          <cell r="N478">
            <v>1000</v>
          </cell>
          <cell r="Y478">
            <v>46189</v>
          </cell>
          <cell r="Z478">
            <v>1</v>
          </cell>
          <cell r="AA478">
            <v>1000</v>
          </cell>
        </row>
        <row r="479">
          <cell r="A479">
            <v>46188</v>
          </cell>
          <cell r="D479" t="str">
            <v>EFG 8</v>
          </cell>
          <cell r="E479">
            <v>1</v>
          </cell>
          <cell r="H479" t="str">
            <v>LAPU-LAPU</v>
          </cell>
          <cell r="N479">
            <v>1000</v>
          </cell>
          <cell r="Y479">
            <v>46188</v>
          </cell>
          <cell r="Z479">
            <v>2</v>
          </cell>
          <cell r="AA479">
            <v>1000</v>
          </cell>
        </row>
        <row r="480">
          <cell r="A480">
            <v>46188</v>
          </cell>
          <cell r="D480" t="str">
            <v>SALVACION 8</v>
          </cell>
          <cell r="E480">
            <v>1</v>
          </cell>
          <cell r="H480" t="str">
            <v>BADIE</v>
          </cell>
          <cell r="N480">
            <v>1000</v>
          </cell>
          <cell r="Y480">
            <v>46188</v>
          </cell>
          <cell r="Z480">
            <v>2</v>
          </cell>
          <cell r="AA480">
            <v>1000</v>
          </cell>
        </row>
        <row r="481">
          <cell r="A481">
            <v>46188</v>
          </cell>
          <cell r="D481" t="str">
            <v>QUEEN CAROLYN</v>
          </cell>
          <cell r="E481">
            <v>1</v>
          </cell>
          <cell r="H481" t="str">
            <v>GEO</v>
          </cell>
          <cell r="N481">
            <v>1000</v>
          </cell>
          <cell r="Y481">
            <v>46188</v>
          </cell>
          <cell r="Z481">
            <v>2</v>
          </cell>
          <cell r="AA481">
            <v>1000</v>
          </cell>
        </row>
        <row r="482">
          <cell r="A482">
            <v>46188</v>
          </cell>
          <cell r="D482" t="str">
            <v>SALVACION 8</v>
          </cell>
          <cell r="E482">
            <v>1</v>
          </cell>
          <cell r="H482" t="str">
            <v>SAFISCOR</v>
          </cell>
          <cell r="N482">
            <v>1000</v>
          </cell>
          <cell r="Y482">
            <v>46188</v>
          </cell>
          <cell r="Z482">
            <v>2</v>
          </cell>
          <cell r="AA482">
            <v>1000</v>
          </cell>
        </row>
        <row r="483">
          <cell r="A483">
            <v>46188</v>
          </cell>
          <cell r="D483" t="str">
            <v>SALVACION 8</v>
          </cell>
          <cell r="E483">
            <v>1</v>
          </cell>
          <cell r="H483" t="str">
            <v>SAFISCOR</v>
          </cell>
          <cell r="N483">
            <v>1000</v>
          </cell>
          <cell r="Y483">
            <v>46189</v>
          </cell>
          <cell r="Z483">
            <v>1</v>
          </cell>
          <cell r="AA483">
            <v>1000</v>
          </cell>
        </row>
        <row r="484">
          <cell r="A484">
            <v>46188</v>
          </cell>
          <cell r="D484" t="str">
            <v>CESAR ESTER</v>
          </cell>
          <cell r="E484">
            <v>1</v>
          </cell>
          <cell r="H484" t="str">
            <v>SAFISCOR</v>
          </cell>
          <cell r="N484">
            <v>1000</v>
          </cell>
          <cell r="Y484">
            <v>46188</v>
          </cell>
          <cell r="Z484">
            <v>2</v>
          </cell>
          <cell r="AA484">
            <v>1000</v>
          </cell>
        </row>
        <row r="485">
          <cell r="A485">
            <v>46188</v>
          </cell>
          <cell r="D485" t="str">
            <v>CESAR ESTER</v>
          </cell>
          <cell r="E485">
            <v>1</v>
          </cell>
          <cell r="H485" t="str">
            <v>GEO</v>
          </cell>
          <cell r="N485">
            <v>1000</v>
          </cell>
          <cell r="Y485">
            <v>46188</v>
          </cell>
          <cell r="Z485">
            <v>2</v>
          </cell>
          <cell r="AA485">
            <v>1000</v>
          </cell>
        </row>
        <row r="486">
          <cell r="A486">
            <v>46188</v>
          </cell>
          <cell r="D486" t="str">
            <v>LADY OF REMEDY</v>
          </cell>
          <cell r="E486">
            <v>2</v>
          </cell>
          <cell r="H486" t="str">
            <v>SAFISCOR</v>
          </cell>
          <cell r="N486">
            <v>1000</v>
          </cell>
          <cell r="Y486">
            <v>46188</v>
          </cell>
          <cell r="Z486">
            <v>2</v>
          </cell>
          <cell r="AA486">
            <v>1000</v>
          </cell>
        </row>
        <row r="487">
          <cell r="A487">
            <v>46188</v>
          </cell>
          <cell r="D487" t="str">
            <v>LADY OF REMEDY</v>
          </cell>
          <cell r="E487">
            <v>2</v>
          </cell>
          <cell r="H487" t="str">
            <v>LAPU-LAPU</v>
          </cell>
          <cell r="N487">
            <v>1000</v>
          </cell>
          <cell r="Y487">
            <v>46188</v>
          </cell>
          <cell r="Z487">
            <v>2</v>
          </cell>
          <cell r="AA487">
            <v>1000</v>
          </cell>
        </row>
        <row r="488">
          <cell r="A488">
            <v>46188</v>
          </cell>
          <cell r="D488" t="str">
            <v>QUEEN CAROLYN</v>
          </cell>
          <cell r="E488">
            <v>1</v>
          </cell>
          <cell r="H488" t="str">
            <v>SAFISCOR</v>
          </cell>
          <cell r="N488">
            <v>1000</v>
          </cell>
          <cell r="Y488">
            <v>46189</v>
          </cell>
          <cell r="Z488">
            <v>1</v>
          </cell>
          <cell r="AA488">
            <v>1000</v>
          </cell>
        </row>
        <row r="489">
          <cell r="A489">
            <v>46188</v>
          </cell>
          <cell r="D489" t="str">
            <v>QUEEN CAROLYN</v>
          </cell>
          <cell r="E489">
            <v>1</v>
          </cell>
          <cell r="H489" t="str">
            <v>SAFISCOR</v>
          </cell>
          <cell r="N489">
            <v>1000</v>
          </cell>
          <cell r="Y489">
            <v>46189</v>
          </cell>
          <cell r="Z489">
            <v>1</v>
          </cell>
          <cell r="AA489">
            <v>1000</v>
          </cell>
        </row>
        <row r="490">
          <cell r="A490">
            <v>46188</v>
          </cell>
          <cell r="D490" t="str">
            <v>EFG 8</v>
          </cell>
          <cell r="E490">
            <v>1</v>
          </cell>
          <cell r="H490" t="str">
            <v>SAFISCOR</v>
          </cell>
          <cell r="N490">
            <v>1000</v>
          </cell>
          <cell r="Y490">
            <v>46188</v>
          </cell>
          <cell r="Z490">
            <v>2</v>
          </cell>
          <cell r="AA490">
            <v>1000</v>
          </cell>
        </row>
        <row r="491">
          <cell r="A491">
            <v>46188</v>
          </cell>
          <cell r="D491" t="str">
            <v>CESAR ESTER</v>
          </cell>
          <cell r="E491">
            <v>1</v>
          </cell>
          <cell r="H491" t="str">
            <v>SAFISCOR</v>
          </cell>
          <cell r="N491">
            <v>1000</v>
          </cell>
          <cell r="Y491">
            <v>46188</v>
          </cell>
          <cell r="Z491">
            <v>2</v>
          </cell>
          <cell r="AA491">
            <v>1000</v>
          </cell>
        </row>
        <row r="492">
          <cell r="A492">
            <v>46188</v>
          </cell>
          <cell r="D492" t="str">
            <v>SALVACION 8</v>
          </cell>
          <cell r="E492">
            <v>1</v>
          </cell>
          <cell r="H492" t="str">
            <v>GEO</v>
          </cell>
          <cell r="N492">
            <v>1000</v>
          </cell>
          <cell r="Y492">
            <v>46188</v>
          </cell>
          <cell r="Z492">
            <v>2</v>
          </cell>
          <cell r="AA492">
            <v>1000</v>
          </cell>
        </row>
        <row r="493">
          <cell r="A493">
            <v>46188</v>
          </cell>
          <cell r="D493" t="str">
            <v>SALVACION 8</v>
          </cell>
          <cell r="E493">
            <v>1</v>
          </cell>
          <cell r="H493" t="str">
            <v>BADIE</v>
          </cell>
          <cell r="N493">
            <v>1000</v>
          </cell>
          <cell r="Y493">
            <v>46188</v>
          </cell>
          <cell r="Z493">
            <v>2</v>
          </cell>
          <cell r="AA493">
            <v>1000</v>
          </cell>
        </row>
        <row r="494">
          <cell r="A494">
            <v>46188</v>
          </cell>
          <cell r="D494" t="str">
            <v>SALVACION 8</v>
          </cell>
          <cell r="E494">
            <v>1</v>
          </cell>
          <cell r="H494" t="str">
            <v>SAFISCOR</v>
          </cell>
          <cell r="N494">
            <v>1000</v>
          </cell>
          <cell r="Y494">
            <v>46189</v>
          </cell>
          <cell r="Z494">
            <v>1</v>
          </cell>
          <cell r="AA494">
            <v>1000</v>
          </cell>
        </row>
        <row r="495">
          <cell r="A495">
            <v>46188</v>
          </cell>
          <cell r="D495" t="str">
            <v>AGRO MARINE 1</v>
          </cell>
          <cell r="E495">
            <v>1</v>
          </cell>
          <cell r="H495" t="str">
            <v>SAFISCOR</v>
          </cell>
          <cell r="N495">
            <v>1000</v>
          </cell>
          <cell r="Y495">
            <v>46189</v>
          </cell>
          <cell r="Z495">
            <v>1</v>
          </cell>
          <cell r="AA495">
            <v>1000</v>
          </cell>
        </row>
        <row r="496">
          <cell r="A496">
            <v>46188</v>
          </cell>
          <cell r="D496" t="str">
            <v>LADY OF REMEDY</v>
          </cell>
          <cell r="E496">
            <v>2</v>
          </cell>
          <cell r="H496" t="str">
            <v>SAFISCOR</v>
          </cell>
          <cell r="N496">
            <v>1000</v>
          </cell>
          <cell r="Y496">
            <v>46189</v>
          </cell>
          <cell r="Z496">
            <v>1</v>
          </cell>
          <cell r="AA496">
            <v>1000</v>
          </cell>
        </row>
        <row r="497">
          <cell r="A497">
            <v>46188</v>
          </cell>
          <cell r="D497" t="str">
            <v>SALVACION 8</v>
          </cell>
          <cell r="E497">
            <v>1</v>
          </cell>
          <cell r="H497" t="str">
            <v>SAFISCOR</v>
          </cell>
          <cell r="N497">
            <v>1000</v>
          </cell>
          <cell r="Y497">
            <v>46189</v>
          </cell>
          <cell r="Z497">
            <v>1</v>
          </cell>
          <cell r="AA497">
            <v>1000</v>
          </cell>
        </row>
        <row r="498">
          <cell r="A498">
            <v>46188</v>
          </cell>
          <cell r="D498" t="str">
            <v>QUEEN CAROLYN</v>
          </cell>
          <cell r="E498">
            <v>1</v>
          </cell>
          <cell r="H498" t="str">
            <v>SAFISCOR</v>
          </cell>
          <cell r="N498">
            <v>1000</v>
          </cell>
          <cell r="Y498">
            <v>46189</v>
          </cell>
          <cell r="Z498">
            <v>2</v>
          </cell>
          <cell r="AA498">
            <v>1000</v>
          </cell>
        </row>
        <row r="499">
          <cell r="A499">
            <v>46188</v>
          </cell>
          <cell r="D499" t="str">
            <v>LADY OF REMEDY</v>
          </cell>
          <cell r="E499">
            <v>2</v>
          </cell>
          <cell r="H499" t="str">
            <v>SAFISCOR</v>
          </cell>
          <cell r="N499">
            <v>1000</v>
          </cell>
          <cell r="Y499">
            <v>46189</v>
          </cell>
          <cell r="Z499">
            <v>1</v>
          </cell>
          <cell r="AA499">
            <v>1000</v>
          </cell>
        </row>
        <row r="500">
          <cell r="A500">
            <v>46188</v>
          </cell>
          <cell r="D500" t="str">
            <v>AGRO MARINE 1</v>
          </cell>
          <cell r="E500">
            <v>1</v>
          </cell>
          <cell r="H500" t="str">
            <v>SAFISCOR</v>
          </cell>
          <cell r="N500">
            <v>1000</v>
          </cell>
          <cell r="Y500">
            <v>46189</v>
          </cell>
          <cell r="Z500">
            <v>1</v>
          </cell>
          <cell r="AA500">
            <v>1000</v>
          </cell>
        </row>
        <row r="501">
          <cell r="A501">
            <v>46188</v>
          </cell>
          <cell r="D501" t="str">
            <v>CESAR ESTER</v>
          </cell>
          <cell r="E501">
            <v>1</v>
          </cell>
          <cell r="H501" t="str">
            <v>SAFISCOR</v>
          </cell>
          <cell r="N501">
            <v>1000</v>
          </cell>
          <cell r="Y501">
            <v>46189</v>
          </cell>
          <cell r="Z501">
            <v>2</v>
          </cell>
          <cell r="AA501">
            <v>1000</v>
          </cell>
        </row>
        <row r="502">
          <cell r="A502">
            <v>46188</v>
          </cell>
          <cell r="D502" t="str">
            <v>CESAR ESTER</v>
          </cell>
          <cell r="E502">
            <v>1</v>
          </cell>
          <cell r="H502" t="str">
            <v>SAFISCOR</v>
          </cell>
          <cell r="N502">
            <v>1000</v>
          </cell>
          <cell r="Y502">
            <v>46189</v>
          </cell>
          <cell r="Z502">
            <v>1</v>
          </cell>
          <cell r="AA502">
            <v>1000</v>
          </cell>
        </row>
        <row r="503">
          <cell r="A503">
            <v>46188</v>
          </cell>
          <cell r="D503" t="str">
            <v>EFG 8</v>
          </cell>
          <cell r="E503">
            <v>1</v>
          </cell>
          <cell r="H503" t="str">
            <v>LAPU-LAPU</v>
          </cell>
          <cell r="N503">
            <v>1000</v>
          </cell>
          <cell r="Y503">
            <v>46188</v>
          </cell>
          <cell r="Z503">
            <v>2</v>
          </cell>
          <cell r="AA503">
            <v>1000</v>
          </cell>
        </row>
        <row r="504">
          <cell r="A504">
            <v>46188</v>
          </cell>
          <cell r="D504" t="str">
            <v>LADY OF REMEDY</v>
          </cell>
          <cell r="E504">
            <v>2</v>
          </cell>
          <cell r="H504" t="str">
            <v>SAFISCOR</v>
          </cell>
          <cell r="N504">
            <v>1000</v>
          </cell>
          <cell r="Y504">
            <v>46189</v>
          </cell>
          <cell r="Z504">
            <v>1</v>
          </cell>
          <cell r="AA504">
            <v>1000</v>
          </cell>
        </row>
        <row r="505">
          <cell r="A505">
            <v>46188</v>
          </cell>
          <cell r="D505" t="str">
            <v>SALVACION 8</v>
          </cell>
          <cell r="E505">
            <v>1</v>
          </cell>
          <cell r="H505" t="str">
            <v>SAFISCOR</v>
          </cell>
          <cell r="N505">
            <v>1000</v>
          </cell>
          <cell r="Y505">
            <v>46189</v>
          </cell>
          <cell r="Z505">
            <v>1</v>
          </cell>
          <cell r="AA505">
            <v>1000</v>
          </cell>
        </row>
        <row r="506">
          <cell r="A506">
            <v>46189</v>
          </cell>
          <cell r="D506" t="str">
            <v>EFG 8</v>
          </cell>
          <cell r="E506">
            <v>1</v>
          </cell>
          <cell r="H506" t="str">
            <v>LAPU-LAPU</v>
          </cell>
          <cell r="N506">
            <v>1000</v>
          </cell>
          <cell r="Y506">
            <v>46188</v>
          </cell>
          <cell r="Z506">
            <v>2</v>
          </cell>
          <cell r="AA506">
            <v>1000</v>
          </cell>
        </row>
        <row r="507">
          <cell r="A507">
            <v>46189</v>
          </cell>
          <cell r="D507" t="str">
            <v>CESAR ESTER</v>
          </cell>
          <cell r="E507">
            <v>1</v>
          </cell>
          <cell r="H507" t="str">
            <v>GEO</v>
          </cell>
          <cell r="N507">
            <v>1000</v>
          </cell>
          <cell r="Y507">
            <v>46189</v>
          </cell>
          <cell r="Z507">
            <v>1</v>
          </cell>
          <cell r="AA507">
            <v>1000</v>
          </cell>
        </row>
        <row r="508">
          <cell r="A508">
            <v>46189</v>
          </cell>
          <cell r="D508" t="str">
            <v>LADY OF REMEDY</v>
          </cell>
          <cell r="E508">
            <v>2</v>
          </cell>
          <cell r="H508" t="str">
            <v>SAFISCOR</v>
          </cell>
          <cell r="N508">
            <v>1000</v>
          </cell>
          <cell r="Y508">
            <v>46189</v>
          </cell>
          <cell r="Z508">
            <v>1</v>
          </cell>
          <cell r="AA508">
            <v>1000</v>
          </cell>
        </row>
        <row r="509">
          <cell r="A509">
            <v>46189</v>
          </cell>
          <cell r="D509" t="str">
            <v>EFG 8</v>
          </cell>
          <cell r="E509">
            <v>1</v>
          </cell>
          <cell r="H509" t="str">
            <v>SAFISCOR</v>
          </cell>
          <cell r="N509">
            <v>1000</v>
          </cell>
          <cell r="Y509">
            <v>46189</v>
          </cell>
          <cell r="Z509">
            <v>1</v>
          </cell>
          <cell r="AA509">
            <v>1000</v>
          </cell>
        </row>
        <row r="510">
          <cell r="A510">
            <v>46189</v>
          </cell>
          <cell r="D510" t="str">
            <v>SALVACION 8</v>
          </cell>
          <cell r="E510">
            <v>1</v>
          </cell>
          <cell r="H510" t="str">
            <v>GEO</v>
          </cell>
          <cell r="N510">
            <v>1000</v>
          </cell>
          <cell r="Y510">
            <v>46189</v>
          </cell>
          <cell r="Z510">
            <v>1</v>
          </cell>
          <cell r="AA510">
            <v>1000</v>
          </cell>
        </row>
        <row r="511">
          <cell r="A511">
            <v>46189</v>
          </cell>
          <cell r="D511" t="str">
            <v>LADY OF REMEDY</v>
          </cell>
          <cell r="E511">
            <v>2</v>
          </cell>
          <cell r="H511" t="str">
            <v>SAFISCOR</v>
          </cell>
          <cell r="N511">
            <v>1000</v>
          </cell>
          <cell r="Y511">
            <v>46189</v>
          </cell>
          <cell r="Z511">
            <v>1</v>
          </cell>
          <cell r="AA511">
            <v>1000</v>
          </cell>
        </row>
        <row r="512">
          <cell r="A512">
            <v>46189</v>
          </cell>
          <cell r="D512" t="str">
            <v>EFG 8</v>
          </cell>
          <cell r="E512">
            <v>1</v>
          </cell>
          <cell r="H512" t="str">
            <v>LAPU-LAPU</v>
          </cell>
          <cell r="N512">
            <v>1000</v>
          </cell>
          <cell r="Y512">
            <v>46189</v>
          </cell>
          <cell r="Z512">
            <v>1</v>
          </cell>
          <cell r="AA512">
            <v>1000</v>
          </cell>
        </row>
        <row r="513">
          <cell r="A513">
            <v>46189</v>
          </cell>
          <cell r="D513" t="str">
            <v>QUEEN CAROLYN</v>
          </cell>
          <cell r="E513">
            <v>1</v>
          </cell>
          <cell r="H513" t="str">
            <v>APLUS</v>
          </cell>
          <cell r="N513">
            <v>1000</v>
          </cell>
          <cell r="Y513">
            <v>46189</v>
          </cell>
          <cell r="Z513">
            <v>1</v>
          </cell>
          <cell r="AA513">
            <v>1000</v>
          </cell>
        </row>
        <row r="514">
          <cell r="A514">
            <v>46189</v>
          </cell>
          <cell r="D514" t="str">
            <v>CESAR ESTER</v>
          </cell>
          <cell r="E514">
            <v>1</v>
          </cell>
          <cell r="H514" t="str">
            <v>SAFISCOR</v>
          </cell>
          <cell r="N514">
            <v>1000</v>
          </cell>
          <cell r="Y514">
            <v>46189</v>
          </cell>
          <cell r="Z514">
            <v>1</v>
          </cell>
          <cell r="AA514">
            <v>1000</v>
          </cell>
        </row>
        <row r="515">
          <cell r="A515">
            <v>46189</v>
          </cell>
          <cell r="D515" t="str">
            <v>QUEEN CAROLYN</v>
          </cell>
          <cell r="E515">
            <v>1</v>
          </cell>
          <cell r="H515" t="str">
            <v>GEO</v>
          </cell>
          <cell r="N515">
            <v>1000</v>
          </cell>
          <cell r="Y515">
            <v>46189</v>
          </cell>
          <cell r="Z515">
            <v>1</v>
          </cell>
          <cell r="AA515">
            <v>1000</v>
          </cell>
        </row>
        <row r="516">
          <cell r="A516">
            <v>46189</v>
          </cell>
          <cell r="D516" t="str">
            <v>CESAR ESTER</v>
          </cell>
          <cell r="E516">
            <v>1</v>
          </cell>
          <cell r="H516" t="str">
            <v>SAFISCOR</v>
          </cell>
          <cell r="N516">
            <v>1000</v>
          </cell>
          <cell r="Y516">
            <v>46189</v>
          </cell>
          <cell r="Z516">
            <v>1</v>
          </cell>
          <cell r="AA516">
            <v>1000</v>
          </cell>
        </row>
        <row r="517">
          <cell r="A517">
            <v>46189</v>
          </cell>
          <cell r="D517" t="str">
            <v>CESAR ESTER</v>
          </cell>
          <cell r="E517">
            <v>1</v>
          </cell>
          <cell r="H517" t="str">
            <v>SAFISCOR</v>
          </cell>
          <cell r="N517">
            <v>1000</v>
          </cell>
          <cell r="Y517">
            <v>46189</v>
          </cell>
          <cell r="Z517">
            <v>2</v>
          </cell>
          <cell r="AA517">
            <v>1000</v>
          </cell>
        </row>
        <row r="518">
          <cell r="A518">
            <v>46189</v>
          </cell>
          <cell r="D518" t="str">
            <v>CESAR ESTER</v>
          </cell>
          <cell r="E518">
            <v>1</v>
          </cell>
          <cell r="H518" t="str">
            <v>SAFISCOR</v>
          </cell>
          <cell r="N518">
            <v>1000</v>
          </cell>
          <cell r="Y518">
            <v>46190</v>
          </cell>
          <cell r="Z518">
            <v>1</v>
          </cell>
          <cell r="AA518">
            <v>1000</v>
          </cell>
        </row>
        <row r="519">
          <cell r="A519">
            <v>46189</v>
          </cell>
          <cell r="D519" t="str">
            <v>AGRO MARINE 1</v>
          </cell>
          <cell r="E519">
            <v>1</v>
          </cell>
          <cell r="H519" t="str">
            <v>SAFISCOR</v>
          </cell>
          <cell r="N519">
            <v>975</v>
          </cell>
          <cell r="Y519">
            <v>46189</v>
          </cell>
          <cell r="Z519">
            <v>1</v>
          </cell>
          <cell r="AA519">
            <v>1000</v>
          </cell>
        </row>
        <row r="520">
          <cell r="A520">
            <v>46189</v>
          </cell>
          <cell r="D520" t="str">
            <v>EFG 8</v>
          </cell>
          <cell r="E520">
            <v>1</v>
          </cell>
          <cell r="H520" t="str">
            <v>SAFISCOR</v>
          </cell>
          <cell r="N520">
            <v>25</v>
          </cell>
          <cell r="Y520">
            <v>46189</v>
          </cell>
          <cell r="Z520">
            <v>1</v>
          </cell>
          <cell r="AA520">
            <v>975</v>
          </cell>
        </row>
        <row r="521">
          <cell r="A521">
            <v>46189</v>
          </cell>
          <cell r="D521" t="str">
            <v>EFG 8</v>
          </cell>
          <cell r="E521">
            <v>1</v>
          </cell>
          <cell r="H521" t="str">
            <v>SAFISCOR</v>
          </cell>
          <cell r="N521">
            <v>1000</v>
          </cell>
          <cell r="Y521">
            <v>46189</v>
          </cell>
          <cell r="Z521">
            <v>1</v>
          </cell>
          <cell r="AA521">
            <v>25</v>
          </cell>
        </row>
        <row r="522">
          <cell r="A522">
            <v>46189</v>
          </cell>
          <cell r="D522" t="str">
            <v>AGRO MARINE 1</v>
          </cell>
          <cell r="E522">
            <v>1</v>
          </cell>
          <cell r="H522" t="str">
            <v>SAFISCOR</v>
          </cell>
          <cell r="N522">
            <v>1000</v>
          </cell>
          <cell r="Y522">
            <v>46189</v>
          </cell>
          <cell r="Z522">
            <v>1</v>
          </cell>
          <cell r="AA522">
            <v>1000</v>
          </cell>
        </row>
        <row r="523">
          <cell r="A523">
            <v>46189</v>
          </cell>
          <cell r="D523" t="str">
            <v>CESAR ESTER</v>
          </cell>
          <cell r="E523">
            <v>1</v>
          </cell>
          <cell r="H523" t="str">
            <v>SAFISCOR</v>
          </cell>
          <cell r="N523">
            <v>1000</v>
          </cell>
          <cell r="Y523">
            <v>46189</v>
          </cell>
          <cell r="Z523">
            <v>2</v>
          </cell>
          <cell r="AA523">
            <v>1000</v>
          </cell>
        </row>
        <row r="524">
          <cell r="A524">
            <v>46189</v>
          </cell>
          <cell r="D524" t="str">
            <v>SALVACION 8</v>
          </cell>
          <cell r="E524">
            <v>1</v>
          </cell>
          <cell r="H524" t="str">
            <v>SAFISCOR</v>
          </cell>
          <cell r="N524">
            <v>1000</v>
          </cell>
          <cell r="Y524">
            <v>46189</v>
          </cell>
          <cell r="Z524">
            <v>1</v>
          </cell>
          <cell r="AA524">
            <v>1000</v>
          </cell>
        </row>
        <row r="525">
          <cell r="A525">
            <v>46189</v>
          </cell>
          <cell r="D525" t="str">
            <v>SALVACION 8</v>
          </cell>
          <cell r="E525">
            <v>1</v>
          </cell>
          <cell r="H525" t="str">
            <v>SAFISCOR</v>
          </cell>
          <cell r="N525">
            <v>1000</v>
          </cell>
          <cell r="Y525">
            <v>46189</v>
          </cell>
          <cell r="Z525">
            <v>1</v>
          </cell>
          <cell r="AA525">
            <v>1000</v>
          </cell>
        </row>
        <row r="526">
          <cell r="A526">
            <v>46189</v>
          </cell>
          <cell r="D526" t="str">
            <v>LADY OF REMEDY</v>
          </cell>
          <cell r="E526">
            <v>2</v>
          </cell>
          <cell r="H526" t="str">
            <v>SAFISCOR</v>
          </cell>
          <cell r="N526">
            <v>1000</v>
          </cell>
        </row>
        <row r="527">
          <cell r="A527">
            <v>46189</v>
          </cell>
          <cell r="D527" t="str">
            <v>EFG 8</v>
          </cell>
          <cell r="E527">
            <v>1</v>
          </cell>
          <cell r="H527" t="str">
            <v>SAFISCOR</v>
          </cell>
          <cell r="N527">
            <v>1000</v>
          </cell>
          <cell r="Y527">
            <v>46189</v>
          </cell>
          <cell r="Z527">
            <v>1</v>
          </cell>
          <cell r="AA527">
            <v>1000</v>
          </cell>
        </row>
        <row r="528">
          <cell r="A528">
            <v>46189</v>
          </cell>
          <cell r="D528" t="str">
            <v>SALVACION 8</v>
          </cell>
          <cell r="E528">
            <v>1</v>
          </cell>
          <cell r="H528" t="str">
            <v>LAPU-LAPU</v>
          </cell>
          <cell r="N528">
            <v>1000</v>
          </cell>
          <cell r="Y528">
            <v>46190</v>
          </cell>
          <cell r="Z528">
            <v>1</v>
          </cell>
          <cell r="AA528">
            <v>1000</v>
          </cell>
        </row>
        <row r="529">
          <cell r="A529">
            <v>46189</v>
          </cell>
          <cell r="D529" t="str">
            <v>CESAR ESTER</v>
          </cell>
          <cell r="E529">
            <v>1</v>
          </cell>
          <cell r="H529" t="str">
            <v>SAFISCOR</v>
          </cell>
          <cell r="N529">
            <v>1000</v>
          </cell>
          <cell r="Y529">
            <v>46190</v>
          </cell>
          <cell r="Z529">
            <v>1</v>
          </cell>
          <cell r="AA529">
            <v>1000</v>
          </cell>
        </row>
        <row r="530">
          <cell r="A530">
            <v>46189</v>
          </cell>
          <cell r="D530" t="str">
            <v>QUEEN CAROLYN</v>
          </cell>
          <cell r="E530">
            <v>1</v>
          </cell>
          <cell r="H530" t="str">
            <v>SAFISCOR</v>
          </cell>
          <cell r="N530">
            <v>1000</v>
          </cell>
          <cell r="Y530">
            <v>46189</v>
          </cell>
          <cell r="Z530">
            <v>2</v>
          </cell>
          <cell r="AA530">
            <v>1000</v>
          </cell>
        </row>
        <row r="531">
          <cell r="A531">
            <v>46189</v>
          </cell>
          <cell r="D531" t="str">
            <v>SALVACION 8</v>
          </cell>
          <cell r="E531">
            <v>1</v>
          </cell>
          <cell r="H531" t="str">
            <v>SAFISCOR</v>
          </cell>
          <cell r="N531">
            <v>900</v>
          </cell>
          <cell r="Y531">
            <v>46189</v>
          </cell>
          <cell r="Z531">
            <v>1</v>
          </cell>
          <cell r="AA531">
            <v>1000</v>
          </cell>
        </row>
        <row r="532">
          <cell r="A532">
            <v>46189</v>
          </cell>
          <cell r="D532" t="str">
            <v>QUEEN CAROLYN</v>
          </cell>
          <cell r="E532">
            <v>1</v>
          </cell>
          <cell r="H532" t="str">
            <v>SAFISCOR</v>
          </cell>
          <cell r="N532">
            <v>100</v>
          </cell>
          <cell r="Y532">
            <v>46189</v>
          </cell>
          <cell r="Z532">
            <v>2</v>
          </cell>
          <cell r="AA532">
            <v>900</v>
          </cell>
        </row>
        <row r="533">
          <cell r="A533">
            <v>46189</v>
          </cell>
          <cell r="D533" t="str">
            <v>AGRO MARINE 1</v>
          </cell>
          <cell r="E533">
            <v>1</v>
          </cell>
          <cell r="H533" t="str">
            <v>SAFISCOR</v>
          </cell>
          <cell r="N533">
            <v>1000</v>
          </cell>
          <cell r="Y533">
            <v>46190</v>
          </cell>
          <cell r="Z533">
            <v>1</v>
          </cell>
          <cell r="AA533">
            <v>100</v>
          </cell>
        </row>
        <row r="534">
          <cell r="A534">
            <v>46189</v>
          </cell>
          <cell r="D534" t="str">
            <v>SALVACION 8</v>
          </cell>
          <cell r="E534">
            <v>1</v>
          </cell>
          <cell r="H534" t="str">
            <v>SAFISCOR</v>
          </cell>
          <cell r="N534">
            <v>1000</v>
          </cell>
          <cell r="Y534">
            <v>46189</v>
          </cell>
          <cell r="Z534">
            <v>2</v>
          </cell>
          <cell r="AA534">
            <v>1000</v>
          </cell>
        </row>
        <row r="535">
          <cell r="A535">
            <v>46189</v>
          </cell>
          <cell r="D535" t="str">
            <v>LADY OF REMEDY</v>
          </cell>
          <cell r="E535">
            <v>2</v>
          </cell>
          <cell r="H535" t="str">
            <v>BADIE</v>
          </cell>
          <cell r="N535">
            <v>1000</v>
          </cell>
          <cell r="Y535">
            <v>46189</v>
          </cell>
          <cell r="Z535">
            <v>1</v>
          </cell>
          <cell r="AA535">
            <v>1000</v>
          </cell>
        </row>
        <row r="536">
          <cell r="A536">
            <v>46189</v>
          </cell>
          <cell r="D536" t="str">
            <v>EFG 7</v>
          </cell>
          <cell r="E536">
            <v>1</v>
          </cell>
          <cell r="H536" t="str">
            <v>LAPU-LAPU</v>
          </cell>
          <cell r="N536">
            <v>1000</v>
          </cell>
          <cell r="Y536">
            <v>46190</v>
          </cell>
          <cell r="Z536">
            <v>1</v>
          </cell>
          <cell r="AA536">
            <v>1000</v>
          </cell>
        </row>
        <row r="537">
          <cell r="A537">
            <v>46189</v>
          </cell>
          <cell r="D537" t="str">
            <v>EFG 8</v>
          </cell>
          <cell r="E537">
            <v>1</v>
          </cell>
          <cell r="H537" t="str">
            <v>SAFISCOR</v>
          </cell>
          <cell r="N537">
            <v>1000</v>
          </cell>
          <cell r="Y537">
            <v>46189</v>
          </cell>
          <cell r="Z537">
            <v>1</v>
          </cell>
          <cell r="AA537">
            <v>1000</v>
          </cell>
        </row>
        <row r="538">
          <cell r="A538">
            <v>46189</v>
          </cell>
          <cell r="D538" t="str">
            <v>QUEEN CAROLYN</v>
          </cell>
          <cell r="E538">
            <v>1</v>
          </cell>
          <cell r="H538" t="str">
            <v>SAFISCOR</v>
          </cell>
          <cell r="N538">
            <v>1000</v>
          </cell>
          <cell r="Y538">
            <v>46189</v>
          </cell>
          <cell r="Z538">
            <v>2</v>
          </cell>
          <cell r="AA538">
            <v>1000</v>
          </cell>
        </row>
        <row r="539">
          <cell r="A539">
            <v>46189</v>
          </cell>
          <cell r="D539" t="str">
            <v>QUEEN CAROLYN</v>
          </cell>
          <cell r="E539">
            <v>1</v>
          </cell>
          <cell r="H539" t="str">
            <v>SAFISCOR</v>
          </cell>
          <cell r="N539">
            <v>1000</v>
          </cell>
          <cell r="Y539">
            <v>46189</v>
          </cell>
          <cell r="Z539">
            <v>1</v>
          </cell>
          <cell r="AA539">
            <v>1000</v>
          </cell>
        </row>
        <row r="540">
          <cell r="A540">
            <v>46189</v>
          </cell>
          <cell r="D540" t="str">
            <v>LADY OF REMEDY</v>
          </cell>
          <cell r="E540">
            <v>2</v>
          </cell>
          <cell r="H540" t="str">
            <v>SAFISCOR</v>
          </cell>
          <cell r="N540">
            <v>1000</v>
          </cell>
          <cell r="Y540">
            <v>46189</v>
          </cell>
          <cell r="Z540">
            <v>1</v>
          </cell>
          <cell r="AA540">
            <v>1000</v>
          </cell>
        </row>
        <row r="541">
          <cell r="A541">
            <v>46189</v>
          </cell>
          <cell r="D541" t="str">
            <v>EFG 7</v>
          </cell>
          <cell r="E541">
            <v>1</v>
          </cell>
          <cell r="H541" t="str">
            <v>SAFISCOR</v>
          </cell>
          <cell r="N541">
            <v>1000</v>
          </cell>
          <cell r="Y541">
            <v>46190</v>
          </cell>
          <cell r="Z541">
            <v>1</v>
          </cell>
          <cell r="AA541">
            <v>1000</v>
          </cell>
        </row>
        <row r="542">
          <cell r="A542">
            <v>46189</v>
          </cell>
          <cell r="D542" t="str">
            <v>EFG 7</v>
          </cell>
          <cell r="E542">
            <v>1</v>
          </cell>
          <cell r="H542" t="str">
            <v>SAFISCOR</v>
          </cell>
          <cell r="N542">
            <v>1000</v>
          </cell>
          <cell r="Y542">
            <v>46190</v>
          </cell>
          <cell r="Z542">
            <v>1</v>
          </cell>
          <cell r="AA542">
            <v>1000</v>
          </cell>
        </row>
        <row r="543">
          <cell r="A543">
            <v>46189</v>
          </cell>
          <cell r="D543" t="str">
            <v>LADY OF WISDOM</v>
          </cell>
          <cell r="E543">
            <v>1</v>
          </cell>
          <cell r="H543" t="str">
            <v>LAPU-LAPU</v>
          </cell>
          <cell r="N543">
            <v>1000</v>
          </cell>
          <cell r="Y543">
            <v>46189</v>
          </cell>
          <cell r="Z543">
            <v>1</v>
          </cell>
          <cell r="AA543">
            <v>1000</v>
          </cell>
        </row>
        <row r="544">
          <cell r="A544">
            <v>46189</v>
          </cell>
          <cell r="D544" t="str">
            <v>EFG 7</v>
          </cell>
          <cell r="E544">
            <v>1</v>
          </cell>
          <cell r="H544" t="str">
            <v>GEO</v>
          </cell>
          <cell r="N544">
            <v>1000</v>
          </cell>
          <cell r="Y544">
            <v>46190</v>
          </cell>
          <cell r="Z544">
            <v>2</v>
          </cell>
          <cell r="AA544">
            <v>1000</v>
          </cell>
        </row>
        <row r="545">
          <cell r="A545">
            <v>46189</v>
          </cell>
          <cell r="D545" t="str">
            <v>LADY OF WISDOM</v>
          </cell>
          <cell r="E545">
            <v>1</v>
          </cell>
          <cell r="H545" t="str">
            <v>SAFISCOR</v>
          </cell>
          <cell r="N545">
            <v>1000</v>
          </cell>
          <cell r="Y545">
            <v>46190</v>
          </cell>
          <cell r="Z545">
            <v>1</v>
          </cell>
          <cell r="AA545">
            <v>1000</v>
          </cell>
        </row>
        <row r="546">
          <cell r="A546">
            <v>46189</v>
          </cell>
          <cell r="D546" t="str">
            <v>LADY OF WISDOM</v>
          </cell>
          <cell r="E546">
            <v>1</v>
          </cell>
          <cell r="H546" t="str">
            <v>SAFISCOR</v>
          </cell>
          <cell r="N546">
            <v>1000</v>
          </cell>
          <cell r="Y546">
            <v>46189</v>
          </cell>
          <cell r="Z546">
            <v>2</v>
          </cell>
          <cell r="AA546">
            <v>1000</v>
          </cell>
        </row>
        <row r="547">
          <cell r="A547">
            <v>46189</v>
          </cell>
          <cell r="D547" t="str">
            <v>LADY OF WISDOM</v>
          </cell>
          <cell r="E547">
            <v>1</v>
          </cell>
          <cell r="H547" t="str">
            <v>SAFISCOR</v>
          </cell>
          <cell r="N547">
            <v>1000</v>
          </cell>
          <cell r="Y547">
            <v>46189</v>
          </cell>
          <cell r="Z547">
            <v>2</v>
          </cell>
          <cell r="AA547">
            <v>1000</v>
          </cell>
        </row>
        <row r="548">
          <cell r="A548">
            <v>46189</v>
          </cell>
          <cell r="D548" t="str">
            <v>LADY OF PEACE</v>
          </cell>
          <cell r="E548">
            <v>2</v>
          </cell>
          <cell r="H548" t="str">
            <v>SAFISCOR</v>
          </cell>
          <cell r="N548">
            <v>1000</v>
          </cell>
          <cell r="Y548">
            <v>46190</v>
          </cell>
          <cell r="Z548">
            <v>1</v>
          </cell>
          <cell r="AA548">
            <v>1000</v>
          </cell>
        </row>
        <row r="549">
          <cell r="A549">
            <v>46189</v>
          </cell>
          <cell r="D549" t="str">
            <v>EFG 8</v>
          </cell>
          <cell r="E549">
            <v>1</v>
          </cell>
          <cell r="H549" t="str">
            <v>SAFISCOR</v>
          </cell>
          <cell r="N549">
            <v>1000</v>
          </cell>
          <cell r="Y549">
            <v>46189</v>
          </cell>
          <cell r="Z549">
            <v>2</v>
          </cell>
          <cell r="AA549">
            <v>1000</v>
          </cell>
        </row>
        <row r="550">
          <cell r="A550">
            <v>46189</v>
          </cell>
          <cell r="D550" t="str">
            <v>EFG 8</v>
          </cell>
          <cell r="E550">
            <v>1</v>
          </cell>
          <cell r="H550" t="str">
            <v>BADIE</v>
          </cell>
          <cell r="N550">
            <v>1000</v>
          </cell>
          <cell r="Y550">
            <v>46189</v>
          </cell>
          <cell r="Z550">
            <v>2</v>
          </cell>
          <cell r="AA550">
            <v>1000</v>
          </cell>
        </row>
        <row r="551">
          <cell r="A551">
            <v>46189</v>
          </cell>
          <cell r="D551" t="str">
            <v>LADY OF REMEDY</v>
          </cell>
          <cell r="E551">
            <v>2</v>
          </cell>
          <cell r="H551" t="str">
            <v>SAFISCOR</v>
          </cell>
          <cell r="N551">
            <v>1000</v>
          </cell>
          <cell r="Y551">
            <v>46189</v>
          </cell>
          <cell r="Z551">
            <v>2</v>
          </cell>
          <cell r="AA551">
            <v>1000</v>
          </cell>
        </row>
        <row r="552">
          <cell r="A552">
            <v>46189</v>
          </cell>
          <cell r="D552" t="str">
            <v>LADY OF PEACE</v>
          </cell>
          <cell r="E552">
            <v>2</v>
          </cell>
          <cell r="H552" t="str">
            <v>SAFISCOR</v>
          </cell>
          <cell r="N552">
            <v>1000</v>
          </cell>
          <cell r="Y552">
            <v>46190</v>
          </cell>
          <cell r="Z552">
            <v>2</v>
          </cell>
          <cell r="AA552">
            <v>1000</v>
          </cell>
        </row>
        <row r="553">
          <cell r="A553">
            <v>46189</v>
          </cell>
          <cell r="D553" t="str">
            <v>QUEEN CAROLYN</v>
          </cell>
          <cell r="E553">
            <v>1</v>
          </cell>
          <cell r="H553" t="str">
            <v>SAFISCOR</v>
          </cell>
          <cell r="N553">
            <v>1000</v>
          </cell>
          <cell r="Y553">
            <v>46189</v>
          </cell>
          <cell r="Z553">
            <v>2</v>
          </cell>
          <cell r="AA553">
            <v>1000</v>
          </cell>
        </row>
        <row r="554">
          <cell r="A554">
            <v>46189</v>
          </cell>
          <cell r="D554" t="str">
            <v>LADY OF PEACE</v>
          </cell>
          <cell r="E554">
            <v>2</v>
          </cell>
          <cell r="H554" t="str">
            <v>SAFISCOR</v>
          </cell>
          <cell r="N554">
            <v>1000</v>
          </cell>
          <cell r="Y554">
            <v>46190</v>
          </cell>
          <cell r="Z554">
            <v>2</v>
          </cell>
          <cell r="AA554">
            <v>1000</v>
          </cell>
        </row>
        <row r="555">
          <cell r="A555">
            <v>46189</v>
          </cell>
          <cell r="D555" t="str">
            <v>LADY OF PEACE</v>
          </cell>
          <cell r="E555">
            <v>2</v>
          </cell>
          <cell r="H555" t="str">
            <v>SAFISCOR</v>
          </cell>
          <cell r="N555">
            <v>1000</v>
          </cell>
          <cell r="Y555">
            <v>46191</v>
          </cell>
          <cell r="Z555">
            <v>1</v>
          </cell>
          <cell r="AA555">
            <v>1000</v>
          </cell>
        </row>
        <row r="556">
          <cell r="A556">
            <v>46189</v>
          </cell>
          <cell r="D556" t="str">
            <v>EFG 7</v>
          </cell>
          <cell r="E556">
            <v>1</v>
          </cell>
          <cell r="H556" t="str">
            <v>SAFISCOR</v>
          </cell>
          <cell r="N556">
            <v>1000</v>
          </cell>
          <cell r="Y556">
            <v>46189</v>
          </cell>
          <cell r="Z556">
            <v>2</v>
          </cell>
          <cell r="AA556">
            <v>1000</v>
          </cell>
        </row>
        <row r="557">
          <cell r="A557">
            <v>46189</v>
          </cell>
          <cell r="D557" t="str">
            <v>EFG 8</v>
          </cell>
          <cell r="E557">
            <v>1</v>
          </cell>
          <cell r="H557" t="str">
            <v>SAFISCOR</v>
          </cell>
          <cell r="N557">
            <v>1000</v>
          </cell>
          <cell r="Y557">
            <v>46189</v>
          </cell>
          <cell r="Z557">
            <v>2</v>
          </cell>
          <cell r="AA557">
            <v>1000</v>
          </cell>
        </row>
        <row r="558">
          <cell r="A558">
            <v>46189</v>
          </cell>
          <cell r="D558" t="str">
            <v>EFG 8</v>
          </cell>
          <cell r="E558">
            <v>1</v>
          </cell>
          <cell r="H558" t="str">
            <v>SAFISCOR</v>
          </cell>
          <cell r="N558">
            <v>1000</v>
          </cell>
          <cell r="Y558">
            <v>46189</v>
          </cell>
          <cell r="Z558">
            <v>2</v>
          </cell>
          <cell r="AA558">
            <v>1000</v>
          </cell>
        </row>
        <row r="559">
          <cell r="A559">
            <v>46189</v>
          </cell>
          <cell r="D559" t="str">
            <v>AGRO MARINE 1</v>
          </cell>
          <cell r="E559">
            <v>1</v>
          </cell>
          <cell r="H559" t="str">
            <v>SAFISCOR</v>
          </cell>
          <cell r="N559">
            <v>1000</v>
          </cell>
          <cell r="Y559">
            <v>46189</v>
          </cell>
          <cell r="Z559">
            <v>2</v>
          </cell>
          <cell r="AA559">
            <v>1000</v>
          </cell>
        </row>
        <row r="560">
          <cell r="A560">
            <v>46189</v>
          </cell>
          <cell r="D560" t="str">
            <v>AGRO MARINE 1</v>
          </cell>
          <cell r="E560">
            <v>1</v>
          </cell>
          <cell r="H560" t="str">
            <v>SAFISCOR</v>
          </cell>
          <cell r="N560">
            <v>1000</v>
          </cell>
          <cell r="Y560">
            <v>46189</v>
          </cell>
          <cell r="Z560">
            <v>2</v>
          </cell>
          <cell r="AA560">
            <v>1000</v>
          </cell>
        </row>
        <row r="561">
          <cell r="A561">
            <v>46189</v>
          </cell>
          <cell r="D561" t="str">
            <v>CESAR ESTER</v>
          </cell>
          <cell r="E561">
            <v>1</v>
          </cell>
          <cell r="H561" t="str">
            <v>SAFISCOR</v>
          </cell>
          <cell r="N561">
            <v>1000</v>
          </cell>
          <cell r="Y561">
            <v>46189</v>
          </cell>
          <cell r="Z561">
            <v>2</v>
          </cell>
          <cell r="AA561">
            <v>1000</v>
          </cell>
        </row>
        <row r="562">
          <cell r="A562">
            <v>46189</v>
          </cell>
          <cell r="D562" t="str">
            <v>CESAR ESTER</v>
          </cell>
          <cell r="E562">
            <v>1</v>
          </cell>
          <cell r="H562" t="str">
            <v>SAFISCOR</v>
          </cell>
          <cell r="N562">
            <v>1000</v>
          </cell>
          <cell r="Y562">
            <v>46189</v>
          </cell>
          <cell r="Z562">
            <v>2</v>
          </cell>
          <cell r="AA562">
            <v>1000</v>
          </cell>
        </row>
        <row r="563">
          <cell r="A563">
            <v>46189</v>
          </cell>
          <cell r="D563" t="str">
            <v>LADY OF REMEDY</v>
          </cell>
          <cell r="E563">
            <v>2</v>
          </cell>
          <cell r="H563" t="str">
            <v>LAPU-LAPU</v>
          </cell>
          <cell r="N563">
            <v>1000</v>
          </cell>
          <cell r="Y563">
            <v>46189</v>
          </cell>
          <cell r="Z563">
            <v>2</v>
          </cell>
          <cell r="AA563">
            <v>1000</v>
          </cell>
        </row>
        <row r="564">
          <cell r="A564">
            <v>46189</v>
          </cell>
          <cell r="D564" t="str">
            <v>SALVACION 8</v>
          </cell>
          <cell r="E564">
            <v>1</v>
          </cell>
          <cell r="H564" t="str">
            <v>SAFISCOR</v>
          </cell>
          <cell r="N564">
            <v>1000</v>
          </cell>
          <cell r="Y564">
            <v>46189</v>
          </cell>
          <cell r="Z564">
            <v>2</v>
          </cell>
          <cell r="AA564">
            <v>1000</v>
          </cell>
        </row>
        <row r="565">
          <cell r="A565">
            <v>46189</v>
          </cell>
          <cell r="D565" t="str">
            <v>EFG 7</v>
          </cell>
          <cell r="E565">
            <v>1</v>
          </cell>
          <cell r="H565" t="str">
            <v>SAFISCOR</v>
          </cell>
          <cell r="N565">
            <v>1000</v>
          </cell>
          <cell r="Y565">
            <v>46190</v>
          </cell>
          <cell r="Z565">
            <v>1</v>
          </cell>
          <cell r="AA565">
            <v>1000</v>
          </cell>
        </row>
        <row r="566">
          <cell r="A566">
            <v>46189</v>
          </cell>
          <cell r="D566" t="str">
            <v>EFG 8</v>
          </cell>
          <cell r="E566">
            <v>1</v>
          </cell>
          <cell r="H566" t="str">
            <v>SAFISCOR</v>
          </cell>
          <cell r="N566">
            <v>1000</v>
          </cell>
          <cell r="Y566">
            <v>46189</v>
          </cell>
          <cell r="Z566">
            <v>2</v>
          </cell>
          <cell r="AA566">
            <v>1000</v>
          </cell>
        </row>
        <row r="567">
          <cell r="A567">
            <v>46189</v>
          </cell>
          <cell r="D567" t="str">
            <v>EFG 8</v>
          </cell>
          <cell r="E567">
            <v>1</v>
          </cell>
          <cell r="H567" t="str">
            <v>SAFISCOR</v>
          </cell>
          <cell r="N567">
            <v>1000</v>
          </cell>
          <cell r="Y567">
            <v>46189</v>
          </cell>
          <cell r="Z567">
            <v>2</v>
          </cell>
          <cell r="AA567">
            <v>1000</v>
          </cell>
        </row>
        <row r="568">
          <cell r="A568">
            <v>46189</v>
          </cell>
          <cell r="D568" t="str">
            <v>SALVACION 8</v>
          </cell>
          <cell r="E568">
            <v>1</v>
          </cell>
          <cell r="H568" t="str">
            <v>SAFISCOR</v>
          </cell>
          <cell r="N568">
            <v>1000</v>
          </cell>
          <cell r="Y568">
            <v>46189</v>
          </cell>
          <cell r="Z568">
            <v>2</v>
          </cell>
          <cell r="AA568">
            <v>1000</v>
          </cell>
        </row>
        <row r="569">
          <cell r="A569">
            <v>46189</v>
          </cell>
          <cell r="D569" t="str">
            <v>AGRO MARINE 1</v>
          </cell>
          <cell r="E569">
            <v>1</v>
          </cell>
          <cell r="H569" t="str">
            <v>SAFISCOR</v>
          </cell>
          <cell r="N569">
            <v>1000</v>
          </cell>
          <cell r="Y569">
            <v>46190</v>
          </cell>
          <cell r="Z569">
            <v>1</v>
          </cell>
          <cell r="AA569">
            <v>1000</v>
          </cell>
        </row>
        <row r="570">
          <cell r="A570">
            <v>46189</v>
          </cell>
          <cell r="D570" t="str">
            <v>AGRO MARINE 1</v>
          </cell>
          <cell r="E570">
            <v>1</v>
          </cell>
          <cell r="H570" t="str">
            <v>SAFISCOR</v>
          </cell>
          <cell r="N570">
            <v>1025</v>
          </cell>
          <cell r="Y570">
            <v>46190</v>
          </cell>
          <cell r="Z570">
            <v>1</v>
          </cell>
          <cell r="AA570">
            <v>1000</v>
          </cell>
        </row>
        <row r="571">
          <cell r="A571">
            <v>46189</v>
          </cell>
          <cell r="D571" t="str">
            <v>EFG 8</v>
          </cell>
          <cell r="E571">
            <v>1</v>
          </cell>
          <cell r="H571" t="str">
            <v>GEO</v>
          </cell>
          <cell r="N571">
            <v>1000</v>
          </cell>
          <cell r="Y571">
            <v>46190</v>
          </cell>
          <cell r="Z571">
            <v>1</v>
          </cell>
          <cell r="AA571">
            <v>1025</v>
          </cell>
        </row>
        <row r="572">
          <cell r="A572">
            <v>46189</v>
          </cell>
          <cell r="D572" t="str">
            <v>AGRO MARINE 1</v>
          </cell>
          <cell r="E572">
            <v>1</v>
          </cell>
          <cell r="H572" t="str">
            <v>SAFISCOR</v>
          </cell>
          <cell r="N572">
            <v>1000</v>
          </cell>
          <cell r="Y572">
            <v>46191</v>
          </cell>
          <cell r="Z572">
            <v>1</v>
          </cell>
          <cell r="AA572">
            <v>1000</v>
          </cell>
        </row>
        <row r="573">
          <cell r="A573">
            <v>46189</v>
          </cell>
          <cell r="D573" t="str">
            <v>LADY OF REMEDY</v>
          </cell>
          <cell r="E573">
            <v>2</v>
          </cell>
          <cell r="H573" t="str">
            <v>GEO</v>
          </cell>
          <cell r="N573">
            <v>1000</v>
          </cell>
          <cell r="Y573">
            <v>46189</v>
          </cell>
          <cell r="Z573">
            <v>2</v>
          </cell>
          <cell r="AA573">
            <v>1000</v>
          </cell>
        </row>
        <row r="574">
          <cell r="A574">
            <v>46189</v>
          </cell>
          <cell r="D574" t="str">
            <v>CESAR ESTER</v>
          </cell>
          <cell r="E574">
            <v>1</v>
          </cell>
          <cell r="H574" t="str">
            <v>SAFISCOR</v>
          </cell>
          <cell r="N574">
            <v>1000</v>
          </cell>
          <cell r="Y574">
            <v>46189</v>
          </cell>
          <cell r="Z574">
            <v>2</v>
          </cell>
          <cell r="AA574">
            <v>1000</v>
          </cell>
        </row>
        <row r="575">
          <cell r="A575">
            <v>46189</v>
          </cell>
          <cell r="D575" t="str">
            <v>EFG 8</v>
          </cell>
          <cell r="E575">
            <v>1</v>
          </cell>
          <cell r="H575" t="str">
            <v>BADIE</v>
          </cell>
          <cell r="N575">
            <v>1000</v>
          </cell>
          <cell r="Y575">
            <v>46189</v>
          </cell>
          <cell r="Z575">
            <v>2</v>
          </cell>
          <cell r="AA575">
            <v>1000</v>
          </cell>
        </row>
        <row r="576">
          <cell r="A576">
            <v>46189</v>
          </cell>
          <cell r="D576" t="str">
            <v>CESAR ESTER</v>
          </cell>
          <cell r="E576">
            <v>1</v>
          </cell>
          <cell r="H576" t="str">
            <v>SAFISCOR</v>
          </cell>
          <cell r="N576">
            <v>1000</v>
          </cell>
          <cell r="Y576">
            <v>46189</v>
          </cell>
          <cell r="Z576">
            <v>2</v>
          </cell>
          <cell r="AA576">
            <v>1000</v>
          </cell>
        </row>
        <row r="577">
          <cell r="A577">
            <v>46189</v>
          </cell>
          <cell r="D577" t="str">
            <v>LADY OF REMEDY</v>
          </cell>
          <cell r="E577">
            <v>2</v>
          </cell>
          <cell r="H577" t="str">
            <v>SAFISCOR</v>
          </cell>
          <cell r="N577">
            <v>1000</v>
          </cell>
          <cell r="Y577">
            <v>46189</v>
          </cell>
          <cell r="Z577">
            <v>2</v>
          </cell>
          <cell r="AA577">
            <v>1000</v>
          </cell>
        </row>
        <row r="578">
          <cell r="A578">
            <v>46189</v>
          </cell>
          <cell r="D578" t="str">
            <v>SALVACION 8</v>
          </cell>
          <cell r="E578">
            <v>1</v>
          </cell>
          <cell r="H578" t="str">
            <v>SAFISCOR</v>
          </cell>
          <cell r="N578">
            <v>1000</v>
          </cell>
          <cell r="Y578">
            <v>46189</v>
          </cell>
          <cell r="Z578">
            <v>2</v>
          </cell>
          <cell r="AA578">
            <v>1000</v>
          </cell>
        </row>
        <row r="579">
          <cell r="A579">
            <v>46189</v>
          </cell>
          <cell r="D579" t="str">
            <v>LADY OF WISDOM</v>
          </cell>
          <cell r="E579">
            <v>1</v>
          </cell>
          <cell r="H579" t="str">
            <v>SAFISCOR</v>
          </cell>
          <cell r="N579">
            <v>1000</v>
          </cell>
          <cell r="Y579">
            <v>46190</v>
          </cell>
          <cell r="Z579">
            <v>1</v>
          </cell>
          <cell r="AA579">
            <v>1000</v>
          </cell>
        </row>
        <row r="580">
          <cell r="A580">
            <v>46189</v>
          </cell>
          <cell r="D580" t="str">
            <v>LADY OF WISDOM</v>
          </cell>
          <cell r="E580">
            <v>1</v>
          </cell>
          <cell r="H580" t="str">
            <v>SAFISCOR</v>
          </cell>
          <cell r="N580">
            <v>1000</v>
          </cell>
          <cell r="Y580">
            <v>46190</v>
          </cell>
          <cell r="Z580">
            <v>1</v>
          </cell>
          <cell r="AA580">
            <v>1000</v>
          </cell>
        </row>
        <row r="581">
          <cell r="A581">
            <v>46189</v>
          </cell>
          <cell r="D581" t="str">
            <v>LADY OF WISDOM</v>
          </cell>
          <cell r="E581">
            <v>1</v>
          </cell>
          <cell r="H581" t="str">
            <v>LAPU-LAPU</v>
          </cell>
          <cell r="N581">
            <v>1000</v>
          </cell>
          <cell r="Y581">
            <v>46190</v>
          </cell>
          <cell r="Z581">
            <v>1</v>
          </cell>
          <cell r="AA581">
            <v>1000</v>
          </cell>
        </row>
        <row r="582">
          <cell r="A582">
            <v>46189</v>
          </cell>
          <cell r="D582" t="str">
            <v>EFG 8</v>
          </cell>
          <cell r="E582">
            <v>1</v>
          </cell>
          <cell r="H582" t="str">
            <v>SAFISCOR</v>
          </cell>
          <cell r="N582">
            <v>1000</v>
          </cell>
          <cell r="Y582">
            <v>46189</v>
          </cell>
          <cell r="Z582">
            <v>2</v>
          </cell>
          <cell r="AA582">
            <v>1000</v>
          </cell>
        </row>
        <row r="583">
          <cell r="A583">
            <v>46189</v>
          </cell>
          <cell r="D583" t="str">
            <v>LADY OF REMEDY</v>
          </cell>
          <cell r="E583">
            <v>2</v>
          </cell>
          <cell r="H583" t="str">
            <v>SAFISCOR</v>
          </cell>
          <cell r="N583">
            <v>1000</v>
          </cell>
          <cell r="Y583">
            <v>46189</v>
          </cell>
          <cell r="Z583">
            <v>2</v>
          </cell>
          <cell r="AA583">
            <v>1000</v>
          </cell>
        </row>
        <row r="584">
          <cell r="A584">
            <v>46189</v>
          </cell>
          <cell r="D584" t="str">
            <v>CESAR ESTER</v>
          </cell>
          <cell r="E584">
            <v>1</v>
          </cell>
          <cell r="H584" t="str">
            <v>SAFISCOR</v>
          </cell>
          <cell r="N584">
            <v>1000</v>
          </cell>
          <cell r="Y584">
            <v>46190</v>
          </cell>
          <cell r="Z584">
            <v>1</v>
          </cell>
          <cell r="AA584">
            <v>1000</v>
          </cell>
        </row>
        <row r="585">
          <cell r="A585">
            <v>46189</v>
          </cell>
          <cell r="D585" t="str">
            <v>LADY OF PEACE</v>
          </cell>
          <cell r="E585">
            <v>2</v>
          </cell>
          <cell r="H585" t="str">
            <v>SAFISCOR</v>
          </cell>
          <cell r="N585">
            <v>1000</v>
          </cell>
          <cell r="Y585">
            <v>46191</v>
          </cell>
          <cell r="Z585">
            <v>1</v>
          </cell>
          <cell r="AA585">
            <v>1000</v>
          </cell>
        </row>
        <row r="586">
          <cell r="A586">
            <v>46189</v>
          </cell>
          <cell r="D586" t="str">
            <v>EFG 8</v>
          </cell>
          <cell r="E586">
            <v>1</v>
          </cell>
          <cell r="H586" t="str">
            <v>SAFISCOR</v>
          </cell>
          <cell r="N586">
            <v>1000</v>
          </cell>
          <cell r="Y586">
            <v>46190</v>
          </cell>
          <cell r="Z586">
            <v>1</v>
          </cell>
          <cell r="AA586">
            <v>1000</v>
          </cell>
        </row>
        <row r="587">
          <cell r="A587">
            <v>46189</v>
          </cell>
          <cell r="D587" t="str">
            <v>EFG 7</v>
          </cell>
          <cell r="E587">
            <v>1</v>
          </cell>
          <cell r="H587" t="str">
            <v>SAFISCOR</v>
          </cell>
          <cell r="N587">
            <v>1000</v>
          </cell>
          <cell r="Y587">
            <v>46191</v>
          </cell>
          <cell r="Z587">
            <v>1</v>
          </cell>
          <cell r="AA587">
            <v>1000</v>
          </cell>
        </row>
        <row r="588">
          <cell r="A588">
            <v>46189</v>
          </cell>
          <cell r="D588" t="str">
            <v>EFG 7</v>
          </cell>
          <cell r="E588">
            <v>1</v>
          </cell>
          <cell r="H588" t="str">
            <v>SAFISCOR</v>
          </cell>
          <cell r="N588">
            <v>1000</v>
          </cell>
          <cell r="Y588">
            <v>46190</v>
          </cell>
          <cell r="Z588">
            <v>2</v>
          </cell>
          <cell r="AA588">
            <v>1000</v>
          </cell>
        </row>
        <row r="589">
          <cell r="A589">
            <v>46189</v>
          </cell>
          <cell r="D589" t="str">
            <v>SALVACION 8</v>
          </cell>
          <cell r="E589">
            <v>1</v>
          </cell>
          <cell r="H589" t="str">
            <v>SAFISCOR</v>
          </cell>
          <cell r="N589">
            <v>1000</v>
          </cell>
          <cell r="Y589">
            <v>46189</v>
          </cell>
          <cell r="Z589">
            <v>2</v>
          </cell>
          <cell r="AA589">
            <v>1000</v>
          </cell>
        </row>
        <row r="590">
          <cell r="A590">
            <v>46189</v>
          </cell>
          <cell r="D590" t="str">
            <v>EFG 8</v>
          </cell>
          <cell r="E590">
            <v>1</v>
          </cell>
          <cell r="H590" t="str">
            <v>SAFISCOR</v>
          </cell>
          <cell r="N590">
            <v>1000</v>
          </cell>
          <cell r="Y590">
            <v>46190</v>
          </cell>
          <cell r="Z590">
            <v>1</v>
          </cell>
          <cell r="AA590">
            <v>1000</v>
          </cell>
        </row>
        <row r="591">
          <cell r="A591">
            <v>46189</v>
          </cell>
          <cell r="D591" t="str">
            <v>EFG 8</v>
          </cell>
          <cell r="E591">
            <v>1</v>
          </cell>
          <cell r="H591" t="str">
            <v>SAFISCOR</v>
          </cell>
          <cell r="N591">
            <v>1000</v>
          </cell>
          <cell r="Y591">
            <v>46190</v>
          </cell>
          <cell r="Z591">
            <v>2</v>
          </cell>
          <cell r="AA591">
            <v>1000</v>
          </cell>
        </row>
        <row r="592">
          <cell r="A592">
            <v>46189</v>
          </cell>
          <cell r="D592" t="str">
            <v>EFG 8</v>
          </cell>
          <cell r="E592">
            <v>1</v>
          </cell>
          <cell r="H592" t="str">
            <v>SAFISCOR</v>
          </cell>
          <cell r="N592">
            <v>1000</v>
          </cell>
          <cell r="Y592">
            <v>46190</v>
          </cell>
          <cell r="Z592">
            <v>1</v>
          </cell>
          <cell r="AA592">
            <v>1000</v>
          </cell>
        </row>
        <row r="593">
          <cell r="A593">
            <v>46189</v>
          </cell>
          <cell r="D593" t="str">
            <v>EFG 8</v>
          </cell>
          <cell r="E593">
            <v>1</v>
          </cell>
          <cell r="H593" t="str">
            <v>SAFISCOR</v>
          </cell>
          <cell r="N593">
            <v>1000</v>
          </cell>
          <cell r="Y593">
            <v>46190</v>
          </cell>
          <cell r="Z593">
            <v>1</v>
          </cell>
          <cell r="AA593">
            <v>1000</v>
          </cell>
        </row>
        <row r="594">
          <cell r="A594">
            <v>46190</v>
          </cell>
          <cell r="D594" t="str">
            <v>SALVACION 8</v>
          </cell>
          <cell r="E594">
            <v>1</v>
          </cell>
          <cell r="H594" t="str">
            <v>SAFISCOR</v>
          </cell>
          <cell r="N594">
            <v>1000</v>
          </cell>
          <cell r="Y594">
            <v>46190</v>
          </cell>
          <cell r="Z594">
            <v>1</v>
          </cell>
          <cell r="AA594">
            <v>1000</v>
          </cell>
        </row>
        <row r="595">
          <cell r="A595">
            <v>46190</v>
          </cell>
          <cell r="D595" t="str">
            <v>AGRO MARINE 1</v>
          </cell>
          <cell r="E595">
            <v>1</v>
          </cell>
          <cell r="H595" t="str">
            <v>SAFISCOR</v>
          </cell>
          <cell r="N595">
            <v>1000</v>
          </cell>
          <cell r="Y595">
            <v>46190</v>
          </cell>
          <cell r="Z595">
            <v>2</v>
          </cell>
          <cell r="AA595">
            <v>1000</v>
          </cell>
        </row>
        <row r="596">
          <cell r="A596">
            <v>46190</v>
          </cell>
          <cell r="D596" t="str">
            <v>EFG 8</v>
          </cell>
          <cell r="E596">
            <v>1</v>
          </cell>
          <cell r="H596" t="str">
            <v>SAFISCOR</v>
          </cell>
          <cell r="N596">
            <v>1000</v>
          </cell>
          <cell r="Y596">
            <v>46190</v>
          </cell>
          <cell r="Z596">
            <v>1</v>
          </cell>
          <cell r="AA596">
            <v>1000</v>
          </cell>
        </row>
        <row r="597">
          <cell r="A597">
            <v>46190</v>
          </cell>
          <cell r="D597" t="str">
            <v>LADY OF WISDOM</v>
          </cell>
          <cell r="E597">
            <v>1</v>
          </cell>
          <cell r="H597" t="str">
            <v>SAFISCOR</v>
          </cell>
          <cell r="N597">
            <v>1000</v>
          </cell>
          <cell r="Y597">
            <v>46190</v>
          </cell>
          <cell r="Z597">
            <v>1</v>
          </cell>
          <cell r="AA597">
            <v>1000</v>
          </cell>
        </row>
        <row r="598">
          <cell r="A598">
            <v>46190</v>
          </cell>
          <cell r="D598" t="str">
            <v>AGRO MARINE 1</v>
          </cell>
          <cell r="E598">
            <v>1</v>
          </cell>
          <cell r="H598" t="str">
            <v>GEO</v>
          </cell>
          <cell r="N598">
            <v>1000</v>
          </cell>
          <cell r="Y598">
            <v>46190</v>
          </cell>
          <cell r="Z598">
            <v>1</v>
          </cell>
          <cell r="AA598">
            <v>1000</v>
          </cell>
        </row>
        <row r="599">
          <cell r="A599">
            <v>46190</v>
          </cell>
          <cell r="D599" t="str">
            <v>LADY OF WISDOM</v>
          </cell>
          <cell r="E599">
            <v>1</v>
          </cell>
          <cell r="H599" t="str">
            <v>LAPU-LAPU</v>
          </cell>
          <cell r="N599">
            <v>1000</v>
          </cell>
          <cell r="Y599">
            <v>46190</v>
          </cell>
          <cell r="Z599">
            <v>1</v>
          </cell>
          <cell r="AA599">
            <v>1000</v>
          </cell>
        </row>
        <row r="600">
          <cell r="A600">
            <v>46190</v>
          </cell>
          <cell r="D600" t="str">
            <v>AGRO MARINE 1</v>
          </cell>
          <cell r="E600">
            <v>1</v>
          </cell>
          <cell r="H600" t="str">
            <v>SAFISCOR</v>
          </cell>
          <cell r="N600">
            <v>1000</v>
          </cell>
          <cell r="Y600">
            <v>46190</v>
          </cell>
          <cell r="Z600">
            <v>2</v>
          </cell>
          <cell r="AA600">
            <v>1000</v>
          </cell>
        </row>
        <row r="601">
          <cell r="A601">
            <v>46190</v>
          </cell>
          <cell r="D601" t="str">
            <v>AGRO MARINE 1</v>
          </cell>
          <cell r="E601">
            <v>1</v>
          </cell>
          <cell r="H601" t="str">
            <v>SAFISCOR</v>
          </cell>
          <cell r="N601">
            <v>1000</v>
          </cell>
          <cell r="Y601">
            <v>46190</v>
          </cell>
          <cell r="Z601">
            <v>1</v>
          </cell>
          <cell r="AA601">
            <v>1000</v>
          </cell>
        </row>
        <row r="602">
          <cell r="A602">
            <v>46190</v>
          </cell>
          <cell r="D602" t="str">
            <v>EFG 8</v>
          </cell>
          <cell r="E602">
            <v>1</v>
          </cell>
          <cell r="H602" t="str">
            <v>SAFISCOR</v>
          </cell>
          <cell r="N602">
            <v>1000</v>
          </cell>
          <cell r="Y602">
            <v>46190</v>
          </cell>
          <cell r="Z602">
            <v>2</v>
          </cell>
          <cell r="AA602">
            <v>1000</v>
          </cell>
        </row>
        <row r="603">
          <cell r="A603">
            <v>46190</v>
          </cell>
          <cell r="D603" t="str">
            <v>EFG 8</v>
          </cell>
          <cell r="E603">
            <v>1</v>
          </cell>
          <cell r="H603" t="str">
            <v>SAFISCOR</v>
          </cell>
          <cell r="N603">
            <v>1000</v>
          </cell>
        </row>
        <row r="604">
          <cell r="A604">
            <v>46190</v>
          </cell>
          <cell r="D604" t="str">
            <v>EFG 8</v>
          </cell>
          <cell r="E604">
            <v>1</v>
          </cell>
          <cell r="H604" t="str">
            <v>SAFISCOR</v>
          </cell>
          <cell r="N604">
            <v>1000</v>
          </cell>
          <cell r="Y604">
            <v>46190</v>
          </cell>
          <cell r="Z604">
            <v>1</v>
          </cell>
          <cell r="AA604">
            <v>1000</v>
          </cell>
        </row>
        <row r="605">
          <cell r="A605">
            <v>46190</v>
          </cell>
          <cell r="D605" t="str">
            <v>EFG 8</v>
          </cell>
          <cell r="E605">
            <v>1</v>
          </cell>
          <cell r="H605" t="str">
            <v>SAFISCOR</v>
          </cell>
          <cell r="N605">
            <v>1000</v>
          </cell>
          <cell r="Y605">
            <v>46190</v>
          </cell>
          <cell r="Z605">
            <v>1</v>
          </cell>
          <cell r="AA605">
            <v>1000</v>
          </cell>
        </row>
        <row r="606">
          <cell r="A606">
            <v>46190</v>
          </cell>
          <cell r="D606" t="str">
            <v>SALVACION 8</v>
          </cell>
          <cell r="E606">
            <v>1</v>
          </cell>
          <cell r="H606" t="str">
            <v>SAFISCOR</v>
          </cell>
          <cell r="N606">
            <v>1000</v>
          </cell>
          <cell r="Y606">
            <v>46190</v>
          </cell>
          <cell r="Z606">
            <v>1</v>
          </cell>
          <cell r="AA606">
            <v>1000</v>
          </cell>
        </row>
        <row r="607">
          <cell r="A607">
            <v>46190</v>
          </cell>
          <cell r="D607" t="str">
            <v>SALVACION 8</v>
          </cell>
          <cell r="E607">
            <v>1</v>
          </cell>
          <cell r="H607" t="str">
            <v>SAFISCOR</v>
          </cell>
          <cell r="N607">
            <v>1000</v>
          </cell>
          <cell r="Y607">
            <v>46190</v>
          </cell>
          <cell r="Z607">
            <v>1</v>
          </cell>
          <cell r="AA607">
            <v>1000</v>
          </cell>
        </row>
        <row r="608">
          <cell r="A608">
            <v>46190</v>
          </cell>
          <cell r="D608" t="str">
            <v>SALVACION 8</v>
          </cell>
          <cell r="E608">
            <v>1</v>
          </cell>
          <cell r="H608" t="str">
            <v>SAFISCOR</v>
          </cell>
          <cell r="N608">
            <v>1000</v>
          </cell>
          <cell r="Y608">
            <v>46190</v>
          </cell>
          <cell r="Z608">
            <v>1</v>
          </cell>
          <cell r="AA608">
            <v>1000</v>
          </cell>
        </row>
        <row r="609">
          <cell r="A609">
            <v>46190</v>
          </cell>
          <cell r="D609" t="str">
            <v>SALVACION 8</v>
          </cell>
          <cell r="E609">
            <v>1</v>
          </cell>
          <cell r="H609" t="str">
            <v>LAPU-LAPU</v>
          </cell>
          <cell r="N609">
            <v>1000</v>
          </cell>
          <cell r="Y609">
            <v>46191</v>
          </cell>
          <cell r="Z609">
            <v>1</v>
          </cell>
          <cell r="AA609">
            <v>1000</v>
          </cell>
        </row>
        <row r="610">
          <cell r="A610">
            <v>46190</v>
          </cell>
          <cell r="D610" t="str">
            <v>SALVACION 8</v>
          </cell>
          <cell r="E610">
            <v>1</v>
          </cell>
          <cell r="H610" t="str">
            <v>SAFISCOR</v>
          </cell>
          <cell r="N610">
            <v>1000</v>
          </cell>
          <cell r="Y610">
            <v>46190</v>
          </cell>
          <cell r="Z610">
            <v>2</v>
          </cell>
          <cell r="AA610">
            <v>1000</v>
          </cell>
        </row>
        <row r="611">
          <cell r="A611">
            <v>46190</v>
          </cell>
          <cell r="D611" t="str">
            <v>EFG 8</v>
          </cell>
          <cell r="E611">
            <v>1</v>
          </cell>
          <cell r="H611" t="str">
            <v>SAFISCOR</v>
          </cell>
          <cell r="N611">
            <v>1000</v>
          </cell>
          <cell r="Y611">
            <v>46190</v>
          </cell>
          <cell r="Z611">
            <v>2</v>
          </cell>
          <cell r="AA611">
            <v>1000</v>
          </cell>
        </row>
        <row r="612">
          <cell r="A612">
            <v>46190</v>
          </cell>
          <cell r="D612" t="str">
            <v>EFG 8</v>
          </cell>
          <cell r="E612">
            <v>1</v>
          </cell>
          <cell r="H612" t="str">
            <v>SAFISCOR</v>
          </cell>
          <cell r="N612">
            <v>1000</v>
          </cell>
          <cell r="Y612">
            <v>46190</v>
          </cell>
          <cell r="Z612">
            <v>1</v>
          </cell>
          <cell r="AA612">
            <v>1000</v>
          </cell>
        </row>
        <row r="613">
          <cell r="A613">
            <v>46190</v>
          </cell>
          <cell r="D613" t="str">
            <v>SALVACION 8</v>
          </cell>
          <cell r="E613">
            <v>1</v>
          </cell>
          <cell r="H613" t="str">
            <v>SAFISCOR</v>
          </cell>
          <cell r="N613">
            <v>1000</v>
          </cell>
          <cell r="Y613">
            <v>46190</v>
          </cell>
          <cell r="Z613">
            <v>2</v>
          </cell>
          <cell r="AA613">
            <v>1000</v>
          </cell>
        </row>
        <row r="614">
          <cell r="A614">
            <v>46190</v>
          </cell>
          <cell r="D614" t="str">
            <v>SALVACION 8</v>
          </cell>
          <cell r="E614">
            <v>1</v>
          </cell>
          <cell r="H614" t="str">
            <v>APLUS</v>
          </cell>
          <cell r="N614">
            <v>1000</v>
          </cell>
          <cell r="Y614">
            <v>46190</v>
          </cell>
          <cell r="Z614">
            <v>1</v>
          </cell>
          <cell r="AA614">
            <v>1000</v>
          </cell>
        </row>
        <row r="615">
          <cell r="A615">
            <v>46190</v>
          </cell>
          <cell r="D615" t="str">
            <v>SALVACION 8</v>
          </cell>
          <cell r="E615">
            <v>1</v>
          </cell>
          <cell r="H615" t="str">
            <v>SAFISCOR</v>
          </cell>
          <cell r="N615">
            <v>1000</v>
          </cell>
          <cell r="Y615">
            <v>46190</v>
          </cell>
          <cell r="Z615">
            <v>2</v>
          </cell>
          <cell r="AA615">
            <v>1000</v>
          </cell>
        </row>
        <row r="616">
          <cell r="A616">
            <v>46190</v>
          </cell>
          <cell r="D616" t="str">
            <v>EFG 8</v>
          </cell>
          <cell r="E616">
            <v>1</v>
          </cell>
          <cell r="H616" t="str">
            <v>SAFISCOR</v>
          </cell>
          <cell r="N616">
            <v>1000</v>
          </cell>
          <cell r="Y616">
            <v>46190</v>
          </cell>
          <cell r="Z616">
            <v>1</v>
          </cell>
          <cell r="AA616">
            <v>1000</v>
          </cell>
        </row>
        <row r="617">
          <cell r="A617">
            <v>46190</v>
          </cell>
          <cell r="D617" t="str">
            <v>LADY OF WISDOM</v>
          </cell>
          <cell r="E617">
            <v>1</v>
          </cell>
          <cell r="H617" t="str">
            <v>BADIE</v>
          </cell>
          <cell r="N617">
            <v>1000</v>
          </cell>
          <cell r="Y617">
            <v>46190</v>
          </cell>
          <cell r="Z617">
            <v>1</v>
          </cell>
          <cell r="AA617">
            <v>1000</v>
          </cell>
        </row>
        <row r="618">
          <cell r="A618">
            <v>46190</v>
          </cell>
          <cell r="D618" t="str">
            <v>LADY OF PEACE</v>
          </cell>
          <cell r="E618">
            <v>2</v>
          </cell>
          <cell r="H618" t="str">
            <v>LAPU-LAPU</v>
          </cell>
          <cell r="N618">
            <v>1000</v>
          </cell>
          <cell r="Y618">
            <v>46191</v>
          </cell>
          <cell r="Z618">
            <v>1</v>
          </cell>
          <cell r="AA618">
            <v>1000</v>
          </cell>
        </row>
        <row r="619">
          <cell r="A619">
            <v>46190</v>
          </cell>
          <cell r="D619" t="str">
            <v>SALVACION 8</v>
          </cell>
          <cell r="E619">
            <v>1</v>
          </cell>
          <cell r="H619" t="str">
            <v>SAFISCOR</v>
          </cell>
          <cell r="N619">
            <v>1000</v>
          </cell>
          <cell r="Y619">
            <v>46190</v>
          </cell>
          <cell r="Z619">
            <v>2</v>
          </cell>
          <cell r="AA619">
            <v>1000</v>
          </cell>
        </row>
        <row r="620">
          <cell r="A620">
            <v>46190</v>
          </cell>
          <cell r="D620" t="str">
            <v>LADY OF PEACE</v>
          </cell>
          <cell r="E620">
            <v>2</v>
          </cell>
          <cell r="H620" t="str">
            <v>SAFISCOR</v>
          </cell>
          <cell r="N620">
            <v>1000</v>
          </cell>
          <cell r="Y620">
            <v>46191</v>
          </cell>
          <cell r="Z620">
            <v>1</v>
          </cell>
          <cell r="AA620">
            <v>1000</v>
          </cell>
        </row>
        <row r="621">
          <cell r="A621">
            <v>46190</v>
          </cell>
          <cell r="D621" t="str">
            <v>EFG 8</v>
          </cell>
          <cell r="E621">
            <v>1</v>
          </cell>
          <cell r="H621" t="str">
            <v>SAFISCOR</v>
          </cell>
          <cell r="N621">
            <v>1000</v>
          </cell>
          <cell r="Y621">
            <v>46190</v>
          </cell>
          <cell r="Z621">
            <v>1</v>
          </cell>
          <cell r="AA621">
            <v>1000</v>
          </cell>
        </row>
        <row r="622">
          <cell r="A622">
            <v>46190</v>
          </cell>
          <cell r="D622" t="str">
            <v>SALVACION 8</v>
          </cell>
          <cell r="E622">
            <v>1</v>
          </cell>
          <cell r="H622" t="str">
            <v>GEO</v>
          </cell>
          <cell r="N622">
            <v>1000</v>
          </cell>
          <cell r="Y622">
            <v>46191</v>
          </cell>
          <cell r="Z622">
            <v>1</v>
          </cell>
          <cell r="AA622">
            <v>1000</v>
          </cell>
        </row>
        <row r="623">
          <cell r="A623">
            <v>46190</v>
          </cell>
          <cell r="D623" t="str">
            <v>LADY OF WISDOM</v>
          </cell>
          <cell r="E623">
            <v>1</v>
          </cell>
          <cell r="H623" t="str">
            <v>LAPU-LAPU</v>
          </cell>
          <cell r="N623">
            <v>1000</v>
          </cell>
          <cell r="Y623">
            <v>46190</v>
          </cell>
          <cell r="Z623">
            <v>1</v>
          </cell>
          <cell r="AA623">
            <v>1000</v>
          </cell>
        </row>
        <row r="624">
          <cell r="A624">
            <v>46190</v>
          </cell>
          <cell r="D624" t="str">
            <v>EFG 8</v>
          </cell>
          <cell r="E624">
            <v>1</v>
          </cell>
          <cell r="H624" t="str">
            <v>SAFISCOR</v>
          </cell>
          <cell r="N624">
            <v>1000</v>
          </cell>
        </row>
        <row r="625">
          <cell r="A625">
            <v>46190</v>
          </cell>
          <cell r="D625" t="str">
            <v>SALVACION 8</v>
          </cell>
          <cell r="E625">
            <v>1</v>
          </cell>
          <cell r="H625" t="str">
            <v>APLUS</v>
          </cell>
          <cell r="N625">
            <v>1000</v>
          </cell>
          <cell r="Y625">
            <v>46190</v>
          </cell>
          <cell r="Z625">
            <v>1</v>
          </cell>
          <cell r="AA625">
            <v>1000</v>
          </cell>
        </row>
        <row r="626">
          <cell r="A626">
            <v>46190</v>
          </cell>
          <cell r="D626" t="str">
            <v>LADY OF WISDOM</v>
          </cell>
          <cell r="E626">
            <v>1</v>
          </cell>
          <cell r="H626" t="str">
            <v>SAFISCOR</v>
          </cell>
          <cell r="N626">
            <v>1000</v>
          </cell>
          <cell r="Y626">
            <v>46191</v>
          </cell>
          <cell r="Z626">
            <v>1</v>
          </cell>
          <cell r="AA626">
            <v>1000</v>
          </cell>
        </row>
        <row r="627">
          <cell r="A627">
            <v>46190</v>
          </cell>
          <cell r="D627" t="str">
            <v>LADY OF PEACE</v>
          </cell>
          <cell r="E627">
            <v>2</v>
          </cell>
          <cell r="H627" t="str">
            <v>SAFISCOR</v>
          </cell>
          <cell r="N627">
            <v>1000</v>
          </cell>
          <cell r="Y627">
            <v>46191</v>
          </cell>
          <cell r="Z627">
            <v>1</v>
          </cell>
          <cell r="AA627">
            <v>1000</v>
          </cell>
        </row>
        <row r="628">
          <cell r="A628">
            <v>46190</v>
          </cell>
          <cell r="D628" t="str">
            <v>LADY OF WISDOM</v>
          </cell>
          <cell r="E628">
            <v>1</v>
          </cell>
          <cell r="H628" t="str">
            <v>SAFISCOR</v>
          </cell>
          <cell r="N628">
            <v>1000</v>
          </cell>
          <cell r="Y628">
            <v>46190</v>
          </cell>
          <cell r="Z628">
            <v>2</v>
          </cell>
          <cell r="AA628">
            <v>1000</v>
          </cell>
        </row>
        <row r="629">
          <cell r="A629">
            <v>46190</v>
          </cell>
          <cell r="D629" t="str">
            <v>LADY OF PEACE</v>
          </cell>
          <cell r="E629">
            <v>2</v>
          </cell>
          <cell r="H629" t="str">
            <v>SAFISCOR</v>
          </cell>
          <cell r="N629">
            <v>1000</v>
          </cell>
          <cell r="Y629">
            <v>46191</v>
          </cell>
          <cell r="Z629">
            <v>1</v>
          </cell>
          <cell r="AA629">
            <v>1000</v>
          </cell>
        </row>
        <row r="630">
          <cell r="A630">
            <v>46190</v>
          </cell>
          <cell r="D630" t="str">
            <v>LADY OF WISDOM</v>
          </cell>
          <cell r="E630">
            <v>1</v>
          </cell>
          <cell r="H630" t="str">
            <v>LAPU-LAPU</v>
          </cell>
          <cell r="N630">
            <v>1000</v>
          </cell>
          <cell r="Y630">
            <v>46190</v>
          </cell>
          <cell r="Z630">
            <v>1</v>
          </cell>
          <cell r="AA630">
            <v>1000</v>
          </cell>
        </row>
        <row r="631">
          <cell r="A631">
            <v>46190</v>
          </cell>
          <cell r="D631" t="str">
            <v>LADY OF WISDOM</v>
          </cell>
          <cell r="E631">
            <v>1</v>
          </cell>
          <cell r="H631" t="str">
            <v>LAPU-LAPU</v>
          </cell>
          <cell r="N631">
            <v>1000</v>
          </cell>
          <cell r="Y631">
            <v>46190</v>
          </cell>
          <cell r="Z631">
            <v>1</v>
          </cell>
          <cell r="AA631">
            <v>1000</v>
          </cell>
        </row>
        <row r="632">
          <cell r="A632">
            <v>46190</v>
          </cell>
          <cell r="D632" t="str">
            <v>LADY OF WISDOM</v>
          </cell>
          <cell r="E632">
            <v>1</v>
          </cell>
          <cell r="H632" t="str">
            <v>BADIE</v>
          </cell>
          <cell r="N632">
            <v>1000</v>
          </cell>
          <cell r="Y632">
            <v>46190</v>
          </cell>
          <cell r="Z632">
            <v>1</v>
          </cell>
          <cell r="AA632">
            <v>1000</v>
          </cell>
        </row>
        <row r="633">
          <cell r="A633">
            <v>46190</v>
          </cell>
          <cell r="D633" t="str">
            <v>EFG 7</v>
          </cell>
          <cell r="E633">
            <v>1</v>
          </cell>
          <cell r="H633" t="str">
            <v>SAFISCOR</v>
          </cell>
          <cell r="N633">
            <v>1000</v>
          </cell>
          <cell r="Y633">
            <v>46190</v>
          </cell>
          <cell r="Z633">
            <v>2</v>
          </cell>
          <cell r="AA633">
            <v>1000</v>
          </cell>
        </row>
        <row r="634">
          <cell r="A634">
            <v>46190</v>
          </cell>
          <cell r="D634" t="str">
            <v>LADY OF PEACE</v>
          </cell>
          <cell r="E634">
            <v>2</v>
          </cell>
          <cell r="H634" t="str">
            <v>SAFISCOR</v>
          </cell>
          <cell r="N634">
            <v>1000</v>
          </cell>
          <cell r="Y634">
            <v>46190</v>
          </cell>
          <cell r="Z634">
            <v>2</v>
          </cell>
          <cell r="AA634">
            <v>1000</v>
          </cell>
        </row>
        <row r="635">
          <cell r="A635">
            <v>46190</v>
          </cell>
          <cell r="D635" t="str">
            <v>LADY OF WISDOM</v>
          </cell>
          <cell r="E635">
            <v>1</v>
          </cell>
          <cell r="H635" t="str">
            <v>LAPU-LAPU</v>
          </cell>
          <cell r="N635">
            <v>1000</v>
          </cell>
          <cell r="Y635">
            <v>46190</v>
          </cell>
          <cell r="Z635">
            <v>1</v>
          </cell>
          <cell r="AA635">
            <v>1000</v>
          </cell>
        </row>
        <row r="636">
          <cell r="A636">
            <v>46190</v>
          </cell>
          <cell r="D636" t="str">
            <v>EFG 8</v>
          </cell>
          <cell r="E636">
            <v>1</v>
          </cell>
          <cell r="H636" t="str">
            <v>SAFISCOR</v>
          </cell>
          <cell r="N636">
            <v>1000</v>
          </cell>
          <cell r="Y636">
            <v>46190</v>
          </cell>
          <cell r="Z636">
            <v>2</v>
          </cell>
          <cell r="AA636">
            <v>1000</v>
          </cell>
        </row>
        <row r="637">
          <cell r="A637">
            <v>46190</v>
          </cell>
          <cell r="D637" t="str">
            <v>AGRO MARINE 1</v>
          </cell>
          <cell r="E637">
            <v>1</v>
          </cell>
          <cell r="H637" t="str">
            <v>SAFISCOR</v>
          </cell>
          <cell r="N637">
            <v>1000</v>
          </cell>
          <cell r="Y637">
            <v>46190</v>
          </cell>
          <cell r="Z637">
            <v>2</v>
          </cell>
          <cell r="AA637">
            <v>1000</v>
          </cell>
        </row>
        <row r="638">
          <cell r="A638">
            <v>46190</v>
          </cell>
          <cell r="D638" t="str">
            <v>EFG 8</v>
          </cell>
          <cell r="E638">
            <v>1</v>
          </cell>
          <cell r="H638" t="str">
            <v>SAFISCOR</v>
          </cell>
          <cell r="N638">
            <v>1000</v>
          </cell>
          <cell r="Y638">
            <v>46190</v>
          </cell>
          <cell r="Z638">
            <v>2</v>
          </cell>
          <cell r="AA638">
            <v>1000</v>
          </cell>
        </row>
        <row r="639">
          <cell r="A639">
            <v>46190</v>
          </cell>
          <cell r="D639" t="str">
            <v>EFG 7</v>
          </cell>
          <cell r="E639">
            <v>1</v>
          </cell>
          <cell r="H639" t="str">
            <v>SAFISCOR</v>
          </cell>
          <cell r="N639">
            <v>1000</v>
          </cell>
          <cell r="Y639">
            <v>46190</v>
          </cell>
          <cell r="Z639">
            <v>2</v>
          </cell>
          <cell r="AA639">
            <v>1000</v>
          </cell>
        </row>
        <row r="640">
          <cell r="A640">
            <v>46190</v>
          </cell>
          <cell r="D640" t="str">
            <v>EFG 7</v>
          </cell>
          <cell r="E640">
            <v>1</v>
          </cell>
          <cell r="H640" t="str">
            <v>LAPU-LAPU</v>
          </cell>
          <cell r="N640">
            <v>1000</v>
          </cell>
          <cell r="Y640">
            <v>46190</v>
          </cell>
          <cell r="Z640">
            <v>2</v>
          </cell>
          <cell r="AA640">
            <v>1000</v>
          </cell>
        </row>
        <row r="641">
          <cell r="A641">
            <v>46190</v>
          </cell>
          <cell r="D641" t="str">
            <v>EFG 8</v>
          </cell>
          <cell r="E641">
            <v>1</v>
          </cell>
          <cell r="H641" t="str">
            <v>SAFISCOR</v>
          </cell>
          <cell r="N641">
            <v>1000</v>
          </cell>
          <cell r="Y641">
            <v>46190</v>
          </cell>
          <cell r="Z641">
            <v>2</v>
          </cell>
          <cell r="AA641">
            <v>1000</v>
          </cell>
        </row>
        <row r="642">
          <cell r="A642">
            <v>46190</v>
          </cell>
          <cell r="D642" t="str">
            <v>LADY OF WISDOM</v>
          </cell>
          <cell r="E642">
            <v>1</v>
          </cell>
          <cell r="H642" t="str">
            <v>SAFISCOR</v>
          </cell>
          <cell r="N642">
            <v>1000</v>
          </cell>
          <cell r="Y642">
            <v>46191</v>
          </cell>
          <cell r="Z642">
            <v>1</v>
          </cell>
          <cell r="AA642">
            <v>1000</v>
          </cell>
        </row>
        <row r="643">
          <cell r="A643">
            <v>46190</v>
          </cell>
          <cell r="D643" t="str">
            <v>SALVACION 8</v>
          </cell>
          <cell r="E643">
            <v>1</v>
          </cell>
          <cell r="H643" t="str">
            <v>GEO</v>
          </cell>
          <cell r="N643">
            <v>1000</v>
          </cell>
          <cell r="Y643">
            <v>46190</v>
          </cell>
          <cell r="Z643">
            <v>2</v>
          </cell>
          <cell r="AA643">
            <v>1000</v>
          </cell>
        </row>
        <row r="644">
          <cell r="A644">
            <v>46190</v>
          </cell>
          <cell r="D644" t="str">
            <v>LADY OF WISDOM</v>
          </cell>
          <cell r="E644">
            <v>1</v>
          </cell>
          <cell r="H644" t="str">
            <v>APLUS</v>
          </cell>
          <cell r="N644">
            <v>1000</v>
          </cell>
          <cell r="Y644">
            <v>46190</v>
          </cell>
          <cell r="Z644">
            <v>2</v>
          </cell>
          <cell r="AA644">
            <v>1000</v>
          </cell>
        </row>
        <row r="645">
          <cell r="A645">
            <v>46190</v>
          </cell>
          <cell r="D645" t="str">
            <v>EFG 8</v>
          </cell>
          <cell r="E645">
            <v>1</v>
          </cell>
          <cell r="H645" t="str">
            <v>SAFISCOR</v>
          </cell>
          <cell r="N645">
            <v>1000</v>
          </cell>
          <cell r="Y645">
            <v>46190</v>
          </cell>
          <cell r="Z645">
            <v>2</v>
          </cell>
          <cell r="AA645">
            <v>1000</v>
          </cell>
        </row>
        <row r="646">
          <cell r="A646">
            <v>46190</v>
          </cell>
          <cell r="D646" t="str">
            <v>LADY OF WISDOM</v>
          </cell>
          <cell r="E646">
            <v>1</v>
          </cell>
          <cell r="H646" t="str">
            <v>LAPU-LAPU</v>
          </cell>
          <cell r="N646">
            <v>1000</v>
          </cell>
          <cell r="Y646">
            <v>46190</v>
          </cell>
          <cell r="Z646">
            <v>2</v>
          </cell>
          <cell r="AA646">
            <v>1000</v>
          </cell>
        </row>
        <row r="647">
          <cell r="A647">
            <v>46190</v>
          </cell>
          <cell r="D647" t="str">
            <v>AGRO MARINE 1</v>
          </cell>
          <cell r="E647">
            <v>1</v>
          </cell>
          <cell r="H647" t="str">
            <v>SAFISCOR</v>
          </cell>
          <cell r="N647">
            <v>1000</v>
          </cell>
          <cell r="Y647">
            <v>46191</v>
          </cell>
          <cell r="Z647">
            <v>1</v>
          </cell>
          <cell r="AA647">
            <v>1000</v>
          </cell>
        </row>
        <row r="648">
          <cell r="A648">
            <v>46190</v>
          </cell>
          <cell r="D648" t="str">
            <v>AGRO MARINE 1</v>
          </cell>
          <cell r="E648">
            <v>1</v>
          </cell>
          <cell r="H648" t="str">
            <v>SAFISCOR</v>
          </cell>
          <cell r="N648">
            <v>1000</v>
          </cell>
          <cell r="Y648">
            <v>46191</v>
          </cell>
          <cell r="Z648">
            <v>1</v>
          </cell>
          <cell r="AA648">
            <v>1000</v>
          </cell>
        </row>
        <row r="649">
          <cell r="A649">
            <v>46190</v>
          </cell>
          <cell r="D649" t="str">
            <v>AGRO MARINE 1</v>
          </cell>
          <cell r="E649">
            <v>1</v>
          </cell>
          <cell r="H649" t="str">
            <v>SAFISCOR</v>
          </cell>
          <cell r="N649">
            <v>1000</v>
          </cell>
          <cell r="Y649">
            <v>46190</v>
          </cell>
          <cell r="Z649">
            <v>2</v>
          </cell>
          <cell r="AA649">
            <v>1000</v>
          </cell>
        </row>
        <row r="650">
          <cell r="A650">
            <v>46190</v>
          </cell>
          <cell r="D650" t="str">
            <v>EFG 8</v>
          </cell>
          <cell r="E650">
            <v>1</v>
          </cell>
          <cell r="H650" t="str">
            <v>SAFISCOR</v>
          </cell>
          <cell r="N650">
            <v>1000</v>
          </cell>
        </row>
        <row r="651">
          <cell r="A651">
            <v>46190</v>
          </cell>
          <cell r="D651" t="str">
            <v>LADY OF WISDOM</v>
          </cell>
          <cell r="E651">
            <v>1</v>
          </cell>
          <cell r="H651" t="str">
            <v>LAPU-LAPU</v>
          </cell>
          <cell r="N651">
            <v>1000</v>
          </cell>
          <cell r="Y651">
            <v>46190</v>
          </cell>
          <cell r="Z651">
            <v>2</v>
          </cell>
          <cell r="AA651">
            <v>1000</v>
          </cell>
        </row>
        <row r="652">
          <cell r="A652">
            <v>46190</v>
          </cell>
          <cell r="D652" t="str">
            <v>EFG 7</v>
          </cell>
          <cell r="E652">
            <v>1</v>
          </cell>
          <cell r="H652" t="str">
            <v>SAFISCOR</v>
          </cell>
          <cell r="N652">
            <v>1000</v>
          </cell>
          <cell r="Y652">
            <v>46190</v>
          </cell>
          <cell r="Z652">
            <v>2</v>
          </cell>
          <cell r="AA652">
            <v>1000</v>
          </cell>
        </row>
        <row r="653">
          <cell r="A653">
            <v>46190</v>
          </cell>
          <cell r="D653" t="str">
            <v>EFG 7</v>
          </cell>
          <cell r="E653">
            <v>1</v>
          </cell>
          <cell r="H653" t="str">
            <v>SAFISCOR</v>
          </cell>
          <cell r="N653">
            <v>1000</v>
          </cell>
          <cell r="Y653">
            <v>46190</v>
          </cell>
          <cell r="Z653">
            <v>2</v>
          </cell>
          <cell r="AA653">
            <v>1000</v>
          </cell>
        </row>
        <row r="654">
          <cell r="A654">
            <v>46190</v>
          </cell>
          <cell r="D654" t="str">
            <v>SALVACION 8</v>
          </cell>
          <cell r="E654">
            <v>1</v>
          </cell>
          <cell r="H654" t="str">
            <v>SAFISCOR</v>
          </cell>
          <cell r="N654">
            <v>1000</v>
          </cell>
          <cell r="Y654">
            <v>46190</v>
          </cell>
          <cell r="Z654">
            <v>2</v>
          </cell>
          <cell r="AA654">
            <v>1000</v>
          </cell>
        </row>
        <row r="655">
          <cell r="A655">
            <v>46190</v>
          </cell>
          <cell r="D655" t="str">
            <v>SALVACION 8</v>
          </cell>
          <cell r="E655">
            <v>1</v>
          </cell>
          <cell r="H655" t="str">
            <v>SAFISCOR</v>
          </cell>
          <cell r="N655">
            <v>1000</v>
          </cell>
          <cell r="Y655">
            <v>46190</v>
          </cell>
          <cell r="Z655">
            <v>2</v>
          </cell>
          <cell r="AA655">
            <v>1000</v>
          </cell>
        </row>
        <row r="656">
          <cell r="A656">
            <v>46190</v>
          </cell>
          <cell r="D656" t="str">
            <v>LADY OF PEACE</v>
          </cell>
          <cell r="E656">
            <v>2</v>
          </cell>
          <cell r="H656" t="str">
            <v>SAFISCOR</v>
          </cell>
          <cell r="N656">
            <v>1000</v>
          </cell>
          <cell r="Y656">
            <v>46191</v>
          </cell>
          <cell r="Z656">
            <v>1</v>
          </cell>
          <cell r="AA656">
            <v>1000</v>
          </cell>
        </row>
        <row r="657">
          <cell r="A657">
            <v>46190</v>
          </cell>
          <cell r="D657" t="str">
            <v>LADY OF PEACE</v>
          </cell>
          <cell r="E657">
            <v>2</v>
          </cell>
          <cell r="H657" t="str">
            <v>SAFISCOR</v>
          </cell>
          <cell r="N657">
            <v>1000</v>
          </cell>
          <cell r="Y657">
            <v>46191</v>
          </cell>
          <cell r="Z657">
            <v>1</v>
          </cell>
          <cell r="AA657">
            <v>1000</v>
          </cell>
        </row>
        <row r="658">
          <cell r="A658">
            <v>46190</v>
          </cell>
          <cell r="D658" t="str">
            <v>SALVACION 8</v>
          </cell>
          <cell r="E658">
            <v>1</v>
          </cell>
          <cell r="H658" t="str">
            <v>APLUS</v>
          </cell>
          <cell r="N658">
            <v>1000</v>
          </cell>
          <cell r="Y658">
            <v>46190</v>
          </cell>
          <cell r="Z658">
            <v>2</v>
          </cell>
          <cell r="AA658">
            <v>1000</v>
          </cell>
        </row>
        <row r="659">
          <cell r="A659">
            <v>46190</v>
          </cell>
          <cell r="D659" t="str">
            <v>LADY OF WISDOM</v>
          </cell>
          <cell r="E659">
            <v>1</v>
          </cell>
          <cell r="H659" t="str">
            <v>BADIE</v>
          </cell>
          <cell r="N659">
            <v>1000</v>
          </cell>
          <cell r="Y659">
            <v>46190</v>
          </cell>
          <cell r="Z659">
            <v>2</v>
          </cell>
          <cell r="AA659">
            <v>1000</v>
          </cell>
        </row>
        <row r="660">
          <cell r="A660">
            <v>46190</v>
          </cell>
          <cell r="D660" t="str">
            <v>AGRO MARINE 1</v>
          </cell>
          <cell r="E660">
            <v>1</v>
          </cell>
          <cell r="H660" t="str">
            <v>SAFISCOR</v>
          </cell>
          <cell r="N660">
            <v>1000</v>
          </cell>
          <cell r="Y660">
            <v>46191</v>
          </cell>
          <cell r="Z660">
            <v>1</v>
          </cell>
          <cell r="AA660">
            <v>1000</v>
          </cell>
        </row>
        <row r="661">
          <cell r="A661">
            <v>46190</v>
          </cell>
          <cell r="D661" t="str">
            <v>EFG 8</v>
          </cell>
          <cell r="E661">
            <v>1</v>
          </cell>
          <cell r="H661" t="str">
            <v>SAFISCOR</v>
          </cell>
          <cell r="N661">
            <v>1000</v>
          </cell>
          <cell r="Y661">
            <v>46190</v>
          </cell>
          <cell r="Z661">
            <v>2</v>
          </cell>
          <cell r="AA661">
            <v>1000</v>
          </cell>
        </row>
        <row r="662">
          <cell r="A662">
            <v>46190</v>
          </cell>
          <cell r="D662" t="str">
            <v>EFG 7</v>
          </cell>
          <cell r="E662">
            <v>1</v>
          </cell>
          <cell r="H662" t="str">
            <v>SAFISCOR</v>
          </cell>
          <cell r="N662">
            <v>1000</v>
          </cell>
          <cell r="Y662">
            <v>46190</v>
          </cell>
          <cell r="Z662">
            <v>2</v>
          </cell>
          <cell r="AA662">
            <v>1000</v>
          </cell>
        </row>
        <row r="663">
          <cell r="A663">
            <v>46190</v>
          </cell>
          <cell r="D663" t="str">
            <v>LADY OF WISDOM</v>
          </cell>
          <cell r="E663">
            <v>1</v>
          </cell>
          <cell r="H663" t="str">
            <v>LAPU-LAPU</v>
          </cell>
          <cell r="N663">
            <v>1000</v>
          </cell>
          <cell r="Y663">
            <v>46190</v>
          </cell>
          <cell r="Z663">
            <v>2</v>
          </cell>
          <cell r="AA663">
            <v>1000</v>
          </cell>
        </row>
        <row r="664">
          <cell r="A664">
            <v>46190</v>
          </cell>
          <cell r="D664" t="str">
            <v>EFG 8</v>
          </cell>
          <cell r="E664">
            <v>1</v>
          </cell>
          <cell r="H664" t="str">
            <v>SAFISCOR</v>
          </cell>
          <cell r="N664">
            <v>1000</v>
          </cell>
        </row>
        <row r="665">
          <cell r="A665">
            <v>46190</v>
          </cell>
          <cell r="D665" t="str">
            <v>AGRO MARINE 1</v>
          </cell>
          <cell r="E665">
            <v>1</v>
          </cell>
          <cell r="H665" t="str">
            <v>SAFISCOR</v>
          </cell>
          <cell r="N665">
            <v>1000</v>
          </cell>
          <cell r="Y665">
            <v>46191</v>
          </cell>
          <cell r="Z665">
            <v>1</v>
          </cell>
          <cell r="AA665">
            <v>1000</v>
          </cell>
        </row>
        <row r="666">
          <cell r="A666">
            <v>46190</v>
          </cell>
          <cell r="D666" t="str">
            <v>AGRO MARINE 1</v>
          </cell>
          <cell r="E666">
            <v>1</v>
          </cell>
          <cell r="H666" t="str">
            <v>SAFISCOR</v>
          </cell>
          <cell r="N666">
            <v>1000</v>
          </cell>
          <cell r="Y666">
            <v>46191</v>
          </cell>
          <cell r="Z666">
            <v>1</v>
          </cell>
          <cell r="AA666">
            <v>1000</v>
          </cell>
        </row>
        <row r="667">
          <cell r="A667">
            <v>46190</v>
          </cell>
          <cell r="D667" t="str">
            <v>EFG 7</v>
          </cell>
          <cell r="E667">
            <v>1</v>
          </cell>
          <cell r="H667" t="str">
            <v>SAFISCOR</v>
          </cell>
          <cell r="N667">
            <v>1000</v>
          </cell>
          <cell r="Y667">
            <v>46191</v>
          </cell>
          <cell r="Z667">
            <v>1</v>
          </cell>
          <cell r="AA667">
            <v>1000</v>
          </cell>
        </row>
        <row r="668">
          <cell r="A668">
            <v>46190</v>
          </cell>
          <cell r="D668" t="str">
            <v>SALVACION 8</v>
          </cell>
          <cell r="E668">
            <v>1</v>
          </cell>
          <cell r="H668" t="str">
            <v>SAFISCOR</v>
          </cell>
          <cell r="N668">
            <v>1000</v>
          </cell>
          <cell r="Y668">
            <v>46192</v>
          </cell>
          <cell r="Z668">
            <v>1</v>
          </cell>
          <cell r="AA668">
            <v>1000</v>
          </cell>
        </row>
        <row r="669">
          <cell r="A669">
            <v>46190</v>
          </cell>
          <cell r="D669" t="str">
            <v>SALVACION 8</v>
          </cell>
          <cell r="E669">
            <v>1</v>
          </cell>
          <cell r="H669" t="str">
            <v>SAFISCOR</v>
          </cell>
          <cell r="N669">
            <v>1000</v>
          </cell>
          <cell r="Y669">
            <v>46191</v>
          </cell>
          <cell r="Z669">
            <v>2</v>
          </cell>
          <cell r="AA669">
            <v>1000</v>
          </cell>
        </row>
        <row r="670">
          <cell r="A670">
            <v>46190</v>
          </cell>
          <cell r="D670" t="str">
            <v>LADY OF WISDOM</v>
          </cell>
          <cell r="E670">
            <v>1</v>
          </cell>
          <cell r="H670" t="str">
            <v>SAFISCOR</v>
          </cell>
          <cell r="N670">
            <v>1000</v>
          </cell>
          <cell r="Y670">
            <v>46191</v>
          </cell>
          <cell r="Z670">
            <v>1</v>
          </cell>
          <cell r="AA670">
            <v>1000</v>
          </cell>
        </row>
        <row r="671">
          <cell r="A671">
            <v>46190</v>
          </cell>
          <cell r="D671" t="str">
            <v>LADY OF WISDOM</v>
          </cell>
          <cell r="E671">
            <v>1</v>
          </cell>
          <cell r="H671" t="str">
            <v>LAPU-LAPU</v>
          </cell>
          <cell r="N671">
            <v>1000</v>
          </cell>
          <cell r="Y671">
            <v>46190</v>
          </cell>
          <cell r="Z671">
            <v>2</v>
          </cell>
          <cell r="AA671">
            <v>1000</v>
          </cell>
        </row>
        <row r="672">
          <cell r="A672">
            <v>46190</v>
          </cell>
          <cell r="D672" t="str">
            <v>AGRO MARINE 1</v>
          </cell>
          <cell r="E672">
            <v>1</v>
          </cell>
          <cell r="H672" t="str">
            <v>SAFISCOR</v>
          </cell>
          <cell r="N672">
            <v>1000</v>
          </cell>
          <cell r="Y672">
            <v>46191</v>
          </cell>
          <cell r="Z672">
            <v>1</v>
          </cell>
          <cell r="AA672">
            <v>1000</v>
          </cell>
        </row>
        <row r="673">
          <cell r="A673">
            <v>46190</v>
          </cell>
          <cell r="D673" t="str">
            <v>AGRO MARINE 1</v>
          </cell>
          <cell r="E673">
            <v>1</v>
          </cell>
          <cell r="H673" t="str">
            <v>SAFISCOR</v>
          </cell>
          <cell r="N673">
            <v>1000</v>
          </cell>
          <cell r="Y673">
            <v>46191</v>
          </cell>
          <cell r="Z673">
            <v>2</v>
          </cell>
          <cell r="AA673">
            <v>1000</v>
          </cell>
        </row>
        <row r="674">
          <cell r="A674">
            <v>46190</v>
          </cell>
          <cell r="D674" t="str">
            <v>AGRO MARINE 1</v>
          </cell>
          <cell r="E674">
            <v>1</v>
          </cell>
          <cell r="H674" t="str">
            <v>SAFISCOR</v>
          </cell>
          <cell r="N674">
            <v>1000</v>
          </cell>
          <cell r="Y674">
            <v>46191</v>
          </cell>
          <cell r="Z674">
            <v>1</v>
          </cell>
          <cell r="AA674">
            <v>1000</v>
          </cell>
        </row>
        <row r="675">
          <cell r="A675">
            <v>46190</v>
          </cell>
          <cell r="D675" t="str">
            <v>AGRO MARINE 1</v>
          </cell>
          <cell r="E675">
            <v>1</v>
          </cell>
          <cell r="H675" t="str">
            <v>SAFISCOR</v>
          </cell>
          <cell r="N675">
            <v>1000</v>
          </cell>
          <cell r="Y675">
            <v>46191</v>
          </cell>
          <cell r="Z675">
            <v>2</v>
          </cell>
          <cell r="AA675">
            <v>1000</v>
          </cell>
        </row>
        <row r="676">
          <cell r="A676">
            <v>46190</v>
          </cell>
          <cell r="D676" t="str">
            <v>SALVACION 8</v>
          </cell>
          <cell r="E676">
            <v>1</v>
          </cell>
          <cell r="H676" t="str">
            <v>LAPU-LAPU</v>
          </cell>
          <cell r="N676">
            <v>1000</v>
          </cell>
          <cell r="Y676">
            <v>46191</v>
          </cell>
          <cell r="Z676">
            <v>1</v>
          </cell>
          <cell r="AA676">
            <v>1000</v>
          </cell>
        </row>
        <row r="677">
          <cell r="A677">
            <v>46190</v>
          </cell>
          <cell r="D677" t="str">
            <v>EFG 7</v>
          </cell>
          <cell r="E677">
            <v>1</v>
          </cell>
          <cell r="H677" t="str">
            <v>SAFISCOR</v>
          </cell>
          <cell r="N677">
            <v>1000</v>
          </cell>
          <cell r="Y677">
            <v>46191</v>
          </cell>
          <cell r="Z677">
            <v>1</v>
          </cell>
          <cell r="AA677">
            <v>1000</v>
          </cell>
        </row>
        <row r="678">
          <cell r="A678">
            <v>46190</v>
          </cell>
          <cell r="D678" t="str">
            <v>AGRO MARINE 1</v>
          </cell>
          <cell r="E678">
            <v>1</v>
          </cell>
          <cell r="H678" t="str">
            <v>SAFISCOR</v>
          </cell>
          <cell r="N678">
            <v>1000</v>
          </cell>
          <cell r="Y678">
            <v>46191</v>
          </cell>
          <cell r="Z678">
            <v>1</v>
          </cell>
          <cell r="AA678">
            <v>1000</v>
          </cell>
        </row>
        <row r="679">
          <cell r="A679">
            <v>46191</v>
          </cell>
          <cell r="D679" t="str">
            <v>AGRO MARINE 1</v>
          </cell>
          <cell r="E679">
            <v>1</v>
          </cell>
          <cell r="H679" t="str">
            <v>SAFISCOR</v>
          </cell>
          <cell r="N679">
            <v>1000</v>
          </cell>
          <cell r="Y679">
            <v>46191</v>
          </cell>
          <cell r="Z679">
            <v>1</v>
          </cell>
          <cell r="AA679">
            <v>1000</v>
          </cell>
        </row>
        <row r="680">
          <cell r="A680">
            <v>46191</v>
          </cell>
          <cell r="D680" t="str">
            <v>SALVACION 8</v>
          </cell>
          <cell r="E680">
            <v>1</v>
          </cell>
          <cell r="H680" t="str">
            <v>SAFISCOR</v>
          </cell>
          <cell r="N680">
            <v>350</v>
          </cell>
          <cell r="Y680">
            <v>46192</v>
          </cell>
          <cell r="Z680">
            <v>1</v>
          </cell>
          <cell r="AA680">
            <v>1000</v>
          </cell>
        </row>
        <row r="681">
          <cell r="A681">
            <v>46191</v>
          </cell>
          <cell r="D681" t="str">
            <v>SALVACION 8</v>
          </cell>
          <cell r="E681">
            <v>1</v>
          </cell>
          <cell r="H681" t="str">
            <v>SAFISCOR</v>
          </cell>
          <cell r="N681">
            <v>650</v>
          </cell>
          <cell r="Y681">
            <v>46192</v>
          </cell>
          <cell r="Z681">
            <v>1</v>
          </cell>
          <cell r="AA681">
            <v>350</v>
          </cell>
        </row>
        <row r="682">
          <cell r="A682">
            <v>46191</v>
          </cell>
          <cell r="D682" t="str">
            <v>AGRO MARINE 1</v>
          </cell>
          <cell r="E682">
            <v>1</v>
          </cell>
          <cell r="H682" t="str">
            <v>SAFISCOR</v>
          </cell>
          <cell r="N682">
            <v>1000</v>
          </cell>
          <cell r="Y682">
            <v>46191</v>
          </cell>
          <cell r="Z682">
            <v>2</v>
          </cell>
          <cell r="AA682">
            <v>650</v>
          </cell>
        </row>
        <row r="683">
          <cell r="A683">
            <v>46191</v>
          </cell>
          <cell r="D683" t="str">
            <v>EFG 7</v>
          </cell>
          <cell r="E683">
            <v>1</v>
          </cell>
          <cell r="H683" t="str">
            <v>SAFISCOR</v>
          </cell>
          <cell r="N683">
            <v>1000</v>
          </cell>
          <cell r="Y683">
            <v>46191</v>
          </cell>
          <cell r="Z683">
            <v>1</v>
          </cell>
          <cell r="AA683">
            <v>1000</v>
          </cell>
        </row>
        <row r="684">
          <cell r="A684">
            <v>46191</v>
          </cell>
          <cell r="D684" t="str">
            <v>EFG 7</v>
          </cell>
          <cell r="E684">
            <v>1</v>
          </cell>
          <cell r="H684" t="str">
            <v>SAFISCOR</v>
          </cell>
          <cell r="N684">
            <v>1000</v>
          </cell>
          <cell r="Y684">
            <v>46191</v>
          </cell>
          <cell r="Z684">
            <v>2</v>
          </cell>
          <cell r="AA684">
            <v>1000</v>
          </cell>
        </row>
        <row r="685">
          <cell r="A685">
            <v>46191</v>
          </cell>
          <cell r="D685" t="str">
            <v>LADY OF WISDOM</v>
          </cell>
          <cell r="E685">
            <v>1</v>
          </cell>
          <cell r="H685" t="str">
            <v>SAFISCOR</v>
          </cell>
          <cell r="N685">
            <v>1000</v>
          </cell>
          <cell r="Y685">
            <v>46191</v>
          </cell>
          <cell r="Z685">
            <v>1</v>
          </cell>
          <cell r="AA685">
            <v>1000</v>
          </cell>
        </row>
        <row r="686">
          <cell r="A686">
            <v>46191</v>
          </cell>
          <cell r="D686" t="str">
            <v>LADY OF WISDOM</v>
          </cell>
          <cell r="E686">
            <v>1</v>
          </cell>
          <cell r="H686" t="str">
            <v>SAFISCOR</v>
          </cell>
          <cell r="N686">
            <v>1000</v>
          </cell>
          <cell r="Y686">
            <v>46191</v>
          </cell>
          <cell r="Z686">
            <v>1</v>
          </cell>
          <cell r="AA686">
            <v>1000</v>
          </cell>
        </row>
        <row r="687">
          <cell r="A687">
            <v>46191</v>
          </cell>
          <cell r="D687" t="str">
            <v>EFG 7</v>
          </cell>
          <cell r="E687">
            <v>1</v>
          </cell>
          <cell r="H687" t="str">
            <v>SAFISCOR</v>
          </cell>
          <cell r="N687">
            <v>1000</v>
          </cell>
          <cell r="Y687">
            <v>46191</v>
          </cell>
          <cell r="Z687">
            <v>2</v>
          </cell>
          <cell r="AA687">
            <v>1000</v>
          </cell>
        </row>
        <row r="688">
          <cell r="A688">
            <v>46191</v>
          </cell>
          <cell r="D688" t="str">
            <v>EFG 7</v>
          </cell>
          <cell r="E688">
            <v>1</v>
          </cell>
          <cell r="H688" t="str">
            <v>GEO</v>
          </cell>
          <cell r="N688">
            <v>1000</v>
          </cell>
          <cell r="Y688">
            <v>46191</v>
          </cell>
          <cell r="Z688">
            <v>1</v>
          </cell>
          <cell r="AA688">
            <v>1000</v>
          </cell>
        </row>
        <row r="689">
          <cell r="A689">
            <v>46191</v>
          </cell>
          <cell r="D689" t="str">
            <v>EFG 7</v>
          </cell>
          <cell r="E689">
            <v>1</v>
          </cell>
          <cell r="H689" t="str">
            <v>SAFISCOR</v>
          </cell>
          <cell r="N689">
            <v>1000</v>
          </cell>
          <cell r="Y689">
            <v>46191</v>
          </cell>
          <cell r="Z689">
            <v>2</v>
          </cell>
          <cell r="AA689">
            <v>1000</v>
          </cell>
        </row>
        <row r="690">
          <cell r="A690">
            <v>46191</v>
          </cell>
          <cell r="D690" t="str">
            <v>EFG 7</v>
          </cell>
          <cell r="E690">
            <v>1</v>
          </cell>
          <cell r="H690" t="str">
            <v>APLUS</v>
          </cell>
          <cell r="N690">
            <v>1000</v>
          </cell>
          <cell r="Y690">
            <v>46191</v>
          </cell>
          <cell r="Z690">
            <v>1</v>
          </cell>
          <cell r="AA690">
            <v>1000</v>
          </cell>
        </row>
        <row r="691">
          <cell r="A691">
            <v>46191</v>
          </cell>
          <cell r="D691" t="str">
            <v>EFG 7</v>
          </cell>
          <cell r="E691">
            <v>1</v>
          </cell>
          <cell r="H691" t="str">
            <v>SAFISCOR</v>
          </cell>
          <cell r="N691">
            <v>1000</v>
          </cell>
          <cell r="Y691">
            <v>46191</v>
          </cell>
          <cell r="Z691">
            <v>2</v>
          </cell>
          <cell r="AA691">
            <v>1000</v>
          </cell>
        </row>
        <row r="692">
          <cell r="A692">
            <v>46191</v>
          </cell>
          <cell r="D692" t="str">
            <v>LADY OF WISDOM</v>
          </cell>
          <cell r="E692">
            <v>1</v>
          </cell>
          <cell r="H692" t="str">
            <v>LAPU-LAPU</v>
          </cell>
          <cell r="N692">
            <v>1000</v>
          </cell>
          <cell r="Y692">
            <v>46191</v>
          </cell>
          <cell r="Z692">
            <v>1</v>
          </cell>
          <cell r="AA692">
            <v>1000</v>
          </cell>
        </row>
        <row r="693">
          <cell r="A693">
            <v>46191</v>
          </cell>
          <cell r="D693" t="str">
            <v>EFG 7</v>
          </cell>
          <cell r="E693">
            <v>1</v>
          </cell>
          <cell r="H693" t="str">
            <v>SAFISCOR</v>
          </cell>
          <cell r="N693">
            <v>1000</v>
          </cell>
          <cell r="Y693">
            <v>46191</v>
          </cell>
          <cell r="Z693">
            <v>1</v>
          </cell>
          <cell r="AA693">
            <v>1000</v>
          </cell>
        </row>
        <row r="694">
          <cell r="A694">
            <v>46191</v>
          </cell>
          <cell r="D694" t="str">
            <v>SALVACION 8</v>
          </cell>
          <cell r="E694">
            <v>1</v>
          </cell>
          <cell r="H694" t="str">
            <v>LAPU-LAPU</v>
          </cell>
          <cell r="N694">
            <v>1000</v>
          </cell>
          <cell r="Y694">
            <v>46191</v>
          </cell>
          <cell r="Z694">
            <v>1</v>
          </cell>
          <cell r="AA694">
            <v>1000</v>
          </cell>
        </row>
        <row r="695">
          <cell r="A695">
            <v>46191</v>
          </cell>
          <cell r="D695" t="str">
            <v>EFG 7</v>
          </cell>
          <cell r="E695">
            <v>1</v>
          </cell>
          <cell r="H695" t="str">
            <v>SAFISCOR</v>
          </cell>
          <cell r="N695">
            <v>1000</v>
          </cell>
          <cell r="Y695">
            <v>46191</v>
          </cell>
          <cell r="Z695">
            <v>2</v>
          </cell>
          <cell r="AA695">
            <v>1000</v>
          </cell>
        </row>
        <row r="696">
          <cell r="A696">
            <v>46191</v>
          </cell>
          <cell r="D696" t="str">
            <v>SALVACION 8</v>
          </cell>
          <cell r="E696">
            <v>1</v>
          </cell>
          <cell r="H696" t="str">
            <v>BADIE</v>
          </cell>
          <cell r="N696">
            <v>1000</v>
          </cell>
          <cell r="Y696">
            <v>46191</v>
          </cell>
          <cell r="Z696">
            <v>1</v>
          </cell>
          <cell r="AA696">
            <v>1000</v>
          </cell>
        </row>
        <row r="697">
          <cell r="A697">
            <v>46191</v>
          </cell>
          <cell r="D697" t="str">
            <v>SALVACION 8</v>
          </cell>
          <cell r="E697">
            <v>1</v>
          </cell>
          <cell r="H697" t="str">
            <v>SAFISCOR</v>
          </cell>
          <cell r="N697">
            <v>1000</v>
          </cell>
          <cell r="Y697">
            <v>46191</v>
          </cell>
          <cell r="Z697">
            <v>1</v>
          </cell>
          <cell r="AA697">
            <v>1000</v>
          </cell>
        </row>
        <row r="698">
          <cell r="A698">
            <v>46191</v>
          </cell>
          <cell r="D698" t="str">
            <v>SALVACION 8</v>
          </cell>
          <cell r="E698">
            <v>1</v>
          </cell>
          <cell r="H698" t="str">
            <v>SAFISCOR</v>
          </cell>
          <cell r="N698">
            <v>1000</v>
          </cell>
          <cell r="Y698">
            <v>46191</v>
          </cell>
          <cell r="Z698">
            <v>2</v>
          </cell>
          <cell r="AA698">
            <v>1000</v>
          </cell>
        </row>
        <row r="699">
          <cell r="A699">
            <v>46191</v>
          </cell>
          <cell r="D699" t="str">
            <v>SALVACION 8</v>
          </cell>
          <cell r="E699">
            <v>1</v>
          </cell>
          <cell r="H699" t="str">
            <v>SAFISCOR</v>
          </cell>
          <cell r="N699">
            <v>1000</v>
          </cell>
          <cell r="Y699">
            <v>46192</v>
          </cell>
          <cell r="Z699">
            <v>1</v>
          </cell>
          <cell r="AA699">
            <v>1000</v>
          </cell>
        </row>
        <row r="700">
          <cell r="A700">
            <v>46191</v>
          </cell>
          <cell r="D700" t="str">
            <v>EFG 7</v>
          </cell>
          <cell r="E700">
            <v>1</v>
          </cell>
          <cell r="H700" t="str">
            <v>SAFISCOR</v>
          </cell>
          <cell r="N700">
            <v>1000</v>
          </cell>
          <cell r="Y700">
            <v>46191</v>
          </cell>
          <cell r="Z700">
            <v>2</v>
          </cell>
          <cell r="AA700">
            <v>1000</v>
          </cell>
        </row>
        <row r="701">
          <cell r="A701">
            <v>46191</v>
          </cell>
          <cell r="D701" t="str">
            <v>EFG 7</v>
          </cell>
          <cell r="E701">
            <v>1</v>
          </cell>
          <cell r="H701" t="str">
            <v>GEO</v>
          </cell>
          <cell r="N701">
            <v>1000</v>
          </cell>
          <cell r="Y701">
            <v>46191</v>
          </cell>
          <cell r="Z701">
            <v>1</v>
          </cell>
          <cell r="AA701">
            <v>1000</v>
          </cell>
        </row>
        <row r="702">
          <cell r="A702">
            <v>46191</v>
          </cell>
          <cell r="D702" t="str">
            <v>SALVACION 8</v>
          </cell>
          <cell r="E702">
            <v>1</v>
          </cell>
          <cell r="H702" t="str">
            <v>SAFISCOR</v>
          </cell>
          <cell r="N702">
            <v>1000</v>
          </cell>
          <cell r="Y702">
            <v>46192</v>
          </cell>
          <cell r="Z702">
            <v>1</v>
          </cell>
          <cell r="AA702">
            <v>1000</v>
          </cell>
        </row>
        <row r="703">
          <cell r="A703">
            <v>46191</v>
          </cell>
          <cell r="D703" t="str">
            <v>EFG 7</v>
          </cell>
          <cell r="E703">
            <v>1</v>
          </cell>
          <cell r="H703" t="str">
            <v>LAPU-LAPU</v>
          </cell>
          <cell r="N703">
            <v>1000</v>
          </cell>
          <cell r="Y703">
            <v>46191</v>
          </cell>
          <cell r="Z703">
            <v>2</v>
          </cell>
          <cell r="AA703">
            <v>1000</v>
          </cell>
        </row>
        <row r="704">
          <cell r="A704">
            <v>46191</v>
          </cell>
          <cell r="D704" t="str">
            <v>SALVACION 8</v>
          </cell>
          <cell r="E704">
            <v>1</v>
          </cell>
          <cell r="H704" t="str">
            <v>SAFISCOR</v>
          </cell>
          <cell r="N704">
            <v>1000</v>
          </cell>
          <cell r="Y704">
            <v>46192</v>
          </cell>
          <cell r="Z704">
            <v>1</v>
          </cell>
          <cell r="AA704">
            <v>1000</v>
          </cell>
        </row>
        <row r="705">
          <cell r="A705">
            <v>46191</v>
          </cell>
          <cell r="D705" t="str">
            <v>SALVACION 8</v>
          </cell>
          <cell r="E705">
            <v>1</v>
          </cell>
          <cell r="H705" t="str">
            <v>SAFISCOR</v>
          </cell>
          <cell r="N705">
            <v>1000</v>
          </cell>
          <cell r="Y705">
            <v>46191</v>
          </cell>
          <cell r="Z705">
            <v>2</v>
          </cell>
          <cell r="AA705">
            <v>1000</v>
          </cell>
        </row>
        <row r="706">
          <cell r="A706">
            <v>46191</v>
          </cell>
          <cell r="D706" t="str">
            <v>LADY OF PEACE</v>
          </cell>
          <cell r="E706">
            <v>2</v>
          </cell>
          <cell r="H706" t="str">
            <v>LAPU-LAPU</v>
          </cell>
          <cell r="N706">
            <v>1000</v>
          </cell>
          <cell r="Y706">
            <v>46191</v>
          </cell>
          <cell r="Z706">
            <v>2</v>
          </cell>
          <cell r="AA706">
            <v>1000</v>
          </cell>
        </row>
        <row r="707">
          <cell r="A707">
            <v>46191</v>
          </cell>
          <cell r="D707" t="str">
            <v>LADY OF PEACE</v>
          </cell>
          <cell r="E707">
            <v>2</v>
          </cell>
          <cell r="H707" t="str">
            <v>SAFISCOR</v>
          </cell>
          <cell r="N707">
            <v>1000</v>
          </cell>
          <cell r="Y707">
            <v>46191</v>
          </cell>
          <cell r="Z707">
            <v>2</v>
          </cell>
          <cell r="AA707">
            <v>1000</v>
          </cell>
        </row>
        <row r="708">
          <cell r="A708">
            <v>46191</v>
          </cell>
          <cell r="D708" t="str">
            <v>LADY OF PEACE</v>
          </cell>
          <cell r="E708">
            <v>2</v>
          </cell>
          <cell r="H708" t="str">
            <v>SAFISCOR</v>
          </cell>
          <cell r="N708">
            <v>1000</v>
          </cell>
          <cell r="Y708">
            <v>46191</v>
          </cell>
          <cell r="Z708">
            <v>2</v>
          </cell>
          <cell r="AA708">
            <v>1000</v>
          </cell>
        </row>
        <row r="709">
          <cell r="A709">
            <v>46191</v>
          </cell>
          <cell r="D709" t="str">
            <v>SALVACION 8</v>
          </cell>
          <cell r="E709">
            <v>1</v>
          </cell>
          <cell r="H709" t="str">
            <v>SAFISCOR</v>
          </cell>
          <cell r="N709">
            <v>1000</v>
          </cell>
          <cell r="Y709">
            <v>46191</v>
          </cell>
          <cell r="Z709">
            <v>2</v>
          </cell>
          <cell r="AA709">
            <v>1000</v>
          </cell>
        </row>
        <row r="710">
          <cell r="A710">
            <v>46191</v>
          </cell>
          <cell r="D710" t="str">
            <v>SALVACION 8</v>
          </cell>
          <cell r="E710">
            <v>1</v>
          </cell>
          <cell r="H710" t="str">
            <v>SAFISCOR</v>
          </cell>
          <cell r="N710">
            <v>1000</v>
          </cell>
          <cell r="Y710">
            <v>46191</v>
          </cell>
          <cell r="Z710">
            <v>2</v>
          </cell>
          <cell r="AA710">
            <v>1000</v>
          </cell>
        </row>
        <row r="711">
          <cell r="A711">
            <v>46191</v>
          </cell>
          <cell r="D711" t="str">
            <v>SALVACION 8</v>
          </cell>
          <cell r="E711">
            <v>1</v>
          </cell>
          <cell r="H711" t="str">
            <v>SAFISCOR</v>
          </cell>
          <cell r="N711">
            <v>1000</v>
          </cell>
          <cell r="Y711">
            <v>46191</v>
          </cell>
          <cell r="Z711">
            <v>2</v>
          </cell>
          <cell r="AA711">
            <v>1000</v>
          </cell>
        </row>
        <row r="712">
          <cell r="A712">
            <v>46191</v>
          </cell>
          <cell r="D712" t="str">
            <v>SALVACION 8</v>
          </cell>
          <cell r="E712">
            <v>1</v>
          </cell>
          <cell r="H712" t="str">
            <v>SAFISCOR</v>
          </cell>
          <cell r="N712">
            <v>1000</v>
          </cell>
          <cell r="Y712">
            <v>46191</v>
          </cell>
          <cell r="Z712">
            <v>2</v>
          </cell>
          <cell r="AA712">
            <v>1000</v>
          </cell>
        </row>
        <row r="713">
          <cell r="A713">
            <v>46191</v>
          </cell>
          <cell r="D713" t="str">
            <v>LADY OF PEACE</v>
          </cell>
          <cell r="E713">
            <v>2</v>
          </cell>
          <cell r="H713" t="str">
            <v>SAFISCOR</v>
          </cell>
          <cell r="N713">
            <v>1000</v>
          </cell>
          <cell r="Y713">
            <v>46191</v>
          </cell>
          <cell r="Z713">
            <v>1</v>
          </cell>
          <cell r="AA713">
            <v>1000</v>
          </cell>
        </row>
        <row r="714">
          <cell r="A714">
            <v>46191</v>
          </cell>
          <cell r="D714" t="str">
            <v>SALVACION 8</v>
          </cell>
          <cell r="E714">
            <v>1</v>
          </cell>
          <cell r="H714" t="str">
            <v>SAFISCOR</v>
          </cell>
          <cell r="N714">
            <v>1000</v>
          </cell>
          <cell r="Y714">
            <v>46191</v>
          </cell>
          <cell r="Z714">
            <v>2</v>
          </cell>
          <cell r="AA714">
            <v>1000</v>
          </cell>
        </row>
        <row r="715">
          <cell r="A715">
            <v>46191</v>
          </cell>
          <cell r="D715" t="str">
            <v>SALVACION 8</v>
          </cell>
          <cell r="E715">
            <v>1</v>
          </cell>
          <cell r="H715" t="str">
            <v>SAFISCOR</v>
          </cell>
          <cell r="N715">
            <v>1000</v>
          </cell>
          <cell r="Y715">
            <v>46191</v>
          </cell>
          <cell r="Z715">
            <v>2</v>
          </cell>
          <cell r="AA715">
            <v>1000</v>
          </cell>
        </row>
        <row r="716">
          <cell r="A716">
            <v>46191</v>
          </cell>
          <cell r="D716" t="str">
            <v>EFG 7</v>
          </cell>
          <cell r="E716">
            <v>1</v>
          </cell>
          <cell r="H716" t="str">
            <v>GEO</v>
          </cell>
          <cell r="N716">
            <v>1000</v>
          </cell>
          <cell r="Y716">
            <v>46191</v>
          </cell>
          <cell r="Z716">
            <v>2</v>
          </cell>
          <cell r="AA716">
            <v>1000</v>
          </cell>
        </row>
        <row r="717">
          <cell r="A717">
            <v>46191</v>
          </cell>
          <cell r="D717" t="str">
            <v>EFG 7</v>
          </cell>
          <cell r="E717">
            <v>1</v>
          </cell>
          <cell r="H717" t="str">
            <v>APLUS</v>
          </cell>
          <cell r="N717">
            <v>1000</v>
          </cell>
          <cell r="Y717">
            <v>46191</v>
          </cell>
          <cell r="Z717">
            <v>2</v>
          </cell>
          <cell r="AA717">
            <v>1000</v>
          </cell>
        </row>
        <row r="718">
          <cell r="A718">
            <v>46191</v>
          </cell>
          <cell r="D718" t="str">
            <v>EFG 7</v>
          </cell>
          <cell r="E718">
            <v>1</v>
          </cell>
          <cell r="H718" t="str">
            <v>SAFISCOR</v>
          </cell>
          <cell r="N718">
            <v>1000</v>
          </cell>
          <cell r="Y718">
            <v>46191</v>
          </cell>
          <cell r="Z718">
            <v>2</v>
          </cell>
          <cell r="AA718">
            <v>1000</v>
          </cell>
        </row>
        <row r="719">
          <cell r="A719">
            <v>46191</v>
          </cell>
          <cell r="D719" t="str">
            <v>NAPOLI</v>
          </cell>
          <cell r="E719">
            <v>1</v>
          </cell>
          <cell r="H719" t="str">
            <v>SAFISCOR</v>
          </cell>
          <cell r="N719">
            <v>1000</v>
          </cell>
          <cell r="Y719">
            <v>46191</v>
          </cell>
          <cell r="Z719">
            <v>2</v>
          </cell>
          <cell r="AA719">
            <v>1000</v>
          </cell>
        </row>
        <row r="720">
          <cell r="A720">
            <v>46191</v>
          </cell>
          <cell r="D720" t="str">
            <v>NAPOLI</v>
          </cell>
          <cell r="E720">
            <v>1</v>
          </cell>
          <cell r="H720" t="str">
            <v>SAFISCOR</v>
          </cell>
          <cell r="N720">
            <v>1000</v>
          </cell>
          <cell r="Y720">
            <v>46192</v>
          </cell>
          <cell r="Z720">
            <v>1</v>
          </cell>
          <cell r="AA720">
            <v>1000</v>
          </cell>
        </row>
        <row r="721">
          <cell r="A721">
            <v>46191</v>
          </cell>
          <cell r="D721" t="str">
            <v>LADY OF PEACE</v>
          </cell>
          <cell r="E721">
            <v>2</v>
          </cell>
          <cell r="H721" t="str">
            <v>SAFISCOR</v>
          </cell>
          <cell r="N721">
            <v>1000</v>
          </cell>
          <cell r="Y721">
            <v>46191</v>
          </cell>
          <cell r="Z721">
            <v>2</v>
          </cell>
          <cell r="AA721">
            <v>1000</v>
          </cell>
        </row>
        <row r="722">
          <cell r="A722">
            <v>46191</v>
          </cell>
          <cell r="D722" t="str">
            <v>LADY OF PEACE</v>
          </cell>
          <cell r="E722">
            <v>2</v>
          </cell>
          <cell r="H722" t="str">
            <v>BADIE</v>
          </cell>
          <cell r="N722">
            <v>1000</v>
          </cell>
          <cell r="Y722">
            <v>46191</v>
          </cell>
          <cell r="Z722">
            <v>2</v>
          </cell>
          <cell r="AA722">
            <v>1000</v>
          </cell>
        </row>
        <row r="723">
          <cell r="A723">
            <v>46191</v>
          </cell>
          <cell r="D723" t="str">
            <v>SALVACION 8</v>
          </cell>
          <cell r="E723">
            <v>1</v>
          </cell>
          <cell r="H723" t="str">
            <v>LAPU-LAPU</v>
          </cell>
          <cell r="N723">
            <v>1000</v>
          </cell>
          <cell r="Y723">
            <v>46191</v>
          </cell>
          <cell r="Z723">
            <v>2</v>
          </cell>
          <cell r="AA723">
            <v>1000</v>
          </cell>
        </row>
        <row r="724">
          <cell r="A724">
            <v>46191</v>
          </cell>
          <cell r="D724" t="str">
            <v>LADY OF PEACE</v>
          </cell>
          <cell r="E724">
            <v>2</v>
          </cell>
          <cell r="H724" t="str">
            <v>SAFISCOR</v>
          </cell>
          <cell r="N724">
            <v>1000</v>
          </cell>
          <cell r="Y724">
            <v>46191</v>
          </cell>
          <cell r="Z724">
            <v>2</v>
          </cell>
          <cell r="AA724">
            <v>1000</v>
          </cell>
        </row>
        <row r="725">
          <cell r="A725">
            <v>46191</v>
          </cell>
          <cell r="D725" t="str">
            <v>EFG 7</v>
          </cell>
          <cell r="E725">
            <v>1</v>
          </cell>
          <cell r="H725" t="str">
            <v>SAFISCOR</v>
          </cell>
          <cell r="N725">
            <v>1000</v>
          </cell>
          <cell r="Y725">
            <v>46191</v>
          </cell>
          <cell r="Z725">
            <v>2</v>
          </cell>
          <cell r="AA725">
            <v>1000</v>
          </cell>
        </row>
        <row r="726">
          <cell r="A726">
            <v>46191</v>
          </cell>
          <cell r="D726" t="str">
            <v>NAPOLI</v>
          </cell>
          <cell r="E726">
            <v>1</v>
          </cell>
          <cell r="H726" t="str">
            <v>SAFISCOR</v>
          </cell>
          <cell r="N726">
            <v>1000</v>
          </cell>
          <cell r="Y726">
            <v>46192</v>
          </cell>
          <cell r="Z726">
            <v>1</v>
          </cell>
          <cell r="AA726">
            <v>1000</v>
          </cell>
        </row>
        <row r="727">
          <cell r="A727">
            <v>46191</v>
          </cell>
          <cell r="D727" t="str">
            <v>NAPOLI</v>
          </cell>
          <cell r="E727">
            <v>1</v>
          </cell>
          <cell r="H727" t="str">
            <v>SAFISCOR</v>
          </cell>
          <cell r="N727">
            <v>1000</v>
          </cell>
          <cell r="Y727">
            <v>46192</v>
          </cell>
          <cell r="Z727">
            <v>1</v>
          </cell>
          <cell r="AA727">
            <v>1000</v>
          </cell>
        </row>
        <row r="728">
          <cell r="A728">
            <v>46191</v>
          </cell>
          <cell r="D728" t="str">
            <v xml:space="preserve">STAR SOGOD </v>
          </cell>
          <cell r="E728">
            <v>2</v>
          </cell>
          <cell r="H728" t="str">
            <v>SAFISCOR</v>
          </cell>
          <cell r="N728">
            <v>1000</v>
          </cell>
          <cell r="Y728">
            <v>46192</v>
          </cell>
          <cell r="Z728">
            <v>1</v>
          </cell>
          <cell r="AA728">
            <v>1000</v>
          </cell>
        </row>
        <row r="729">
          <cell r="A729">
            <v>46191</v>
          </cell>
          <cell r="D729" t="str">
            <v>EFG 7</v>
          </cell>
          <cell r="E729">
            <v>1</v>
          </cell>
          <cell r="H729" t="str">
            <v>SAFISCOR</v>
          </cell>
          <cell r="N729">
            <v>1000</v>
          </cell>
          <cell r="Y729">
            <v>46191</v>
          </cell>
          <cell r="Z729">
            <v>2</v>
          </cell>
          <cell r="AA729">
            <v>1000</v>
          </cell>
        </row>
        <row r="730">
          <cell r="A730">
            <v>46191</v>
          </cell>
          <cell r="D730" t="str">
            <v>SALVACION 8</v>
          </cell>
          <cell r="E730">
            <v>1</v>
          </cell>
          <cell r="H730" t="str">
            <v>SAFISCOR</v>
          </cell>
          <cell r="N730">
            <v>1000</v>
          </cell>
          <cell r="Y730">
            <v>46192</v>
          </cell>
          <cell r="Z730">
            <v>1</v>
          </cell>
          <cell r="AA730">
            <v>1000</v>
          </cell>
        </row>
        <row r="731">
          <cell r="A731">
            <v>46191</v>
          </cell>
          <cell r="D731" t="str">
            <v>SALVACION 8</v>
          </cell>
          <cell r="E731">
            <v>1</v>
          </cell>
          <cell r="H731" t="str">
            <v>SAFISCOR</v>
          </cell>
          <cell r="N731">
            <v>1000</v>
          </cell>
          <cell r="Y731">
            <v>46192</v>
          </cell>
          <cell r="Z731">
            <v>1</v>
          </cell>
          <cell r="AA731">
            <v>1000</v>
          </cell>
        </row>
        <row r="732">
          <cell r="A732">
            <v>46191</v>
          </cell>
          <cell r="D732" t="str">
            <v>LADY OF PEACE</v>
          </cell>
          <cell r="E732">
            <v>2</v>
          </cell>
          <cell r="H732" t="str">
            <v>GEO</v>
          </cell>
          <cell r="N732">
            <v>1000</v>
          </cell>
          <cell r="Y732">
            <v>46192</v>
          </cell>
          <cell r="Z732">
            <v>1</v>
          </cell>
          <cell r="AA732">
            <v>1000</v>
          </cell>
        </row>
        <row r="733">
          <cell r="A733">
            <v>46191</v>
          </cell>
          <cell r="D733" t="str">
            <v>LADY OF PEACE</v>
          </cell>
          <cell r="E733">
            <v>2</v>
          </cell>
          <cell r="H733" t="str">
            <v>SAFISCOR</v>
          </cell>
          <cell r="N733">
            <v>1000</v>
          </cell>
          <cell r="Y733">
            <v>46192</v>
          </cell>
          <cell r="Z733">
            <v>1</v>
          </cell>
          <cell r="AA733">
            <v>1000</v>
          </cell>
        </row>
        <row r="734">
          <cell r="A734">
            <v>46191</v>
          </cell>
          <cell r="D734" t="str">
            <v>LADY OF PEACE</v>
          </cell>
          <cell r="E734">
            <v>2</v>
          </cell>
          <cell r="H734" t="str">
            <v>LAPU-LAPU</v>
          </cell>
          <cell r="N734">
            <v>1000</v>
          </cell>
          <cell r="Y734">
            <v>46191</v>
          </cell>
          <cell r="Z734">
            <v>2</v>
          </cell>
          <cell r="AA734">
            <v>1000</v>
          </cell>
        </row>
        <row r="735">
          <cell r="A735">
            <v>46191</v>
          </cell>
          <cell r="D735" t="str">
            <v>LADY OF PEACE</v>
          </cell>
          <cell r="E735">
            <v>2</v>
          </cell>
          <cell r="H735" t="str">
            <v>SAFISCOR</v>
          </cell>
          <cell r="N735">
            <v>1000</v>
          </cell>
          <cell r="Y735">
            <v>46191</v>
          </cell>
          <cell r="Z735">
            <v>2</v>
          </cell>
          <cell r="AA735">
            <v>1000</v>
          </cell>
        </row>
        <row r="736">
          <cell r="A736">
            <v>46191</v>
          </cell>
          <cell r="D736" t="str">
            <v>LADY OF PEACE</v>
          </cell>
          <cell r="E736">
            <v>2</v>
          </cell>
          <cell r="H736" t="str">
            <v>SAFISCOR</v>
          </cell>
          <cell r="N736">
            <v>1000</v>
          </cell>
          <cell r="Y736">
            <v>46192</v>
          </cell>
          <cell r="Z736">
            <v>1</v>
          </cell>
          <cell r="AA736">
            <v>1000</v>
          </cell>
        </row>
        <row r="737">
          <cell r="A737">
            <v>46191</v>
          </cell>
          <cell r="D737" t="str">
            <v>LADY OF PEACE</v>
          </cell>
          <cell r="E737">
            <v>2</v>
          </cell>
          <cell r="H737" t="str">
            <v>BADIE</v>
          </cell>
          <cell r="N737">
            <v>1000</v>
          </cell>
          <cell r="Y737">
            <v>46191</v>
          </cell>
          <cell r="Z737">
            <v>2</v>
          </cell>
          <cell r="AA737">
            <v>1000</v>
          </cell>
        </row>
        <row r="738">
          <cell r="A738">
            <v>46191</v>
          </cell>
          <cell r="D738" t="str">
            <v xml:space="preserve">STAR SOGOD </v>
          </cell>
          <cell r="E738">
            <v>2</v>
          </cell>
          <cell r="H738" t="str">
            <v>SAFISCOR</v>
          </cell>
          <cell r="N738">
            <v>1000</v>
          </cell>
          <cell r="Y738">
            <v>46191</v>
          </cell>
          <cell r="Z738">
            <v>2</v>
          </cell>
          <cell r="AA738">
            <v>1000</v>
          </cell>
        </row>
        <row r="739">
          <cell r="A739">
            <v>46191</v>
          </cell>
          <cell r="D739" t="str">
            <v xml:space="preserve">STAR SOGOD </v>
          </cell>
          <cell r="E739">
            <v>2</v>
          </cell>
          <cell r="H739" t="str">
            <v>SAFISCOR</v>
          </cell>
          <cell r="N739">
            <v>1000</v>
          </cell>
          <cell r="Y739">
            <v>46192</v>
          </cell>
          <cell r="Z739">
            <v>1</v>
          </cell>
          <cell r="AA739">
            <v>1000</v>
          </cell>
        </row>
        <row r="740">
          <cell r="A740">
            <v>46191</v>
          </cell>
          <cell r="D740" t="str">
            <v>LADY OF PEACE</v>
          </cell>
          <cell r="E740">
            <v>2</v>
          </cell>
          <cell r="H740" t="str">
            <v>LAPU-LAPU</v>
          </cell>
          <cell r="N740">
            <v>1000</v>
          </cell>
          <cell r="Y740">
            <v>46191</v>
          </cell>
          <cell r="Z740">
            <v>2</v>
          </cell>
          <cell r="AA740">
            <v>1000</v>
          </cell>
        </row>
        <row r="741">
          <cell r="A741">
            <v>46191</v>
          </cell>
          <cell r="D741" t="str">
            <v>SALVACION 8</v>
          </cell>
          <cell r="E741">
            <v>1</v>
          </cell>
          <cell r="H741" t="str">
            <v>SAFISCOR</v>
          </cell>
          <cell r="N741">
            <v>1000</v>
          </cell>
          <cell r="Y741">
            <v>46191</v>
          </cell>
          <cell r="Z741">
            <v>2</v>
          </cell>
          <cell r="AA741">
            <v>1000</v>
          </cell>
        </row>
        <row r="742">
          <cell r="A742">
            <v>46191</v>
          </cell>
          <cell r="D742" t="str">
            <v>NAPOLI</v>
          </cell>
          <cell r="E742">
            <v>1</v>
          </cell>
          <cell r="H742" t="str">
            <v>SAFISCOR</v>
          </cell>
          <cell r="N742">
            <v>1000</v>
          </cell>
          <cell r="Y742">
            <v>46192</v>
          </cell>
          <cell r="Z742">
            <v>1</v>
          </cell>
          <cell r="AA742">
            <v>1000</v>
          </cell>
        </row>
        <row r="743">
          <cell r="A743">
            <v>46191</v>
          </cell>
          <cell r="D743" t="str">
            <v xml:space="preserve">STAR SOGOD </v>
          </cell>
          <cell r="E743">
            <v>2</v>
          </cell>
          <cell r="H743" t="str">
            <v>LAPU-LAPU</v>
          </cell>
          <cell r="N743">
            <v>1000</v>
          </cell>
          <cell r="Y743">
            <v>46192</v>
          </cell>
          <cell r="Z743">
            <v>1</v>
          </cell>
          <cell r="AA743">
            <v>1000</v>
          </cell>
        </row>
        <row r="744">
          <cell r="A744">
            <v>46191</v>
          </cell>
          <cell r="D744" t="str">
            <v>EFG 7</v>
          </cell>
          <cell r="E744">
            <v>1</v>
          </cell>
          <cell r="H744" t="str">
            <v>SAFISCOR</v>
          </cell>
          <cell r="N744">
            <v>1000</v>
          </cell>
          <cell r="Y744">
            <v>46192</v>
          </cell>
          <cell r="Z744">
            <v>1</v>
          </cell>
          <cell r="AA744">
            <v>1000</v>
          </cell>
        </row>
        <row r="745">
          <cell r="A745">
            <v>46191</v>
          </cell>
          <cell r="D745" t="str">
            <v>EFG 7</v>
          </cell>
          <cell r="E745">
            <v>1</v>
          </cell>
          <cell r="H745" t="str">
            <v>SAFISCOR</v>
          </cell>
          <cell r="N745">
            <v>350</v>
          </cell>
          <cell r="Y745">
            <v>46192</v>
          </cell>
          <cell r="Z745">
            <v>1</v>
          </cell>
          <cell r="AA745">
            <v>1000</v>
          </cell>
        </row>
        <row r="746">
          <cell r="A746">
            <v>46191</v>
          </cell>
          <cell r="D746" t="str">
            <v>EFG 7</v>
          </cell>
          <cell r="E746">
            <v>1</v>
          </cell>
          <cell r="H746" t="str">
            <v>SAFISCOR</v>
          </cell>
          <cell r="N746">
            <v>1000</v>
          </cell>
          <cell r="Y746">
            <v>46192</v>
          </cell>
          <cell r="Z746">
            <v>1</v>
          </cell>
          <cell r="AA746">
            <v>350</v>
          </cell>
        </row>
        <row r="747">
          <cell r="A747">
            <v>46191</v>
          </cell>
          <cell r="D747" t="str">
            <v>SALVACION 8</v>
          </cell>
          <cell r="E747">
            <v>1</v>
          </cell>
          <cell r="H747" t="str">
            <v>SAFISCOR</v>
          </cell>
          <cell r="N747">
            <v>1000</v>
          </cell>
          <cell r="Y747">
            <v>46192</v>
          </cell>
          <cell r="Z747">
            <v>1</v>
          </cell>
          <cell r="AA747">
            <v>1000</v>
          </cell>
        </row>
        <row r="748">
          <cell r="A748">
            <v>46191</v>
          </cell>
          <cell r="D748" t="str">
            <v>SALVACION 8</v>
          </cell>
          <cell r="E748">
            <v>1</v>
          </cell>
          <cell r="H748" t="str">
            <v>SAFISCOR</v>
          </cell>
          <cell r="N748">
            <v>650</v>
          </cell>
          <cell r="Y748">
            <v>46192</v>
          </cell>
          <cell r="Z748">
            <v>1</v>
          </cell>
          <cell r="AA748">
            <v>1000</v>
          </cell>
        </row>
        <row r="749">
          <cell r="A749">
            <v>46191</v>
          </cell>
          <cell r="D749" t="str">
            <v>SALVACION 8</v>
          </cell>
          <cell r="E749">
            <v>1</v>
          </cell>
          <cell r="H749" t="str">
            <v>SAFISCOR</v>
          </cell>
          <cell r="N749">
            <v>1000</v>
          </cell>
          <cell r="Y749">
            <v>46192</v>
          </cell>
          <cell r="Z749">
            <v>1</v>
          </cell>
          <cell r="AA749">
            <v>650</v>
          </cell>
        </row>
        <row r="750">
          <cell r="A750">
            <v>46191</v>
          </cell>
          <cell r="D750" t="str">
            <v>SALVACION 8</v>
          </cell>
          <cell r="E750">
            <v>1</v>
          </cell>
          <cell r="H750" t="str">
            <v>GEO</v>
          </cell>
          <cell r="N750">
            <v>1000</v>
          </cell>
          <cell r="Y750">
            <v>46192</v>
          </cell>
          <cell r="Z750">
            <v>1</v>
          </cell>
          <cell r="AA750">
            <v>1000</v>
          </cell>
        </row>
        <row r="751">
          <cell r="A751">
            <v>46192</v>
          </cell>
          <cell r="D751" t="str">
            <v>SALVACION 8</v>
          </cell>
          <cell r="E751">
            <v>1</v>
          </cell>
          <cell r="H751" t="str">
            <v>GEO</v>
          </cell>
          <cell r="N751">
            <v>1000</v>
          </cell>
          <cell r="Y751">
            <v>46192</v>
          </cell>
          <cell r="Z751">
            <v>1</v>
          </cell>
          <cell r="AA751">
            <v>1000</v>
          </cell>
        </row>
        <row r="752">
          <cell r="A752">
            <v>46192</v>
          </cell>
          <cell r="D752" t="str">
            <v>EFG 7</v>
          </cell>
          <cell r="E752">
            <v>1</v>
          </cell>
          <cell r="H752" t="str">
            <v>APLUS</v>
          </cell>
          <cell r="N752">
            <v>1000</v>
          </cell>
          <cell r="Y752">
            <v>46192</v>
          </cell>
          <cell r="Z752">
            <v>1</v>
          </cell>
          <cell r="AA752">
            <v>1000</v>
          </cell>
        </row>
        <row r="753">
          <cell r="A753">
            <v>46192</v>
          </cell>
          <cell r="D753" t="str">
            <v xml:space="preserve">STAR SOGOD </v>
          </cell>
          <cell r="E753">
            <v>2</v>
          </cell>
          <cell r="H753" t="str">
            <v>SAFISCOR</v>
          </cell>
          <cell r="N753">
            <v>1000</v>
          </cell>
          <cell r="Y753">
            <v>46192</v>
          </cell>
          <cell r="Z753">
            <v>2</v>
          </cell>
          <cell r="AA753">
            <v>1000</v>
          </cell>
        </row>
        <row r="754">
          <cell r="A754">
            <v>46192</v>
          </cell>
          <cell r="D754" t="str">
            <v xml:space="preserve">STAR SOGOD </v>
          </cell>
          <cell r="E754">
            <v>2</v>
          </cell>
          <cell r="H754" t="str">
            <v>SAFISCOR</v>
          </cell>
          <cell r="N754">
            <v>1000</v>
          </cell>
          <cell r="Y754">
            <v>46192</v>
          </cell>
          <cell r="Z754">
            <v>2</v>
          </cell>
          <cell r="AA754">
            <v>1000</v>
          </cell>
        </row>
        <row r="755">
          <cell r="A755">
            <v>46192</v>
          </cell>
          <cell r="D755" t="str">
            <v>NAPOLI</v>
          </cell>
          <cell r="E755">
            <v>1</v>
          </cell>
          <cell r="H755" t="str">
            <v>SAFISCOR</v>
          </cell>
          <cell r="N755">
            <v>1000</v>
          </cell>
          <cell r="Y755">
            <v>46192</v>
          </cell>
          <cell r="Z755">
            <v>1</v>
          </cell>
          <cell r="AA755">
            <v>1000</v>
          </cell>
        </row>
        <row r="756">
          <cell r="A756">
            <v>46192</v>
          </cell>
          <cell r="D756" t="str">
            <v>NAPOLI</v>
          </cell>
          <cell r="E756">
            <v>1</v>
          </cell>
          <cell r="H756" t="str">
            <v>SAFISCOR</v>
          </cell>
          <cell r="N756">
            <v>1000</v>
          </cell>
          <cell r="Y756">
            <v>46192</v>
          </cell>
          <cell r="Z756">
            <v>1</v>
          </cell>
          <cell r="AA756">
            <v>1000</v>
          </cell>
        </row>
        <row r="757">
          <cell r="A757">
            <v>46192</v>
          </cell>
          <cell r="D757" t="str">
            <v>NAPOLI</v>
          </cell>
          <cell r="E757">
            <v>1</v>
          </cell>
          <cell r="H757" t="str">
            <v>SAFISCOR</v>
          </cell>
          <cell r="N757">
            <v>1000</v>
          </cell>
          <cell r="Y757">
            <v>46192</v>
          </cell>
          <cell r="Z757">
            <v>1</v>
          </cell>
          <cell r="AA757">
            <v>1000</v>
          </cell>
        </row>
        <row r="758">
          <cell r="A758">
            <v>46192</v>
          </cell>
          <cell r="D758" t="str">
            <v>NAPOLI</v>
          </cell>
          <cell r="E758">
            <v>1</v>
          </cell>
          <cell r="H758" t="str">
            <v>LAPU-LAPU</v>
          </cell>
          <cell r="N758">
            <v>1000</v>
          </cell>
          <cell r="Y758">
            <v>46192</v>
          </cell>
          <cell r="Z758">
            <v>1</v>
          </cell>
          <cell r="AA758">
            <v>1000</v>
          </cell>
        </row>
        <row r="759">
          <cell r="A759">
            <v>46192</v>
          </cell>
          <cell r="D759" t="str">
            <v xml:space="preserve">STAR SOGOD </v>
          </cell>
          <cell r="E759">
            <v>2</v>
          </cell>
          <cell r="H759" t="str">
            <v>LAPU-LAPU</v>
          </cell>
          <cell r="N759">
            <v>1000</v>
          </cell>
          <cell r="Y759">
            <v>46192</v>
          </cell>
          <cell r="Z759">
            <v>1</v>
          </cell>
          <cell r="AA759">
            <v>1000</v>
          </cell>
        </row>
        <row r="760">
          <cell r="A760">
            <v>46192</v>
          </cell>
          <cell r="D760" t="str">
            <v>NAPOLI</v>
          </cell>
          <cell r="E760">
            <v>1</v>
          </cell>
          <cell r="H760" t="str">
            <v>APLUS</v>
          </cell>
          <cell r="N760">
            <v>1000</v>
          </cell>
          <cell r="Y760">
            <v>46192</v>
          </cell>
          <cell r="Z760">
            <v>2</v>
          </cell>
          <cell r="AA760">
            <v>1000</v>
          </cell>
        </row>
        <row r="761">
          <cell r="A761">
            <v>46192</v>
          </cell>
          <cell r="D761" t="str">
            <v xml:space="preserve">STAR SOGOD </v>
          </cell>
          <cell r="E761">
            <v>2</v>
          </cell>
          <cell r="H761" t="str">
            <v>SAFISCOR</v>
          </cell>
          <cell r="N761">
            <v>1000</v>
          </cell>
          <cell r="Y761">
            <v>46192</v>
          </cell>
          <cell r="Z761">
            <v>2</v>
          </cell>
          <cell r="AA761">
            <v>1000</v>
          </cell>
        </row>
        <row r="762">
          <cell r="A762">
            <v>46192</v>
          </cell>
          <cell r="D762" t="str">
            <v xml:space="preserve">STAR SOGOD </v>
          </cell>
          <cell r="E762">
            <v>2</v>
          </cell>
          <cell r="H762" t="str">
            <v>SAFISCOR</v>
          </cell>
          <cell r="N762">
            <v>1000</v>
          </cell>
          <cell r="Y762">
            <v>46192</v>
          </cell>
          <cell r="Z762">
            <v>2</v>
          </cell>
          <cell r="AA762">
            <v>1000</v>
          </cell>
        </row>
        <row r="763">
          <cell r="A763">
            <v>46192</v>
          </cell>
          <cell r="D763" t="str">
            <v>EFG 7</v>
          </cell>
          <cell r="E763">
            <v>1</v>
          </cell>
          <cell r="H763" t="str">
            <v>GEO</v>
          </cell>
          <cell r="N763">
            <v>1000</v>
          </cell>
          <cell r="Y763">
            <v>46192</v>
          </cell>
          <cell r="Z763">
            <v>1</v>
          </cell>
          <cell r="AA763">
            <v>1000</v>
          </cell>
        </row>
        <row r="764">
          <cell r="A764">
            <v>46192</v>
          </cell>
          <cell r="D764" t="str">
            <v>EFG 7</v>
          </cell>
          <cell r="E764">
            <v>1</v>
          </cell>
          <cell r="H764" t="str">
            <v>SAFISCOR</v>
          </cell>
          <cell r="N764">
            <v>1000</v>
          </cell>
          <cell r="Y764">
            <v>46192</v>
          </cell>
          <cell r="Z764">
            <v>1</v>
          </cell>
          <cell r="AA764">
            <v>1000</v>
          </cell>
        </row>
        <row r="765">
          <cell r="A765">
            <v>46192</v>
          </cell>
          <cell r="D765" t="str">
            <v>EFG 7</v>
          </cell>
          <cell r="E765">
            <v>1</v>
          </cell>
          <cell r="H765" t="str">
            <v>BADIE</v>
          </cell>
          <cell r="N765">
            <v>1000</v>
          </cell>
          <cell r="Y765">
            <v>46192</v>
          </cell>
          <cell r="Z765">
            <v>1</v>
          </cell>
          <cell r="AA765">
            <v>1000</v>
          </cell>
        </row>
        <row r="766">
          <cell r="A766">
            <v>46192</v>
          </cell>
          <cell r="D766" t="str">
            <v>EFG 7</v>
          </cell>
          <cell r="E766">
            <v>1</v>
          </cell>
          <cell r="H766" t="str">
            <v>SAFISCOR</v>
          </cell>
          <cell r="Y766">
            <v>46192</v>
          </cell>
          <cell r="Z766">
            <v>1</v>
          </cell>
          <cell r="AA766">
            <v>1000</v>
          </cell>
        </row>
        <row r="767">
          <cell r="A767">
            <v>46192</v>
          </cell>
          <cell r="N767">
            <v>1000</v>
          </cell>
        </row>
        <row r="768">
          <cell r="A768">
            <v>46192</v>
          </cell>
          <cell r="D768" t="str">
            <v>EFG 7</v>
          </cell>
          <cell r="E768">
            <v>1</v>
          </cell>
          <cell r="H768" t="str">
            <v>APLUS</v>
          </cell>
          <cell r="N768">
            <v>1000</v>
          </cell>
          <cell r="Y768">
            <v>46192</v>
          </cell>
          <cell r="Z768">
            <v>1</v>
          </cell>
          <cell r="AA768">
            <v>1000</v>
          </cell>
        </row>
        <row r="769">
          <cell r="A769">
            <v>46192</v>
          </cell>
          <cell r="D769" t="str">
            <v>STAR FREEDOM</v>
          </cell>
          <cell r="E769">
            <v>2</v>
          </cell>
          <cell r="H769" t="str">
            <v>LAPU-LAPU</v>
          </cell>
          <cell r="N769">
            <v>1000</v>
          </cell>
          <cell r="Y769">
            <v>46192</v>
          </cell>
          <cell r="Z769">
            <v>2</v>
          </cell>
          <cell r="AA769">
            <v>1000</v>
          </cell>
        </row>
        <row r="770">
          <cell r="A770">
            <v>46192</v>
          </cell>
          <cell r="D770" t="str">
            <v>NAPOLI</v>
          </cell>
          <cell r="E770">
            <v>1</v>
          </cell>
          <cell r="H770" t="str">
            <v>LAPU-LAPU</v>
          </cell>
          <cell r="N770">
            <v>1000</v>
          </cell>
          <cell r="Y770">
            <v>46192</v>
          </cell>
          <cell r="Z770">
            <v>2</v>
          </cell>
          <cell r="AA770">
            <v>1000</v>
          </cell>
        </row>
        <row r="771">
          <cell r="A771">
            <v>46192</v>
          </cell>
          <cell r="D771" t="str">
            <v>NAPOLI</v>
          </cell>
          <cell r="E771">
            <v>1</v>
          </cell>
          <cell r="H771" t="str">
            <v>SAFISCOR</v>
          </cell>
          <cell r="N771">
            <v>1000</v>
          </cell>
          <cell r="Y771">
            <v>46192</v>
          </cell>
          <cell r="Z771">
            <v>2</v>
          </cell>
          <cell r="AA771">
            <v>1000</v>
          </cell>
        </row>
        <row r="772">
          <cell r="A772">
            <v>46192</v>
          </cell>
          <cell r="D772" t="str">
            <v>LADY OF COURAGE</v>
          </cell>
          <cell r="E772">
            <v>2</v>
          </cell>
          <cell r="H772" t="str">
            <v>SAFISCOR</v>
          </cell>
          <cell r="N772">
            <v>1000</v>
          </cell>
          <cell r="Y772">
            <v>46192</v>
          </cell>
          <cell r="Z772">
            <v>2</v>
          </cell>
          <cell r="AA772">
            <v>1000</v>
          </cell>
        </row>
        <row r="773">
          <cell r="A773">
            <v>46192</v>
          </cell>
          <cell r="D773" t="str">
            <v>LADY OF COURAGE</v>
          </cell>
          <cell r="E773">
            <v>2</v>
          </cell>
          <cell r="H773" t="str">
            <v>GEO</v>
          </cell>
          <cell r="N773">
            <v>1000</v>
          </cell>
          <cell r="Y773">
            <v>46192</v>
          </cell>
          <cell r="Z773">
            <v>2</v>
          </cell>
          <cell r="AA773">
            <v>1000</v>
          </cell>
        </row>
        <row r="774">
          <cell r="A774">
            <v>46192</v>
          </cell>
          <cell r="D774" t="str">
            <v>STAR FREEDOM</v>
          </cell>
          <cell r="E774">
            <v>2</v>
          </cell>
          <cell r="H774" t="str">
            <v>SAFISCOR</v>
          </cell>
          <cell r="N774">
            <v>1000</v>
          </cell>
          <cell r="Y774">
            <v>46192</v>
          </cell>
          <cell r="Z774">
            <v>2</v>
          </cell>
          <cell r="AA774">
            <v>1000</v>
          </cell>
        </row>
        <row r="775">
          <cell r="A775">
            <v>46192</v>
          </cell>
          <cell r="D775" t="str">
            <v>STAR FREEDOM</v>
          </cell>
          <cell r="E775">
            <v>2</v>
          </cell>
          <cell r="H775" t="str">
            <v>SAFISCOR</v>
          </cell>
          <cell r="N775">
            <v>1000</v>
          </cell>
          <cell r="Y775">
            <v>46192</v>
          </cell>
          <cell r="Z775">
            <v>2</v>
          </cell>
          <cell r="AA775">
            <v>1000</v>
          </cell>
        </row>
        <row r="776">
          <cell r="A776">
            <v>46192</v>
          </cell>
          <cell r="D776" t="str">
            <v>STAR FREEDOM</v>
          </cell>
          <cell r="E776">
            <v>2</v>
          </cell>
          <cell r="H776" t="str">
            <v>SAFISCOR</v>
          </cell>
          <cell r="N776">
            <v>1000</v>
          </cell>
          <cell r="Y776">
            <v>46192</v>
          </cell>
          <cell r="Z776">
            <v>2</v>
          </cell>
          <cell r="AA776">
            <v>1000</v>
          </cell>
        </row>
        <row r="777">
          <cell r="A777">
            <v>46192</v>
          </cell>
          <cell r="D777" t="str">
            <v>STAR FREEDOM</v>
          </cell>
          <cell r="E777">
            <v>2</v>
          </cell>
          <cell r="H777" t="str">
            <v>SAFISCOR</v>
          </cell>
          <cell r="N777">
            <v>1000</v>
          </cell>
          <cell r="Y777">
            <v>46192</v>
          </cell>
          <cell r="Z777">
            <v>2</v>
          </cell>
          <cell r="AA777">
            <v>1000</v>
          </cell>
        </row>
        <row r="778">
          <cell r="A778">
            <v>46192</v>
          </cell>
          <cell r="D778" t="str">
            <v>STAR FREEDOM</v>
          </cell>
          <cell r="E778">
            <v>2</v>
          </cell>
          <cell r="H778" t="str">
            <v>SAFISCOR</v>
          </cell>
          <cell r="N778">
            <v>1000</v>
          </cell>
          <cell r="Y778">
            <v>46192</v>
          </cell>
          <cell r="Z778">
            <v>2</v>
          </cell>
          <cell r="AA778">
            <v>1000</v>
          </cell>
        </row>
        <row r="779">
          <cell r="A779">
            <v>46192</v>
          </cell>
          <cell r="D779" t="str">
            <v>STAR FREEDOM</v>
          </cell>
          <cell r="E779">
            <v>2</v>
          </cell>
          <cell r="H779" t="str">
            <v>SAFISCOR</v>
          </cell>
          <cell r="N779">
            <v>1000</v>
          </cell>
          <cell r="Y779">
            <v>46192</v>
          </cell>
          <cell r="Z779">
            <v>2</v>
          </cell>
          <cell r="AA779">
            <v>1000</v>
          </cell>
        </row>
        <row r="780">
          <cell r="A780">
            <v>46192</v>
          </cell>
          <cell r="D780" t="str">
            <v>STAR FREEDOM</v>
          </cell>
          <cell r="E780">
            <v>2</v>
          </cell>
          <cell r="H780" t="str">
            <v>LAPU-LAPU</v>
          </cell>
          <cell r="N780">
            <v>1000</v>
          </cell>
          <cell r="Y780">
            <v>46192</v>
          </cell>
          <cell r="Z780">
            <v>2</v>
          </cell>
          <cell r="AA780">
            <v>1000</v>
          </cell>
        </row>
        <row r="781">
          <cell r="A781">
            <v>46192</v>
          </cell>
          <cell r="D781" t="str">
            <v>STAR FREEDOM</v>
          </cell>
          <cell r="E781">
            <v>1</v>
          </cell>
          <cell r="H781" t="str">
            <v>SAFISCOR</v>
          </cell>
          <cell r="N781">
            <v>1000</v>
          </cell>
          <cell r="Y781">
            <v>46192</v>
          </cell>
          <cell r="Z781">
            <v>2</v>
          </cell>
          <cell r="AA781">
            <v>1000</v>
          </cell>
        </row>
        <row r="782">
          <cell r="A782">
            <v>46192</v>
          </cell>
          <cell r="D782" t="str">
            <v>NAPOLI</v>
          </cell>
          <cell r="E782">
            <v>1</v>
          </cell>
          <cell r="H782" t="str">
            <v>SAFISCOR</v>
          </cell>
          <cell r="N782">
            <v>1000</v>
          </cell>
          <cell r="Y782">
            <v>46192</v>
          </cell>
          <cell r="Z782">
            <v>2</v>
          </cell>
          <cell r="AA782">
            <v>1000</v>
          </cell>
        </row>
        <row r="783">
          <cell r="A783">
            <v>46192</v>
          </cell>
          <cell r="D783" t="str">
            <v>NAPOLI</v>
          </cell>
          <cell r="E783">
            <v>1</v>
          </cell>
          <cell r="H783" t="str">
            <v>LAPU-LAPU</v>
          </cell>
          <cell r="N783">
            <v>1000</v>
          </cell>
          <cell r="Y783">
            <v>46192</v>
          </cell>
          <cell r="Z783">
            <v>2</v>
          </cell>
          <cell r="AA783">
            <v>1000</v>
          </cell>
        </row>
        <row r="784">
          <cell r="A784">
            <v>46192</v>
          </cell>
          <cell r="D784" t="str">
            <v>LADY OF COURAGE</v>
          </cell>
          <cell r="E784">
            <v>2</v>
          </cell>
          <cell r="H784" t="str">
            <v>SAFISCOR</v>
          </cell>
          <cell r="N784">
            <v>1000</v>
          </cell>
          <cell r="Y784">
            <v>46192</v>
          </cell>
          <cell r="Z784">
            <v>2</v>
          </cell>
          <cell r="AA784">
            <v>1000</v>
          </cell>
        </row>
        <row r="785">
          <cell r="A785">
            <v>46192</v>
          </cell>
          <cell r="D785" t="str">
            <v>LADY OF COURAGE</v>
          </cell>
          <cell r="E785">
            <v>2</v>
          </cell>
          <cell r="H785" t="str">
            <v>LAPU-LAPU</v>
          </cell>
          <cell r="N785">
            <v>1000</v>
          </cell>
          <cell r="Y785">
            <v>46192</v>
          </cell>
          <cell r="Z785">
            <v>2</v>
          </cell>
          <cell r="AA785">
            <v>1000</v>
          </cell>
        </row>
        <row r="786">
          <cell r="A786">
            <v>46192</v>
          </cell>
          <cell r="D786" t="str">
            <v>STAR FREEDOM</v>
          </cell>
          <cell r="E786">
            <v>2</v>
          </cell>
          <cell r="H786" t="str">
            <v>LAPU-LAPU</v>
          </cell>
          <cell r="N786">
            <v>1000</v>
          </cell>
          <cell r="Y786">
            <v>46192</v>
          </cell>
          <cell r="Z786">
            <v>2</v>
          </cell>
          <cell r="AA786">
            <v>1000</v>
          </cell>
        </row>
        <row r="787">
          <cell r="A787">
            <v>46192</v>
          </cell>
          <cell r="D787" t="str">
            <v>EFG 7</v>
          </cell>
          <cell r="E787">
            <v>1</v>
          </cell>
          <cell r="H787" t="str">
            <v>SAFISCOR</v>
          </cell>
          <cell r="N787">
            <v>1000</v>
          </cell>
          <cell r="Y787">
            <v>46192</v>
          </cell>
          <cell r="Z787">
            <v>2</v>
          </cell>
          <cell r="AA787">
            <v>1000</v>
          </cell>
        </row>
        <row r="788">
          <cell r="A788">
            <v>46192</v>
          </cell>
          <cell r="D788" t="str">
            <v>LADY OF COURAGE</v>
          </cell>
          <cell r="E788">
            <v>2</v>
          </cell>
          <cell r="H788" t="str">
            <v>BADIE</v>
          </cell>
          <cell r="N788">
            <v>1000</v>
          </cell>
          <cell r="Y788">
            <v>46192</v>
          </cell>
          <cell r="Z788">
            <v>2</v>
          </cell>
          <cell r="AA788">
            <v>1000</v>
          </cell>
        </row>
        <row r="789">
          <cell r="A789">
            <v>46192</v>
          </cell>
          <cell r="D789" t="str">
            <v>LADY OF COURAGE</v>
          </cell>
          <cell r="E789">
            <v>2</v>
          </cell>
          <cell r="H789" t="str">
            <v>SAFISCOR</v>
          </cell>
          <cell r="N789">
            <v>1000</v>
          </cell>
          <cell r="Y789">
            <v>46192</v>
          </cell>
          <cell r="Z789">
            <v>2</v>
          </cell>
          <cell r="AA789">
            <v>1000</v>
          </cell>
        </row>
        <row r="790">
          <cell r="A790">
            <v>46192</v>
          </cell>
          <cell r="D790" t="str">
            <v>NAPOLI</v>
          </cell>
          <cell r="E790">
            <v>1</v>
          </cell>
          <cell r="H790" t="str">
            <v>SAFISCOR</v>
          </cell>
          <cell r="N790">
            <v>1000</v>
          </cell>
          <cell r="Y790">
            <v>46192</v>
          </cell>
          <cell r="Z790">
            <v>2</v>
          </cell>
          <cell r="AA790">
            <v>1000</v>
          </cell>
        </row>
        <row r="791">
          <cell r="A791">
            <v>46192</v>
          </cell>
          <cell r="D791" t="str">
            <v>EFG 7</v>
          </cell>
          <cell r="E791">
            <v>1</v>
          </cell>
          <cell r="H791" t="str">
            <v>SAFISCOR</v>
          </cell>
          <cell r="N791">
            <v>1000</v>
          </cell>
          <cell r="Y791">
            <v>46192</v>
          </cell>
          <cell r="Z791">
            <v>2</v>
          </cell>
          <cell r="AA791">
            <v>1000</v>
          </cell>
        </row>
        <row r="792">
          <cell r="A792">
            <v>46192</v>
          </cell>
          <cell r="D792" t="str">
            <v>EFG 7</v>
          </cell>
          <cell r="E792">
            <v>1</v>
          </cell>
          <cell r="H792" t="str">
            <v>SAFISCOR</v>
          </cell>
          <cell r="N792">
            <v>1000</v>
          </cell>
          <cell r="Y792">
            <v>46192</v>
          </cell>
          <cell r="Z792">
            <v>2</v>
          </cell>
          <cell r="AA792">
            <v>1000</v>
          </cell>
        </row>
        <row r="793">
          <cell r="A793">
            <v>46192</v>
          </cell>
          <cell r="D793" t="str">
            <v>EFG 7</v>
          </cell>
          <cell r="E793">
            <v>1</v>
          </cell>
          <cell r="H793" t="str">
            <v>GEO</v>
          </cell>
          <cell r="N793">
            <v>1000</v>
          </cell>
          <cell r="Y793">
            <v>46192</v>
          </cell>
          <cell r="Z793">
            <v>2</v>
          </cell>
          <cell r="AA793">
            <v>1000</v>
          </cell>
        </row>
        <row r="794">
          <cell r="A794">
            <v>46192</v>
          </cell>
          <cell r="D794" t="str">
            <v>STAR FREEDOM</v>
          </cell>
          <cell r="E794">
            <v>1</v>
          </cell>
          <cell r="H794" t="str">
            <v>LAPU-LAPU</v>
          </cell>
          <cell r="N794">
            <v>1000</v>
          </cell>
          <cell r="Y794">
            <v>46192</v>
          </cell>
          <cell r="Z794">
            <v>2</v>
          </cell>
          <cell r="AA794">
            <v>1000</v>
          </cell>
        </row>
        <row r="795">
          <cell r="A795">
            <v>46192</v>
          </cell>
          <cell r="D795" t="str">
            <v xml:space="preserve">STAR SOGOD </v>
          </cell>
          <cell r="E795">
            <v>2</v>
          </cell>
          <cell r="H795" t="str">
            <v>SAFISCOR</v>
          </cell>
          <cell r="N795">
            <v>1000</v>
          </cell>
          <cell r="Y795">
            <v>46192</v>
          </cell>
          <cell r="Z795">
            <v>2</v>
          </cell>
          <cell r="AA795">
            <v>1000</v>
          </cell>
        </row>
        <row r="796">
          <cell r="A796">
            <v>46192</v>
          </cell>
          <cell r="D796" t="str">
            <v>EFG 7</v>
          </cell>
          <cell r="E796">
            <v>1</v>
          </cell>
          <cell r="H796" t="str">
            <v>SAFISCOR</v>
          </cell>
          <cell r="N796">
            <v>1000</v>
          </cell>
          <cell r="Y796">
            <v>46192</v>
          </cell>
          <cell r="Z796">
            <v>2</v>
          </cell>
          <cell r="AA796">
            <v>1000</v>
          </cell>
        </row>
        <row r="797">
          <cell r="A797">
            <v>46192</v>
          </cell>
          <cell r="D797" t="str">
            <v>NAPOLI</v>
          </cell>
          <cell r="E797">
            <v>1</v>
          </cell>
          <cell r="H797" t="str">
            <v>LAPU-LAPU</v>
          </cell>
          <cell r="N797">
            <v>1000</v>
          </cell>
          <cell r="Y797">
            <v>46192</v>
          </cell>
          <cell r="Z797">
            <v>2</v>
          </cell>
          <cell r="AA797">
            <v>1000</v>
          </cell>
        </row>
        <row r="798">
          <cell r="A798">
            <v>46192</v>
          </cell>
          <cell r="D798" t="str">
            <v>LADY OF COURAGE</v>
          </cell>
          <cell r="E798">
            <v>2</v>
          </cell>
          <cell r="H798" t="str">
            <v>SAFISCOR</v>
          </cell>
          <cell r="N798">
            <v>1000</v>
          </cell>
          <cell r="Y798">
            <v>46192</v>
          </cell>
          <cell r="Z798">
            <v>2</v>
          </cell>
          <cell r="AA798">
            <v>1000</v>
          </cell>
        </row>
        <row r="799">
          <cell r="A799">
            <v>46192</v>
          </cell>
          <cell r="D799" t="str">
            <v>EFG 7</v>
          </cell>
          <cell r="E799">
            <v>1</v>
          </cell>
          <cell r="H799" t="str">
            <v>SAFISCOR</v>
          </cell>
          <cell r="N799">
            <v>1000</v>
          </cell>
          <cell r="Y799">
            <v>46193</v>
          </cell>
          <cell r="Z799">
            <v>1</v>
          </cell>
          <cell r="AA799">
            <v>1000</v>
          </cell>
        </row>
        <row r="800">
          <cell r="A800">
            <v>46192</v>
          </cell>
          <cell r="D800" t="str">
            <v xml:space="preserve">STAR SOGOD </v>
          </cell>
          <cell r="E800">
            <v>2</v>
          </cell>
          <cell r="H800" t="str">
            <v>SAFISCOR</v>
          </cell>
          <cell r="N800">
            <v>1000</v>
          </cell>
          <cell r="Y800">
            <v>46193</v>
          </cell>
          <cell r="Z800">
            <v>1</v>
          </cell>
          <cell r="AA800">
            <v>1000</v>
          </cell>
        </row>
        <row r="801">
          <cell r="A801">
            <v>46192</v>
          </cell>
          <cell r="D801" t="str">
            <v xml:space="preserve">STAR SOGOD </v>
          </cell>
          <cell r="E801">
            <v>2</v>
          </cell>
          <cell r="H801" t="str">
            <v>SAFISCOR</v>
          </cell>
          <cell r="N801">
            <v>1000</v>
          </cell>
          <cell r="Y801">
            <v>46192</v>
          </cell>
          <cell r="Z801">
            <v>2</v>
          </cell>
          <cell r="AA801">
            <v>1000</v>
          </cell>
        </row>
        <row r="802">
          <cell r="A802">
            <v>46192</v>
          </cell>
          <cell r="D802" t="str">
            <v>STAR FREEDOM</v>
          </cell>
          <cell r="E802">
            <v>2</v>
          </cell>
          <cell r="H802" t="str">
            <v>GEO</v>
          </cell>
          <cell r="N802">
            <v>1000</v>
          </cell>
          <cell r="Y802">
            <v>46192</v>
          </cell>
          <cell r="Z802">
            <v>2</v>
          </cell>
          <cell r="AA802">
            <v>1000</v>
          </cell>
        </row>
        <row r="803">
          <cell r="A803">
            <v>46192</v>
          </cell>
          <cell r="D803" t="str">
            <v>EFG 7</v>
          </cell>
          <cell r="E803">
            <v>1</v>
          </cell>
          <cell r="H803" t="str">
            <v>SAFISCOR</v>
          </cell>
          <cell r="N803">
            <v>1000</v>
          </cell>
          <cell r="Y803">
            <v>46193</v>
          </cell>
          <cell r="Z803">
            <v>1</v>
          </cell>
          <cell r="AA803">
            <v>1000</v>
          </cell>
        </row>
        <row r="804">
          <cell r="A804">
            <v>46192</v>
          </cell>
          <cell r="D804" t="str">
            <v>STAR FREEDOM</v>
          </cell>
          <cell r="E804">
            <v>2</v>
          </cell>
          <cell r="H804" t="str">
            <v>LAPU-LAPU</v>
          </cell>
          <cell r="N804">
            <v>1000</v>
          </cell>
          <cell r="Y804">
            <v>46192</v>
          </cell>
          <cell r="Z804">
            <v>2</v>
          </cell>
          <cell r="AA804">
            <v>1000</v>
          </cell>
        </row>
        <row r="805">
          <cell r="A805">
            <v>46192</v>
          </cell>
          <cell r="D805" t="str">
            <v>STAR FREEDOM</v>
          </cell>
          <cell r="E805">
            <v>2</v>
          </cell>
          <cell r="H805" t="str">
            <v>SAFISCOR</v>
          </cell>
          <cell r="N805">
            <v>1000</v>
          </cell>
          <cell r="Y805">
            <v>46193</v>
          </cell>
          <cell r="Z805">
            <v>1</v>
          </cell>
          <cell r="AA805">
            <v>1000</v>
          </cell>
        </row>
        <row r="806">
          <cell r="A806">
            <v>46192</v>
          </cell>
          <cell r="D806" t="str">
            <v>LADY OF COURAGE</v>
          </cell>
          <cell r="E806">
            <v>2</v>
          </cell>
          <cell r="H806" t="str">
            <v>BADIE</v>
          </cell>
          <cell r="N806">
            <v>1000</v>
          </cell>
          <cell r="Y806">
            <v>46192</v>
          </cell>
          <cell r="Z806">
            <v>2</v>
          </cell>
          <cell r="AA806">
            <v>1000</v>
          </cell>
        </row>
        <row r="807">
          <cell r="A807">
            <v>46192</v>
          </cell>
          <cell r="D807" t="str">
            <v>LADY OF COURAGE</v>
          </cell>
          <cell r="E807">
            <v>2</v>
          </cell>
          <cell r="H807" t="str">
            <v>SAFISCOR</v>
          </cell>
          <cell r="N807">
            <v>1000</v>
          </cell>
          <cell r="Y807">
            <v>46192</v>
          </cell>
          <cell r="Z807">
            <v>2</v>
          </cell>
          <cell r="AA807">
            <v>1000</v>
          </cell>
        </row>
        <row r="808">
          <cell r="A808">
            <v>46192</v>
          </cell>
          <cell r="D808" t="str">
            <v xml:space="preserve">STAR SOGOD </v>
          </cell>
          <cell r="E808">
            <v>2</v>
          </cell>
          <cell r="H808" t="str">
            <v>SAFISCOR</v>
          </cell>
          <cell r="N808">
            <v>1000</v>
          </cell>
          <cell r="Y808">
            <v>46193</v>
          </cell>
          <cell r="Z808">
            <v>1</v>
          </cell>
          <cell r="AA808">
            <v>1000</v>
          </cell>
        </row>
        <row r="809">
          <cell r="A809">
            <v>46192</v>
          </cell>
          <cell r="D809" t="str">
            <v xml:space="preserve">STAR SOGOD </v>
          </cell>
          <cell r="E809">
            <v>2</v>
          </cell>
          <cell r="H809" t="str">
            <v>LAPU-LAPU</v>
          </cell>
          <cell r="N809">
            <v>1000</v>
          </cell>
          <cell r="Y809">
            <v>46192</v>
          </cell>
          <cell r="Z809">
            <v>2</v>
          </cell>
          <cell r="AA809">
            <v>1000</v>
          </cell>
        </row>
        <row r="810">
          <cell r="A810">
            <v>46193</v>
          </cell>
          <cell r="D810" t="str">
            <v>EFG 7</v>
          </cell>
          <cell r="E810">
            <v>1</v>
          </cell>
          <cell r="H810" t="str">
            <v>SAFISCOR</v>
          </cell>
          <cell r="N810">
            <v>1000</v>
          </cell>
          <cell r="Y810">
            <v>46193</v>
          </cell>
          <cell r="Z810">
            <v>1</v>
          </cell>
          <cell r="AA810">
            <v>1000</v>
          </cell>
        </row>
        <row r="811">
          <cell r="A811">
            <v>46193</v>
          </cell>
          <cell r="D811" t="str">
            <v>NAPOLI</v>
          </cell>
          <cell r="E811">
            <v>1</v>
          </cell>
          <cell r="H811" t="str">
            <v>SAFISCOR</v>
          </cell>
          <cell r="N811">
            <v>1000</v>
          </cell>
          <cell r="Y811">
            <v>46193</v>
          </cell>
          <cell r="Z811">
            <v>2</v>
          </cell>
          <cell r="AA811">
            <v>1000</v>
          </cell>
        </row>
        <row r="812">
          <cell r="A812">
            <v>46193</v>
          </cell>
          <cell r="D812" t="str">
            <v>NAPOLI</v>
          </cell>
          <cell r="E812">
            <v>1</v>
          </cell>
          <cell r="H812" t="str">
            <v>SAFISCOR</v>
          </cell>
          <cell r="N812">
            <v>1000</v>
          </cell>
          <cell r="Y812">
            <v>46193</v>
          </cell>
          <cell r="Z812">
            <v>2</v>
          </cell>
          <cell r="AA812">
            <v>1000</v>
          </cell>
        </row>
        <row r="813">
          <cell r="A813">
            <v>46193</v>
          </cell>
          <cell r="D813" t="str">
            <v>NAPOLI</v>
          </cell>
          <cell r="E813">
            <v>1</v>
          </cell>
          <cell r="H813" t="str">
            <v>SAFISCOR</v>
          </cell>
          <cell r="N813">
            <v>1000</v>
          </cell>
          <cell r="Y813">
            <v>46193</v>
          </cell>
          <cell r="Z813">
            <v>1</v>
          </cell>
          <cell r="AA813">
            <v>1000</v>
          </cell>
        </row>
        <row r="814">
          <cell r="A814">
            <v>46193</v>
          </cell>
          <cell r="D814" t="str">
            <v>NAPOLI</v>
          </cell>
          <cell r="E814">
            <v>1</v>
          </cell>
          <cell r="H814" t="str">
            <v>SAFISCOR</v>
          </cell>
          <cell r="N814">
            <v>1000</v>
          </cell>
          <cell r="Y814">
            <v>46193</v>
          </cell>
          <cell r="Z814">
            <v>2</v>
          </cell>
          <cell r="AA814">
            <v>1000</v>
          </cell>
        </row>
        <row r="815">
          <cell r="A815">
            <v>46193</v>
          </cell>
          <cell r="D815" t="str">
            <v>STAR FREEDOM</v>
          </cell>
          <cell r="E815">
            <v>2</v>
          </cell>
          <cell r="H815" t="str">
            <v>SAFISCOR</v>
          </cell>
          <cell r="N815">
            <v>650</v>
          </cell>
          <cell r="Y815">
            <v>46193</v>
          </cell>
          <cell r="Z815">
            <v>1</v>
          </cell>
          <cell r="AA815">
            <v>250</v>
          </cell>
        </row>
        <row r="816">
          <cell r="A816">
            <v>46193</v>
          </cell>
          <cell r="D816" t="str">
            <v>EFG 7</v>
          </cell>
          <cell r="E816">
            <v>1</v>
          </cell>
          <cell r="H816" t="str">
            <v>SAFISCOR</v>
          </cell>
          <cell r="N816">
            <v>1000</v>
          </cell>
          <cell r="Y816">
            <v>46193</v>
          </cell>
          <cell r="Z816">
            <v>1</v>
          </cell>
          <cell r="AA816">
            <v>650</v>
          </cell>
        </row>
        <row r="817">
          <cell r="A817">
            <v>46193</v>
          </cell>
          <cell r="D817" t="str">
            <v>NAPOLI</v>
          </cell>
          <cell r="E817">
            <v>1</v>
          </cell>
          <cell r="H817" t="str">
            <v>LAPU-LAPU</v>
          </cell>
          <cell r="N817">
            <v>1000</v>
          </cell>
          <cell r="Y817">
            <v>46193</v>
          </cell>
          <cell r="Z817">
            <v>1</v>
          </cell>
          <cell r="AA817">
            <v>1000</v>
          </cell>
        </row>
        <row r="818">
          <cell r="A818">
            <v>46193</v>
          </cell>
          <cell r="D818" t="str">
            <v>NAPOLI</v>
          </cell>
          <cell r="E818">
            <v>1</v>
          </cell>
          <cell r="H818" t="str">
            <v>SAFISCOR</v>
          </cell>
          <cell r="N818">
            <v>1000</v>
          </cell>
          <cell r="Y818">
            <v>46193</v>
          </cell>
          <cell r="Z818">
            <v>2</v>
          </cell>
          <cell r="AA818">
            <v>1000</v>
          </cell>
        </row>
        <row r="819">
          <cell r="A819">
            <v>46193</v>
          </cell>
          <cell r="D819" t="str">
            <v>STAR FREEDOM</v>
          </cell>
          <cell r="E819">
            <v>2</v>
          </cell>
          <cell r="H819" t="str">
            <v>APLUS</v>
          </cell>
          <cell r="N819">
            <v>1000</v>
          </cell>
          <cell r="Y819">
            <v>46193</v>
          </cell>
          <cell r="Z819">
            <v>1</v>
          </cell>
          <cell r="AA819">
            <v>1000</v>
          </cell>
        </row>
        <row r="820">
          <cell r="A820">
            <v>46193</v>
          </cell>
          <cell r="D820" t="str">
            <v>NAPOLI</v>
          </cell>
          <cell r="E820">
            <v>1</v>
          </cell>
          <cell r="H820" t="str">
            <v>SAFISCOR</v>
          </cell>
          <cell r="N820">
            <v>1000</v>
          </cell>
          <cell r="Y820">
            <v>46193</v>
          </cell>
          <cell r="Z820">
            <v>1</v>
          </cell>
          <cell r="AA820">
            <v>1000</v>
          </cell>
        </row>
        <row r="821">
          <cell r="A821">
            <v>46193</v>
          </cell>
          <cell r="D821" t="str">
            <v>NAPOLI</v>
          </cell>
          <cell r="E821">
            <v>1</v>
          </cell>
          <cell r="H821" t="str">
            <v>SAFISCOR</v>
          </cell>
          <cell r="N821">
            <v>1000</v>
          </cell>
          <cell r="Y821">
            <v>46193</v>
          </cell>
          <cell r="Z821">
            <v>2</v>
          </cell>
          <cell r="AA821">
            <v>1000</v>
          </cell>
        </row>
        <row r="822">
          <cell r="A822">
            <v>46193</v>
          </cell>
          <cell r="D822" t="str">
            <v>STAR FREEDOM</v>
          </cell>
          <cell r="E822">
            <v>2</v>
          </cell>
          <cell r="H822" t="str">
            <v>LAPU-LAPU</v>
          </cell>
          <cell r="N822">
            <v>1000</v>
          </cell>
        </row>
        <row r="823">
          <cell r="A823">
            <v>46193</v>
          </cell>
          <cell r="D823" t="str">
            <v>STAR FREEDOM</v>
          </cell>
          <cell r="E823">
            <v>2</v>
          </cell>
          <cell r="H823" t="str">
            <v>GEO</v>
          </cell>
          <cell r="N823">
            <v>1080</v>
          </cell>
        </row>
        <row r="824">
          <cell r="A824">
            <v>46193</v>
          </cell>
          <cell r="D824" t="str">
            <v xml:space="preserve">STAR SOGOD </v>
          </cell>
          <cell r="E824">
            <v>2</v>
          </cell>
          <cell r="H824" t="str">
            <v>SAFISCOR</v>
          </cell>
          <cell r="N824">
            <v>1000</v>
          </cell>
          <cell r="Y824">
            <v>46193</v>
          </cell>
          <cell r="Z824">
            <v>1</v>
          </cell>
          <cell r="AA824">
            <v>1080</v>
          </cell>
        </row>
        <row r="825">
          <cell r="A825">
            <v>46193</v>
          </cell>
          <cell r="D825" t="str">
            <v>NAPOLI</v>
          </cell>
          <cell r="E825">
            <v>1</v>
          </cell>
          <cell r="H825" t="str">
            <v>SAFISCOR</v>
          </cell>
          <cell r="N825">
            <v>1000</v>
          </cell>
          <cell r="Y825">
            <v>46193</v>
          </cell>
          <cell r="Z825">
            <v>2</v>
          </cell>
          <cell r="AA825">
            <v>1000</v>
          </cell>
        </row>
        <row r="826">
          <cell r="A826">
            <v>46193</v>
          </cell>
          <cell r="D826" t="str">
            <v>STAR FREEDOM</v>
          </cell>
          <cell r="E826">
            <v>2</v>
          </cell>
          <cell r="H826" t="str">
            <v>SAFISCOR</v>
          </cell>
          <cell r="N826">
            <v>1080</v>
          </cell>
        </row>
        <row r="827">
          <cell r="A827">
            <v>46193</v>
          </cell>
          <cell r="D827" t="str">
            <v xml:space="preserve">STAR SOGOD </v>
          </cell>
          <cell r="E827">
            <v>2</v>
          </cell>
          <cell r="H827" t="str">
            <v>GEO</v>
          </cell>
          <cell r="N827">
            <v>1080</v>
          </cell>
          <cell r="Y827">
            <v>46193</v>
          </cell>
          <cell r="Z827">
            <v>1</v>
          </cell>
          <cell r="AA827">
            <v>1080</v>
          </cell>
        </row>
        <row r="828">
          <cell r="A828">
            <v>46193</v>
          </cell>
          <cell r="D828" t="str">
            <v xml:space="preserve">STAR SOGOD </v>
          </cell>
          <cell r="E828">
            <v>2</v>
          </cell>
          <cell r="H828" t="str">
            <v>SAFISCOR</v>
          </cell>
          <cell r="N828">
            <v>1000</v>
          </cell>
        </row>
        <row r="829">
          <cell r="A829">
            <v>46193</v>
          </cell>
          <cell r="D829" t="str">
            <v>STAR ILIGAN</v>
          </cell>
          <cell r="E829">
            <v>2</v>
          </cell>
          <cell r="H829" t="str">
            <v>BADIE</v>
          </cell>
          <cell r="N829">
            <v>1080</v>
          </cell>
          <cell r="Y829">
            <v>46193</v>
          </cell>
          <cell r="Z829">
            <v>1</v>
          </cell>
          <cell r="AA829">
            <v>1000</v>
          </cell>
        </row>
        <row r="830">
          <cell r="A830">
            <v>46195</v>
          </cell>
          <cell r="D830" t="str">
            <v xml:space="preserve">STAR SOGOD </v>
          </cell>
          <cell r="E830">
            <v>2</v>
          </cell>
          <cell r="H830" t="str">
            <v>SAFISCOR</v>
          </cell>
          <cell r="N830">
            <v>1000</v>
          </cell>
          <cell r="Y830">
            <v>46193</v>
          </cell>
          <cell r="Z830">
            <v>1</v>
          </cell>
          <cell r="AA830">
            <v>1080</v>
          </cell>
        </row>
        <row r="831">
          <cell r="A831">
            <v>46193</v>
          </cell>
          <cell r="D831" t="str">
            <v>LADY OF COURAGE</v>
          </cell>
          <cell r="E831">
            <v>2</v>
          </cell>
          <cell r="H831" t="str">
            <v>APLUS</v>
          </cell>
          <cell r="N831">
            <v>1000</v>
          </cell>
          <cell r="Y831">
            <v>46195</v>
          </cell>
          <cell r="Z831">
            <v>1</v>
          </cell>
          <cell r="AA831">
            <v>1000</v>
          </cell>
        </row>
        <row r="832">
          <cell r="A832">
            <v>46193</v>
          </cell>
          <cell r="D832" t="str">
            <v>STAR ILIGAN</v>
          </cell>
          <cell r="E832">
            <v>2</v>
          </cell>
          <cell r="H832" t="str">
            <v>SAFISCOR</v>
          </cell>
          <cell r="N832">
            <v>1000</v>
          </cell>
          <cell r="Y832">
            <v>46195</v>
          </cell>
          <cell r="Z832">
            <v>1</v>
          </cell>
          <cell r="AA832">
            <v>1000</v>
          </cell>
        </row>
        <row r="833">
          <cell r="A833">
            <v>46193</v>
          </cell>
          <cell r="D833" t="str">
            <v>STAR ILIGAN</v>
          </cell>
          <cell r="E833">
            <v>2</v>
          </cell>
          <cell r="H833" t="str">
            <v>SAFISCOR</v>
          </cell>
          <cell r="N833">
            <v>1000</v>
          </cell>
          <cell r="Y833">
            <v>46195</v>
          </cell>
          <cell r="Z833">
            <v>1</v>
          </cell>
          <cell r="AA833">
            <v>1000</v>
          </cell>
        </row>
        <row r="834">
          <cell r="A834">
            <v>46193</v>
          </cell>
          <cell r="D834" t="str">
            <v>STAR ILIGAN</v>
          </cell>
          <cell r="E834">
            <v>2</v>
          </cell>
          <cell r="H834" t="str">
            <v>SAFISCOR</v>
          </cell>
          <cell r="N834">
            <v>450</v>
          </cell>
          <cell r="Y834">
            <v>46195</v>
          </cell>
          <cell r="Z834">
            <v>1</v>
          </cell>
          <cell r="AA834">
            <v>1000</v>
          </cell>
        </row>
        <row r="835">
          <cell r="A835">
            <v>46195</v>
          </cell>
          <cell r="D835" t="str">
            <v>STAR ILIGAN</v>
          </cell>
          <cell r="E835">
            <v>2</v>
          </cell>
          <cell r="H835" t="str">
            <v>SAFISCOR</v>
          </cell>
          <cell r="N835">
            <v>1000</v>
          </cell>
          <cell r="Y835">
            <v>46195</v>
          </cell>
          <cell r="Z835">
            <v>1</v>
          </cell>
          <cell r="AA835">
            <v>450</v>
          </cell>
        </row>
        <row r="836">
          <cell r="A836">
            <v>46195</v>
          </cell>
          <cell r="D836" t="str">
            <v>SF JOURNEY</v>
          </cell>
          <cell r="E836">
            <v>1</v>
          </cell>
          <cell r="H836" t="str">
            <v>SAFISCOR</v>
          </cell>
          <cell r="N836">
            <v>1000</v>
          </cell>
          <cell r="Y836">
            <v>46195</v>
          </cell>
          <cell r="Z836">
            <v>1</v>
          </cell>
          <cell r="AA836">
            <v>1000</v>
          </cell>
        </row>
        <row r="837">
          <cell r="A837">
            <v>46195</v>
          </cell>
          <cell r="D837" t="str">
            <v>SF JOURNEY</v>
          </cell>
          <cell r="E837">
            <v>1</v>
          </cell>
          <cell r="H837" t="str">
            <v>SAFISCOR</v>
          </cell>
          <cell r="N837">
            <v>1000</v>
          </cell>
          <cell r="Y837">
            <v>46195</v>
          </cell>
          <cell r="Z837">
            <v>1</v>
          </cell>
          <cell r="AA837">
            <v>1000</v>
          </cell>
        </row>
        <row r="838">
          <cell r="A838">
            <v>46195</v>
          </cell>
          <cell r="D838" t="str">
            <v>STAR ILIGAN</v>
          </cell>
          <cell r="E838">
            <v>2</v>
          </cell>
          <cell r="H838" t="str">
            <v>SAFISCOR</v>
          </cell>
          <cell r="N838">
            <v>1000</v>
          </cell>
          <cell r="Y838">
            <v>46195</v>
          </cell>
          <cell r="Z838">
            <v>1</v>
          </cell>
          <cell r="AA838">
            <v>1000</v>
          </cell>
        </row>
        <row r="839">
          <cell r="A839">
            <v>46195</v>
          </cell>
          <cell r="D839" t="str">
            <v>LADY OF COURAGE</v>
          </cell>
          <cell r="E839">
            <v>2</v>
          </cell>
          <cell r="H839" t="str">
            <v>SAFISCOR</v>
          </cell>
          <cell r="N839">
            <v>1000</v>
          </cell>
          <cell r="Y839">
            <v>46195</v>
          </cell>
          <cell r="Z839">
            <v>2</v>
          </cell>
          <cell r="AA839">
            <v>1000</v>
          </cell>
        </row>
        <row r="840">
          <cell r="A840">
            <v>46195</v>
          </cell>
          <cell r="D840" t="str">
            <v>LADY OF ROSARY</v>
          </cell>
          <cell r="E840">
            <v>1</v>
          </cell>
          <cell r="H840" t="str">
            <v>SAFISCOR</v>
          </cell>
          <cell r="N840">
            <v>1000</v>
          </cell>
          <cell r="Y840">
            <v>46195</v>
          </cell>
          <cell r="Z840">
            <v>2</v>
          </cell>
          <cell r="AA840">
            <v>1000</v>
          </cell>
        </row>
        <row r="841">
          <cell r="A841">
            <v>46195</v>
          </cell>
          <cell r="D841" t="str">
            <v>LADY OF ROSARY</v>
          </cell>
          <cell r="E841">
            <v>1</v>
          </cell>
          <cell r="H841" t="str">
            <v>LAPU-LAPU</v>
          </cell>
          <cell r="N841">
            <v>1000</v>
          </cell>
          <cell r="Y841">
            <v>46195</v>
          </cell>
          <cell r="Z841">
            <v>2</v>
          </cell>
          <cell r="AA841">
            <v>1000</v>
          </cell>
        </row>
        <row r="842">
          <cell r="A842">
            <v>46195</v>
          </cell>
          <cell r="D842" t="str">
            <v>LADY OF DIVINE GRACE</v>
          </cell>
          <cell r="E842">
            <v>2</v>
          </cell>
          <cell r="H842" t="str">
            <v>GEO</v>
          </cell>
          <cell r="N842">
            <v>1000</v>
          </cell>
          <cell r="Y842">
            <v>46195</v>
          </cell>
          <cell r="Z842">
            <v>2</v>
          </cell>
          <cell r="AA842">
            <v>1000</v>
          </cell>
        </row>
        <row r="843">
          <cell r="A843">
            <v>46195</v>
          </cell>
          <cell r="D843" t="str">
            <v>SF JOURNEY</v>
          </cell>
          <cell r="E843">
            <v>1</v>
          </cell>
          <cell r="H843" t="str">
            <v>BADIE</v>
          </cell>
          <cell r="N843">
            <v>1000</v>
          </cell>
          <cell r="Y843">
            <v>46195</v>
          </cell>
          <cell r="Z843">
            <v>1</v>
          </cell>
          <cell r="AA843">
            <v>1000</v>
          </cell>
        </row>
        <row r="844">
          <cell r="A844">
            <v>46193</v>
          </cell>
          <cell r="D844" t="str">
            <v>STAR ILIGAN</v>
          </cell>
          <cell r="E844">
            <v>2</v>
          </cell>
          <cell r="H844" t="str">
            <v>LAPU-LAPU</v>
          </cell>
          <cell r="N844">
            <v>1000</v>
          </cell>
          <cell r="Y844">
            <v>46195</v>
          </cell>
          <cell r="Z844">
            <v>1</v>
          </cell>
          <cell r="AA844">
            <v>1000</v>
          </cell>
        </row>
        <row r="845">
          <cell r="A845">
            <v>46193</v>
          </cell>
          <cell r="D845" t="str">
            <v>STAR ILIGAN</v>
          </cell>
          <cell r="E845">
            <v>2</v>
          </cell>
          <cell r="H845" t="str">
            <v>SAFISCOR</v>
          </cell>
          <cell r="N845">
            <v>600</v>
          </cell>
          <cell r="Y845">
            <v>46193</v>
          </cell>
          <cell r="Z845">
            <v>2</v>
          </cell>
          <cell r="AA845">
            <v>1000</v>
          </cell>
        </row>
        <row r="846">
          <cell r="A846">
            <v>46193</v>
          </cell>
          <cell r="D846" t="str">
            <v xml:space="preserve">STAR SOGOD </v>
          </cell>
          <cell r="E846">
            <v>1</v>
          </cell>
          <cell r="H846" t="str">
            <v>SAFISCOR</v>
          </cell>
          <cell r="N846">
            <v>600</v>
          </cell>
          <cell r="Y846">
            <v>46193</v>
          </cell>
          <cell r="Z846">
            <v>2</v>
          </cell>
          <cell r="AA846">
            <v>600</v>
          </cell>
        </row>
        <row r="847">
          <cell r="A847">
            <v>46193</v>
          </cell>
          <cell r="D847" t="str">
            <v>STAR ILIGAN</v>
          </cell>
          <cell r="E847">
            <v>2</v>
          </cell>
          <cell r="H847" t="str">
            <v>SAFISCOR</v>
          </cell>
          <cell r="N847">
            <v>1000</v>
          </cell>
          <cell r="Y847">
            <v>46193</v>
          </cell>
          <cell r="Z847">
            <v>2</v>
          </cell>
          <cell r="AA847">
            <v>1000</v>
          </cell>
        </row>
        <row r="848">
          <cell r="A848">
            <v>46193</v>
          </cell>
          <cell r="D848" t="str">
            <v>STAR ILIGAN</v>
          </cell>
          <cell r="E848">
            <v>2</v>
          </cell>
          <cell r="H848" t="str">
            <v>SAFISCOR</v>
          </cell>
          <cell r="N848">
            <v>1000</v>
          </cell>
          <cell r="Y848">
            <v>46193</v>
          </cell>
          <cell r="Z848">
            <v>2</v>
          </cell>
          <cell r="AA848">
            <v>1000</v>
          </cell>
        </row>
        <row r="849">
          <cell r="A849">
            <v>46193</v>
          </cell>
          <cell r="D849" t="str">
            <v>STAR ILIGAN</v>
          </cell>
          <cell r="E849">
            <v>2</v>
          </cell>
          <cell r="H849" t="str">
            <v>SAFISCOR</v>
          </cell>
          <cell r="N849">
            <v>450</v>
          </cell>
          <cell r="Y849">
            <v>46193</v>
          </cell>
          <cell r="Z849">
            <v>2</v>
          </cell>
          <cell r="AA849">
            <v>1000</v>
          </cell>
        </row>
        <row r="850">
          <cell r="A850">
            <v>46195</v>
          </cell>
          <cell r="D850" t="str">
            <v>STAR ILIGAN</v>
          </cell>
          <cell r="E850">
            <v>2</v>
          </cell>
          <cell r="H850" t="str">
            <v>SAFISCOR</v>
          </cell>
          <cell r="N850">
            <v>5850</v>
          </cell>
          <cell r="Y850">
            <v>46193</v>
          </cell>
          <cell r="Z850">
            <v>2</v>
          </cell>
          <cell r="AA850">
            <v>450</v>
          </cell>
        </row>
        <row r="851">
          <cell r="A851">
            <v>46195</v>
          </cell>
          <cell r="D851" t="str">
            <v>STAR ILIGAN</v>
          </cell>
          <cell r="E851">
            <v>2</v>
          </cell>
          <cell r="N851">
            <v>1000</v>
          </cell>
          <cell r="Y851">
            <v>46193</v>
          </cell>
          <cell r="Z851">
            <v>2</v>
          </cell>
          <cell r="AA851">
            <v>5850</v>
          </cell>
        </row>
        <row r="852">
          <cell r="A852">
            <v>46195</v>
          </cell>
          <cell r="D852" t="str">
            <v>SF JOURNEY</v>
          </cell>
          <cell r="E852">
            <v>1</v>
          </cell>
          <cell r="H852" t="str">
            <v>SAFISCOR</v>
          </cell>
          <cell r="N852">
            <v>1000</v>
          </cell>
          <cell r="Y852">
            <v>46195</v>
          </cell>
          <cell r="Z852">
            <v>2</v>
          </cell>
          <cell r="AA852">
            <v>1000</v>
          </cell>
        </row>
        <row r="853">
          <cell r="A853">
            <v>46195</v>
          </cell>
          <cell r="D853" t="str">
            <v>SF JOURNEY</v>
          </cell>
          <cell r="E853">
            <v>1</v>
          </cell>
          <cell r="H853" t="str">
            <v>SAFISCOR</v>
          </cell>
          <cell r="N853">
            <v>1000</v>
          </cell>
          <cell r="Y853">
            <v>46195</v>
          </cell>
          <cell r="Z853">
            <v>2</v>
          </cell>
          <cell r="AA853">
            <v>1000</v>
          </cell>
        </row>
        <row r="854">
          <cell r="A854">
            <v>46195</v>
          </cell>
          <cell r="D854" t="str">
            <v>SF JOURNEY</v>
          </cell>
          <cell r="E854">
            <v>1</v>
          </cell>
          <cell r="H854" t="str">
            <v>LAPU-LAPU</v>
          </cell>
          <cell r="N854">
            <v>1000</v>
          </cell>
          <cell r="Y854">
            <v>46195</v>
          </cell>
          <cell r="Z854">
            <v>1</v>
          </cell>
          <cell r="AA854">
            <v>1000</v>
          </cell>
        </row>
        <row r="855">
          <cell r="A855">
            <v>46195</v>
          </cell>
          <cell r="D855" t="str">
            <v>SF JOURNEY</v>
          </cell>
          <cell r="E855">
            <v>1</v>
          </cell>
          <cell r="H855" t="str">
            <v>SAFISCOR</v>
          </cell>
          <cell r="N855">
            <v>1000</v>
          </cell>
          <cell r="Y855">
            <v>46195</v>
          </cell>
          <cell r="Z855">
            <v>1</v>
          </cell>
          <cell r="AA855">
            <v>1000</v>
          </cell>
        </row>
        <row r="856">
          <cell r="A856">
            <v>46195</v>
          </cell>
          <cell r="D856" t="str">
            <v>LADY OF ROSARY</v>
          </cell>
          <cell r="E856">
            <v>1</v>
          </cell>
          <cell r="H856" t="str">
            <v>SAFISCOR</v>
          </cell>
          <cell r="N856">
            <v>1000</v>
          </cell>
          <cell r="Y856">
            <v>46195</v>
          </cell>
          <cell r="Z856">
            <v>2</v>
          </cell>
          <cell r="AA856">
            <v>1000</v>
          </cell>
        </row>
        <row r="857">
          <cell r="A857">
            <v>46195</v>
          </cell>
          <cell r="D857" t="str">
            <v>STAR ILIGAN</v>
          </cell>
          <cell r="E857">
            <v>2</v>
          </cell>
          <cell r="H857" t="str">
            <v>SAFISCOR</v>
          </cell>
          <cell r="N857">
            <v>1000</v>
          </cell>
          <cell r="Y857">
            <v>46195</v>
          </cell>
          <cell r="Z857">
            <v>1</v>
          </cell>
          <cell r="AA857">
            <v>1000</v>
          </cell>
        </row>
        <row r="858">
          <cell r="A858">
            <v>46195</v>
          </cell>
          <cell r="D858" t="str">
            <v>STAR ILIGAN</v>
          </cell>
          <cell r="E858">
            <v>2</v>
          </cell>
          <cell r="H858" t="str">
            <v>SAFISCOR</v>
          </cell>
          <cell r="N858">
            <v>1000</v>
          </cell>
          <cell r="Y858">
            <v>46195</v>
          </cell>
          <cell r="Z858">
            <v>2</v>
          </cell>
          <cell r="AA858">
            <v>1000</v>
          </cell>
        </row>
        <row r="859">
          <cell r="A859">
            <v>46195</v>
          </cell>
          <cell r="D859" t="str">
            <v>STAR ILIGAN</v>
          </cell>
          <cell r="E859">
            <v>2</v>
          </cell>
          <cell r="H859" t="str">
            <v>SAFISCOR</v>
          </cell>
          <cell r="N859">
            <v>1000</v>
          </cell>
          <cell r="Y859">
            <v>46195</v>
          </cell>
          <cell r="Z859">
            <v>2</v>
          </cell>
          <cell r="AA859">
            <v>1000</v>
          </cell>
        </row>
        <row r="860">
          <cell r="A860">
            <v>46195</v>
          </cell>
          <cell r="D860" t="str">
            <v>LADY OF COURAGE</v>
          </cell>
          <cell r="E860">
            <v>2</v>
          </cell>
          <cell r="H860" t="str">
            <v>SAFISCOR</v>
          </cell>
          <cell r="N860">
            <v>1000</v>
          </cell>
          <cell r="Y860">
            <v>46195</v>
          </cell>
          <cell r="Z860">
            <v>2</v>
          </cell>
          <cell r="AA860">
            <v>1000</v>
          </cell>
        </row>
        <row r="861">
          <cell r="A861">
            <v>46195</v>
          </cell>
          <cell r="D861" t="str">
            <v>LADY OF ROSARY</v>
          </cell>
          <cell r="E861">
            <v>1</v>
          </cell>
          <cell r="H861" t="str">
            <v>SAFISCOR</v>
          </cell>
          <cell r="N861">
            <v>1000</v>
          </cell>
          <cell r="Y861">
            <v>46195</v>
          </cell>
          <cell r="Z861">
            <v>2</v>
          </cell>
          <cell r="AA861">
            <v>1000</v>
          </cell>
        </row>
        <row r="862">
          <cell r="A862">
            <v>46195</v>
          </cell>
          <cell r="D862" t="str">
            <v>LADY OF DIVINE GRACE</v>
          </cell>
          <cell r="E862">
            <v>2</v>
          </cell>
          <cell r="H862" t="str">
            <v>GEO</v>
          </cell>
          <cell r="N862">
            <v>1000</v>
          </cell>
          <cell r="Y862">
            <v>46195</v>
          </cell>
          <cell r="Z862">
            <v>2</v>
          </cell>
          <cell r="AA862">
            <v>1000</v>
          </cell>
        </row>
        <row r="863">
          <cell r="A863">
            <v>46195</v>
          </cell>
          <cell r="D863" t="str">
            <v>LADY OF DIVINE GRACE</v>
          </cell>
          <cell r="E863">
            <v>2</v>
          </cell>
          <cell r="H863" t="str">
            <v>LAPU-LAPU</v>
          </cell>
          <cell r="N863">
            <v>1000</v>
          </cell>
          <cell r="Y863">
            <v>46196</v>
          </cell>
          <cell r="Z863">
            <v>1</v>
          </cell>
          <cell r="AA863">
            <v>1000</v>
          </cell>
        </row>
        <row r="864">
          <cell r="A864">
            <v>46195</v>
          </cell>
          <cell r="D864" t="str">
            <v>EMERALD STAR</v>
          </cell>
          <cell r="E864">
            <v>2</v>
          </cell>
          <cell r="H864" t="str">
            <v>SAFISCOR</v>
          </cell>
          <cell r="N864">
            <v>1000</v>
          </cell>
          <cell r="Y864">
            <v>46196</v>
          </cell>
          <cell r="Z864">
            <v>1</v>
          </cell>
          <cell r="AA864">
            <v>1000</v>
          </cell>
        </row>
        <row r="865">
          <cell r="A865">
            <v>46195</v>
          </cell>
          <cell r="D865" t="str">
            <v>EMERALD STAR</v>
          </cell>
          <cell r="E865">
            <v>2</v>
          </cell>
          <cell r="H865" t="str">
            <v>SAFISCOR</v>
          </cell>
          <cell r="N865">
            <v>1000</v>
          </cell>
          <cell r="Y865">
            <v>46195</v>
          </cell>
          <cell r="Z865">
            <v>2</v>
          </cell>
          <cell r="AA865">
            <v>1000</v>
          </cell>
        </row>
        <row r="866">
          <cell r="A866">
            <v>46195</v>
          </cell>
          <cell r="D866" t="str">
            <v>EMERALD STAR</v>
          </cell>
          <cell r="E866">
            <v>2</v>
          </cell>
          <cell r="H866" t="str">
            <v>SAFISCOR</v>
          </cell>
          <cell r="N866">
            <v>1000</v>
          </cell>
          <cell r="Y866">
            <v>46196</v>
          </cell>
          <cell r="Z866">
            <v>1</v>
          </cell>
          <cell r="AA866">
            <v>1000</v>
          </cell>
        </row>
        <row r="867">
          <cell r="A867">
            <v>46195</v>
          </cell>
          <cell r="D867" t="str">
            <v>EMERALD STAR</v>
          </cell>
          <cell r="E867">
            <v>2</v>
          </cell>
          <cell r="H867" t="str">
            <v>APLUS</v>
          </cell>
          <cell r="N867">
            <v>1000</v>
          </cell>
          <cell r="Y867">
            <v>46195</v>
          </cell>
          <cell r="Z867">
            <v>2</v>
          </cell>
          <cell r="AA867">
            <v>1000</v>
          </cell>
        </row>
        <row r="868">
          <cell r="A868">
            <v>46195</v>
          </cell>
          <cell r="D868" t="str">
            <v>EMERALD STAR</v>
          </cell>
          <cell r="E868">
            <v>2</v>
          </cell>
          <cell r="H868" t="str">
            <v>LAPU-LAPU</v>
          </cell>
          <cell r="N868">
            <v>1000</v>
          </cell>
          <cell r="Y868">
            <v>46195</v>
          </cell>
          <cell r="Z868">
            <v>2</v>
          </cell>
          <cell r="AA868">
            <v>1000</v>
          </cell>
        </row>
        <row r="869">
          <cell r="A869">
            <v>46195</v>
          </cell>
          <cell r="D869" t="str">
            <v>EMERALD STAR</v>
          </cell>
          <cell r="E869">
            <v>2</v>
          </cell>
          <cell r="H869" t="str">
            <v>SAFISCOR</v>
          </cell>
          <cell r="N869">
            <v>1000</v>
          </cell>
          <cell r="Y869">
            <v>46195</v>
          </cell>
          <cell r="Z869">
            <v>2</v>
          </cell>
          <cell r="AA869">
            <v>1000</v>
          </cell>
        </row>
        <row r="870">
          <cell r="A870">
            <v>46195</v>
          </cell>
          <cell r="D870" t="str">
            <v>STAR ILIGAN</v>
          </cell>
          <cell r="E870">
            <v>2</v>
          </cell>
          <cell r="H870" t="str">
            <v>SAFISCOR</v>
          </cell>
          <cell r="N870">
            <v>1000</v>
          </cell>
          <cell r="Y870">
            <v>46195</v>
          </cell>
          <cell r="Z870">
            <v>2</v>
          </cell>
          <cell r="AA870">
            <v>1000</v>
          </cell>
        </row>
        <row r="871">
          <cell r="A871">
            <v>46195</v>
          </cell>
          <cell r="D871" t="str">
            <v>SF JOURNEY</v>
          </cell>
          <cell r="E871">
            <v>1</v>
          </cell>
          <cell r="H871" t="str">
            <v>GEO</v>
          </cell>
          <cell r="N871">
            <v>1000</v>
          </cell>
          <cell r="Y871">
            <v>46195</v>
          </cell>
          <cell r="Z871">
            <v>2</v>
          </cell>
          <cell r="AA871">
            <v>1000</v>
          </cell>
        </row>
        <row r="872">
          <cell r="A872">
            <v>46195</v>
          </cell>
          <cell r="D872" t="str">
            <v>LADY OF COURAGE</v>
          </cell>
          <cell r="E872">
            <v>2</v>
          </cell>
          <cell r="H872" t="str">
            <v>SAFISCOR</v>
          </cell>
          <cell r="N872">
            <v>1000</v>
          </cell>
          <cell r="Y872">
            <v>46195</v>
          </cell>
          <cell r="Z872">
            <v>2</v>
          </cell>
          <cell r="AA872">
            <v>1000</v>
          </cell>
        </row>
        <row r="873">
          <cell r="A873">
            <v>46195</v>
          </cell>
          <cell r="D873" t="str">
            <v>LADY OF COURAGE</v>
          </cell>
          <cell r="E873">
            <v>2</v>
          </cell>
          <cell r="H873" t="str">
            <v>LAPU-LAPU</v>
          </cell>
          <cell r="N873">
            <v>1000</v>
          </cell>
          <cell r="Y873">
            <v>46195</v>
          </cell>
          <cell r="Z873">
            <v>2</v>
          </cell>
          <cell r="AA873">
            <v>1000</v>
          </cell>
        </row>
        <row r="874">
          <cell r="A874">
            <v>46195</v>
          </cell>
          <cell r="D874" t="str">
            <v>EMERALD STAR</v>
          </cell>
          <cell r="E874">
            <v>2</v>
          </cell>
          <cell r="H874" t="str">
            <v>LAPU-LAPU</v>
          </cell>
          <cell r="Y874">
            <v>46195</v>
          </cell>
          <cell r="Z874">
            <v>2</v>
          </cell>
          <cell r="AA874">
            <v>1000</v>
          </cell>
        </row>
        <row r="875">
          <cell r="A875">
            <v>46195</v>
          </cell>
          <cell r="D875" t="str">
            <v xml:space="preserve"> </v>
          </cell>
          <cell r="E875" t="str">
            <v xml:space="preserve"> </v>
          </cell>
          <cell r="H875" t="str">
            <v>APLUS</v>
          </cell>
          <cell r="N875">
            <v>1000</v>
          </cell>
        </row>
        <row r="876">
          <cell r="A876">
            <v>46195</v>
          </cell>
          <cell r="D876" t="str">
            <v>EASTERN CEBU</v>
          </cell>
          <cell r="E876">
            <v>2</v>
          </cell>
          <cell r="H876" t="str">
            <v>SAFISCOR</v>
          </cell>
          <cell r="N876">
            <v>1000</v>
          </cell>
          <cell r="Y876">
            <v>46195</v>
          </cell>
          <cell r="Z876">
            <v>2</v>
          </cell>
          <cell r="AA876">
            <v>1000</v>
          </cell>
        </row>
        <row r="877">
          <cell r="A877">
            <v>46195</v>
          </cell>
          <cell r="D877" t="str">
            <v>EASTERN CEBU</v>
          </cell>
          <cell r="E877">
            <v>2</v>
          </cell>
          <cell r="H877" t="str">
            <v>BADIE</v>
          </cell>
          <cell r="N877">
            <v>1000</v>
          </cell>
          <cell r="Y877">
            <v>46195</v>
          </cell>
          <cell r="Z877">
            <v>2</v>
          </cell>
          <cell r="AA877">
            <v>1000</v>
          </cell>
        </row>
        <row r="878">
          <cell r="A878">
            <v>46195</v>
          </cell>
          <cell r="D878" t="str">
            <v>EASTERN CEBU</v>
          </cell>
          <cell r="E878">
            <v>2</v>
          </cell>
          <cell r="H878" t="str">
            <v>LAPU-LAPU</v>
          </cell>
          <cell r="N878">
            <v>1000</v>
          </cell>
          <cell r="Y878">
            <v>46195</v>
          </cell>
          <cell r="Z878">
            <v>2</v>
          </cell>
          <cell r="AA878">
            <v>1000</v>
          </cell>
        </row>
        <row r="879">
          <cell r="A879">
            <v>46195</v>
          </cell>
          <cell r="D879" t="str">
            <v>EASTERN CEBU</v>
          </cell>
          <cell r="E879">
            <v>2</v>
          </cell>
          <cell r="H879" t="str">
            <v>SAFISCOR</v>
          </cell>
          <cell r="N879">
            <v>1000</v>
          </cell>
          <cell r="Y879">
            <v>46195</v>
          </cell>
          <cell r="Z879">
            <v>2</v>
          </cell>
          <cell r="AA879">
            <v>1000</v>
          </cell>
        </row>
        <row r="880">
          <cell r="A880">
            <v>46195</v>
          </cell>
          <cell r="D880" t="str">
            <v>STAR ILIGAN</v>
          </cell>
          <cell r="E880">
            <v>2</v>
          </cell>
          <cell r="H880" t="str">
            <v>SAFISCOR</v>
          </cell>
          <cell r="N880">
            <v>1000</v>
          </cell>
          <cell r="Y880">
            <v>46195</v>
          </cell>
          <cell r="Z880">
            <v>2</v>
          </cell>
          <cell r="AA880">
            <v>1000</v>
          </cell>
        </row>
        <row r="881">
          <cell r="A881">
            <v>46195</v>
          </cell>
          <cell r="D881" t="str">
            <v>LADY OF DIVINE GRACE</v>
          </cell>
          <cell r="E881">
            <v>2</v>
          </cell>
          <cell r="H881" t="str">
            <v>SAFISCOR</v>
          </cell>
          <cell r="N881">
            <v>1000</v>
          </cell>
          <cell r="Y881">
            <v>46195</v>
          </cell>
          <cell r="Z881">
            <v>2</v>
          </cell>
          <cell r="AA881">
            <v>1000</v>
          </cell>
        </row>
        <row r="882">
          <cell r="A882">
            <v>46195</v>
          </cell>
          <cell r="D882" t="str">
            <v>SF JOURNEY</v>
          </cell>
          <cell r="E882">
            <v>1</v>
          </cell>
          <cell r="H882" t="str">
            <v>SAFISCOR</v>
          </cell>
          <cell r="N882">
            <v>1000</v>
          </cell>
          <cell r="Y882">
            <v>46195</v>
          </cell>
          <cell r="Z882">
            <v>2</v>
          </cell>
          <cell r="AA882">
            <v>1000</v>
          </cell>
        </row>
        <row r="883">
          <cell r="A883">
            <v>46195</v>
          </cell>
          <cell r="D883" t="str">
            <v>LADY OF ROSARY</v>
          </cell>
          <cell r="E883">
            <v>1</v>
          </cell>
          <cell r="H883" t="str">
            <v>SAFISCOR</v>
          </cell>
          <cell r="N883">
            <v>1000</v>
          </cell>
          <cell r="Y883">
            <v>46196</v>
          </cell>
          <cell r="Z883">
            <v>1</v>
          </cell>
          <cell r="AA883">
            <v>1000</v>
          </cell>
        </row>
        <row r="884">
          <cell r="A884">
            <v>46195</v>
          </cell>
          <cell r="D884" t="str">
            <v>LADY OF COURAGE</v>
          </cell>
          <cell r="E884">
            <v>2</v>
          </cell>
          <cell r="H884" t="str">
            <v>LAPU-LAPU</v>
          </cell>
          <cell r="N884">
            <v>1000</v>
          </cell>
          <cell r="Y884">
            <v>46195</v>
          </cell>
          <cell r="Z884">
            <v>2</v>
          </cell>
          <cell r="AA884">
            <v>1000</v>
          </cell>
        </row>
        <row r="885">
          <cell r="A885">
            <v>46195</v>
          </cell>
          <cell r="D885" t="str">
            <v>EASTERN CEBU</v>
          </cell>
          <cell r="E885">
            <v>2</v>
          </cell>
          <cell r="H885" t="str">
            <v>SAFISCOR</v>
          </cell>
          <cell r="N885">
            <v>1000</v>
          </cell>
          <cell r="Y885">
            <v>46195</v>
          </cell>
          <cell r="Z885">
            <v>2</v>
          </cell>
          <cell r="AA885">
            <v>1000</v>
          </cell>
        </row>
        <row r="886">
          <cell r="A886">
            <v>46195</v>
          </cell>
          <cell r="D886" t="str">
            <v>EASTERN CEBU</v>
          </cell>
          <cell r="E886">
            <v>2</v>
          </cell>
          <cell r="H886" t="str">
            <v>SAFISCOR</v>
          </cell>
          <cell r="N886">
            <v>1000</v>
          </cell>
          <cell r="Y886">
            <v>46195</v>
          </cell>
          <cell r="Z886">
            <v>2</v>
          </cell>
          <cell r="AA886">
            <v>1000</v>
          </cell>
        </row>
        <row r="887">
          <cell r="A887">
            <v>46195</v>
          </cell>
          <cell r="D887" t="str">
            <v>EASTERN CEBU</v>
          </cell>
          <cell r="E887">
            <v>2</v>
          </cell>
          <cell r="H887" t="str">
            <v>SAFISCOR</v>
          </cell>
          <cell r="N887">
            <v>1000</v>
          </cell>
          <cell r="Y887">
            <v>46195</v>
          </cell>
          <cell r="Z887">
            <v>2</v>
          </cell>
          <cell r="AA887">
            <v>1000</v>
          </cell>
        </row>
        <row r="888">
          <cell r="A888">
            <v>46195</v>
          </cell>
          <cell r="D888" t="str">
            <v>EMERALD STAR</v>
          </cell>
          <cell r="E888">
            <v>2</v>
          </cell>
          <cell r="H888" t="str">
            <v>SAFISCOR</v>
          </cell>
          <cell r="N888">
            <v>1000</v>
          </cell>
          <cell r="Y888">
            <v>46196</v>
          </cell>
          <cell r="Z888">
            <v>1</v>
          </cell>
          <cell r="AA888">
            <v>1000</v>
          </cell>
        </row>
        <row r="889">
          <cell r="A889">
            <v>46195</v>
          </cell>
          <cell r="D889" t="str">
            <v>LADY OF ROSARY</v>
          </cell>
          <cell r="E889">
            <v>1</v>
          </cell>
          <cell r="H889" t="str">
            <v>LAPU-LAPU</v>
          </cell>
          <cell r="N889">
            <v>1000</v>
          </cell>
          <cell r="Y889">
            <v>46195</v>
          </cell>
          <cell r="Z889">
            <v>2</v>
          </cell>
          <cell r="AA889">
            <v>1000</v>
          </cell>
        </row>
        <row r="890">
          <cell r="A890">
            <v>46195</v>
          </cell>
          <cell r="D890" t="str">
            <v>EASTERN CEBU</v>
          </cell>
          <cell r="E890">
            <v>2</v>
          </cell>
          <cell r="H890" t="str">
            <v>SAFISCOR</v>
          </cell>
          <cell r="N890">
            <v>1000</v>
          </cell>
          <cell r="Y890">
            <v>46195</v>
          </cell>
          <cell r="Z890">
            <v>2</v>
          </cell>
          <cell r="AA890">
            <v>1000</v>
          </cell>
        </row>
        <row r="891">
          <cell r="A891">
            <v>46195</v>
          </cell>
          <cell r="D891" t="str">
            <v>STAR ILIGAN</v>
          </cell>
          <cell r="E891">
            <v>2</v>
          </cell>
          <cell r="H891" t="str">
            <v>SAFISCOR</v>
          </cell>
          <cell r="N891">
            <v>1000</v>
          </cell>
          <cell r="Y891">
            <v>46195</v>
          </cell>
          <cell r="Z891">
            <v>2</v>
          </cell>
          <cell r="AA891">
            <v>1000</v>
          </cell>
        </row>
        <row r="892">
          <cell r="A892">
            <v>46195</v>
          </cell>
          <cell r="D892" t="str">
            <v>SF JOURNEY</v>
          </cell>
          <cell r="E892">
            <v>1</v>
          </cell>
          <cell r="H892" t="str">
            <v>SAFISCOR</v>
          </cell>
          <cell r="N892">
            <v>1000</v>
          </cell>
          <cell r="Y892">
            <v>46195</v>
          </cell>
          <cell r="Z892">
            <v>2</v>
          </cell>
          <cell r="AA892">
            <v>1000</v>
          </cell>
        </row>
        <row r="893">
          <cell r="A893">
            <v>46195</v>
          </cell>
          <cell r="D893" t="str">
            <v>EMERALD STAR</v>
          </cell>
          <cell r="E893">
            <v>2</v>
          </cell>
          <cell r="H893" t="str">
            <v>SAFISCOR</v>
          </cell>
          <cell r="N893">
            <v>1000</v>
          </cell>
          <cell r="Y893">
            <v>46196</v>
          </cell>
          <cell r="Z893">
            <v>1</v>
          </cell>
          <cell r="AA893">
            <v>1000</v>
          </cell>
        </row>
        <row r="894">
          <cell r="A894">
            <v>46195</v>
          </cell>
          <cell r="D894" t="str">
            <v>EMERALD STAR</v>
          </cell>
          <cell r="E894">
            <v>2</v>
          </cell>
          <cell r="H894" t="str">
            <v>SAFISCOR</v>
          </cell>
          <cell r="N894">
            <v>1000</v>
          </cell>
          <cell r="Y894">
            <v>46196</v>
          </cell>
          <cell r="Z894">
            <v>1</v>
          </cell>
          <cell r="AA894">
            <v>1000</v>
          </cell>
        </row>
        <row r="895">
          <cell r="A895">
            <v>46195</v>
          </cell>
          <cell r="D895" t="str">
            <v>SF JOURNEY</v>
          </cell>
          <cell r="E895">
            <v>1</v>
          </cell>
          <cell r="H895" t="str">
            <v>APLUS</v>
          </cell>
          <cell r="N895">
            <v>1000</v>
          </cell>
          <cell r="Y895">
            <v>46195</v>
          </cell>
          <cell r="Z895">
            <v>2</v>
          </cell>
          <cell r="AA895">
            <v>1000</v>
          </cell>
        </row>
        <row r="896">
          <cell r="A896">
            <v>46195</v>
          </cell>
          <cell r="D896" t="str">
            <v>LADY OF COURAGE</v>
          </cell>
          <cell r="E896">
            <v>2</v>
          </cell>
          <cell r="H896" t="str">
            <v>SAFISCOR</v>
          </cell>
          <cell r="N896">
            <v>1000</v>
          </cell>
          <cell r="Y896">
            <v>46195</v>
          </cell>
          <cell r="Z896">
            <v>2</v>
          </cell>
          <cell r="AA896">
            <v>1000</v>
          </cell>
        </row>
        <row r="897">
          <cell r="A897">
            <v>46195</v>
          </cell>
          <cell r="D897" t="str">
            <v>SF JOURNEY</v>
          </cell>
          <cell r="E897">
            <v>1</v>
          </cell>
          <cell r="H897" t="str">
            <v>LAPU-LAPU</v>
          </cell>
          <cell r="N897">
            <v>700</v>
          </cell>
          <cell r="Y897">
            <v>46195</v>
          </cell>
          <cell r="Z897">
            <v>2</v>
          </cell>
          <cell r="AA897">
            <v>1000</v>
          </cell>
        </row>
        <row r="898">
          <cell r="A898">
            <v>46195</v>
          </cell>
          <cell r="D898" t="str">
            <v>LADY OF ROSARY</v>
          </cell>
          <cell r="E898">
            <v>1</v>
          </cell>
          <cell r="H898" t="str">
            <v>SAFISCOR</v>
          </cell>
          <cell r="N898">
            <v>300</v>
          </cell>
          <cell r="Y898">
            <v>46195</v>
          </cell>
          <cell r="Z898">
            <v>2</v>
          </cell>
          <cell r="AA898">
            <v>700</v>
          </cell>
        </row>
        <row r="899">
          <cell r="A899">
            <v>46195</v>
          </cell>
          <cell r="D899" t="str">
            <v>STAR ILIGAN</v>
          </cell>
          <cell r="E899">
            <v>2</v>
          </cell>
          <cell r="H899" t="str">
            <v>SAFISCOR</v>
          </cell>
          <cell r="N899">
            <v>1000</v>
          </cell>
          <cell r="Y899">
            <v>46195</v>
          </cell>
          <cell r="Z899">
            <v>2</v>
          </cell>
          <cell r="AA899">
            <v>300</v>
          </cell>
        </row>
        <row r="900">
          <cell r="A900">
            <v>46195</v>
          </cell>
          <cell r="D900" t="str">
            <v>LADY OF ROSARY</v>
          </cell>
          <cell r="E900">
            <v>1</v>
          </cell>
          <cell r="H900" t="str">
            <v>SAFISCOR</v>
          </cell>
          <cell r="N900">
            <v>1000</v>
          </cell>
          <cell r="Y900">
            <v>46196</v>
          </cell>
          <cell r="Z900">
            <v>1</v>
          </cell>
          <cell r="AA900">
            <v>1000</v>
          </cell>
        </row>
        <row r="901">
          <cell r="A901">
            <v>46195</v>
          </cell>
          <cell r="D901" t="str">
            <v>LADY OF DIVINE GRACE</v>
          </cell>
          <cell r="E901">
            <v>2</v>
          </cell>
          <cell r="H901" t="str">
            <v>GEO</v>
          </cell>
          <cell r="N901">
            <v>1000</v>
          </cell>
          <cell r="Y901">
            <v>46196</v>
          </cell>
          <cell r="Z901">
            <v>1</v>
          </cell>
          <cell r="AA901">
            <v>1000</v>
          </cell>
        </row>
        <row r="902">
          <cell r="A902">
            <v>46195</v>
          </cell>
          <cell r="D902" t="str">
            <v>SF JOURNEY</v>
          </cell>
          <cell r="E902">
            <v>1</v>
          </cell>
          <cell r="H902" t="str">
            <v>BADIE</v>
          </cell>
          <cell r="N902">
            <v>1000</v>
          </cell>
          <cell r="Y902">
            <v>46195</v>
          </cell>
          <cell r="Z902">
            <v>2</v>
          </cell>
          <cell r="AA902">
            <v>1000</v>
          </cell>
        </row>
        <row r="903">
          <cell r="A903">
            <v>46195</v>
          </cell>
          <cell r="D903" t="str">
            <v>EASTERN CEBU</v>
          </cell>
          <cell r="E903">
            <v>2</v>
          </cell>
          <cell r="H903" t="str">
            <v>LAPU-LAPU</v>
          </cell>
          <cell r="N903">
            <v>1000</v>
          </cell>
          <cell r="Y903">
            <v>46195</v>
          </cell>
          <cell r="Z903">
            <v>2</v>
          </cell>
          <cell r="AA903">
            <v>1000</v>
          </cell>
        </row>
        <row r="904">
          <cell r="A904">
            <v>46195</v>
          </cell>
          <cell r="D904" t="str">
            <v>SF JOURNEY</v>
          </cell>
          <cell r="E904">
            <v>1</v>
          </cell>
          <cell r="H904" t="str">
            <v>LAPU-LAPU</v>
          </cell>
          <cell r="N904">
            <v>1000</v>
          </cell>
          <cell r="Y904">
            <v>46195</v>
          </cell>
          <cell r="Z904">
            <v>2</v>
          </cell>
          <cell r="AA904">
            <v>1000</v>
          </cell>
        </row>
        <row r="905">
          <cell r="A905">
            <v>46195</v>
          </cell>
          <cell r="D905" t="str">
            <v>SF JOURNEY</v>
          </cell>
          <cell r="E905">
            <v>1</v>
          </cell>
          <cell r="H905" t="str">
            <v>SAFISCOR</v>
          </cell>
          <cell r="N905">
            <v>1000</v>
          </cell>
          <cell r="Y905">
            <v>46195</v>
          </cell>
          <cell r="Z905">
            <v>2</v>
          </cell>
          <cell r="AA905">
            <v>1000</v>
          </cell>
        </row>
        <row r="906">
          <cell r="A906">
            <v>46195</v>
          </cell>
          <cell r="D906" t="str">
            <v>EASTERN CEBU</v>
          </cell>
          <cell r="E906">
            <v>2</v>
          </cell>
          <cell r="H906" t="str">
            <v>SAFISCOR</v>
          </cell>
          <cell r="N906">
            <v>1000</v>
          </cell>
          <cell r="Y906">
            <v>46195</v>
          </cell>
          <cell r="Z906">
            <v>2</v>
          </cell>
          <cell r="AA906">
            <v>1000</v>
          </cell>
        </row>
        <row r="907">
          <cell r="A907">
            <v>46195</v>
          </cell>
          <cell r="D907" t="str">
            <v>EMERALD STAR</v>
          </cell>
          <cell r="E907">
            <v>2</v>
          </cell>
          <cell r="H907" t="str">
            <v>SAFISCOR</v>
          </cell>
          <cell r="N907">
            <v>1000</v>
          </cell>
          <cell r="Y907">
            <v>46196</v>
          </cell>
          <cell r="Z907">
            <v>1</v>
          </cell>
          <cell r="AA907">
            <v>1000</v>
          </cell>
        </row>
        <row r="908">
          <cell r="A908">
            <v>46195</v>
          </cell>
          <cell r="D908" t="str">
            <v>SF JOURNEY</v>
          </cell>
          <cell r="E908">
            <v>1</v>
          </cell>
          <cell r="H908" t="str">
            <v>GEO</v>
          </cell>
          <cell r="N908">
            <v>1000</v>
          </cell>
          <cell r="Y908">
            <v>46196</v>
          </cell>
          <cell r="Z908">
            <v>2</v>
          </cell>
          <cell r="AA908">
            <v>1000</v>
          </cell>
        </row>
        <row r="909">
          <cell r="A909">
            <v>46195</v>
          </cell>
          <cell r="D909" t="str">
            <v>SF JOURNEY</v>
          </cell>
          <cell r="E909">
            <v>1</v>
          </cell>
          <cell r="H909" t="str">
            <v>SAFISCOR</v>
          </cell>
          <cell r="N909">
            <v>1000</v>
          </cell>
          <cell r="Y909">
            <v>46196</v>
          </cell>
          <cell r="Z909">
            <v>1</v>
          </cell>
          <cell r="AA909">
            <v>1000</v>
          </cell>
        </row>
        <row r="910">
          <cell r="A910">
            <v>46195</v>
          </cell>
          <cell r="D910" t="str">
            <v>SF JOURNEY</v>
          </cell>
          <cell r="E910">
            <v>1</v>
          </cell>
          <cell r="H910" t="str">
            <v>SAFISCOR</v>
          </cell>
          <cell r="N910">
            <v>1000</v>
          </cell>
          <cell r="Y910">
            <v>46196</v>
          </cell>
          <cell r="Z910">
            <v>2</v>
          </cell>
          <cell r="AA910">
            <v>1000</v>
          </cell>
        </row>
        <row r="911">
          <cell r="A911">
            <v>46195</v>
          </cell>
          <cell r="D911" t="str">
            <v>SF JOURNEY</v>
          </cell>
          <cell r="E911">
            <v>1</v>
          </cell>
          <cell r="H911" t="str">
            <v>SAFISCOR</v>
          </cell>
          <cell r="N911">
            <v>1000</v>
          </cell>
          <cell r="Y911">
            <v>46197</v>
          </cell>
          <cell r="Z911">
            <v>1</v>
          </cell>
          <cell r="AA911">
            <v>1000</v>
          </cell>
        </row>
        <row r="912">
          <cell r="A912">
            <v>46195</v>
          </cell>
          <cell r="D912" t="str">
            <v>SF JOURNEY</v>
          </cell>
          <cell r="E912">
            <v>1</v>
          </cell>
          <cell r="H912" t="str">
            <v>SAFISCOR</v>
          </cell>
          <cell r="N912">
            <v>1000</v>
          </cell>
          <cell r="Y912">
            <v>46196</v>
          </cell>
          <cell r="Z912">
            <v>2</v>
          </cell>
          <cell r="AA912">
            <v>1000</v>
          </cell>
        </row>
        <row r="913">
          <cell r="A913">
            <v>46195</v>
          </cell>
          <cell r="D913" t="str">
            <v>SF JOURNEY</v>
          </cell>
          <cell r="E913">
            <v>1</v>
          </cell>
          <cell r="H913" t="str">
            <v>SAFISCOR</v>
          </cell>
          <cell r="N913">
            <v>1000</v>
          </cell>
          <cell r="Y913">
            <v>46196</v>
          </cell>
          <cell r="Z913">
            <v>1</v>
          </cell>
          <cell r="AA913">
            <v>1000</v>
          </cell>
        </row>
        <row r="914">
          <cell r="A914">
            <v>46195</v>
          </cell>
          <cell r="D914" t="str">
            <v>INFINITY 8</v>
          </cell>
          <cell r="E914">
            <v>1</v>
          </cell>
          <cell r="H914" t="str">
            <v>SAFISCOR</v>
          </cell>
          <cell r="N914">
            <v>1000</v>
          </cell>
          <cell r="Y914">
            <v>46196</v>
          </cell>
          <cell r="Z914">
            <v>2</v>
          </cell>
          <cell r="AA914">
            <v>1000</v>
          </cell>
        </row>
        <row r="915">
          <cell r="A915">
            <v>46195</v>
          </cell>
          <cell r="D915" t="str">
            <v>EASTERN CEBU</v>
          </cell>
          <cell r="E915">
            <v>2</v>
          </cell>
          <cell r="H915" t="str">
            <v>LAPU-LAPU</v>
          </cell>
          <cell r="N915">
            <v>1000</v>
          </cell>
          <cell r="Y915">
            <v>46195</v>
          </cell>
          <cell r="Z915">
            <v>2</v>
          </cell>
          <cell r="AA915">
            <v>1000</v>
          </cell>
        </row>
        <row r="916">
          <cell r="A916">
            <v>46195</v>
          </cell>
          <cell r="D916" t="str">
            <v>LADY OF COURAGE</v>
          </cell>
          <cell r="E916">
            <v>2</v>
          </cell>
          <cell r="H916" t="str">
            <v>SAFISCOR</v>
          </cell>
          <cell r="N916">
            <v>1000</v>
          </cell>
          <cell r="Y916">
            <v>46195</v>
          </cell>
          <cell r="Z916">
            <v>2</v>
          </cell>
          <cell r="AA916">
            <v>1000</v>
          </cell>
        </row>
        <row r="917">
          <cell r="A917">
            <v>46196</v>
          </cell>
          <cell r="D917" t="str">
            <v>SF JOURNEY</v>
          </cell>
          <cell r="E917">
            <v>1</v>
          </cell>
          <cell r="H917" t="str">
            <v>SAFISCOR</v>
          </cell>
          <cell r="N917">
            <v>1000</v>
          </cell>
          <cell r="Y917">
            <v>46196</v>
          </cell>
          <cell r="Z917">
            <v>1</v>
          </cell>
          <cell r="AA917">
            <v>1000</v>
          </cell>
        </row>
        <row r="918">
          <cell r="A918">
            <v>46196</v>
          </cell>
          <cell r="D918" t="str">
            <v>EASTERN CEBU</v>
          </cell>
          <cell r="E918">
            <v>2</v>
          </cell>
          <cell r="H918" t="str">
            <v>SAFISCOR</v>
          </cell>
          <cell r="N918">
            <v>1000</v>
          </cell>
          <cell r="Y918">
            <v>46196</v>
          </cell>
          <cell r="Z918">
            <v>1</v>
          </cell>
          <cell r="AA918">
            <v>1000</v>
          </cell>
        </row>
        <row r="919">
          <cell r="A919">
            <v>46196</v>
          </cell>
          <cell r="D919" t="str">
            <v>SF JOURNEY</v>
          </cell>
          <cell r="E919">
            <v>1</v>
          </cell>
          <cell r="H919" t="str">
            <v>SAFISCOR</v>
          </cell>
          <cell r="N919">
            <v>1000</v>
          </cell>
          <cell r="Y919">
            <v>46196</v>
          </cell>
          <cell r="Z919">
            <v>2</v>
          </cell>
          <cell r="AA919">
            <v>1000</v>
          </cell>
        </row>
        <row r="920">
          <cell r="A920">
            <v>46196</v>
          </cell>
          <cell r="D920" t="str">
            <v>SF JOURNEY</v>
          </cell>
          <cell r="E920">
            <v>1</v>
          </cell>
          <cell r="H920" t="str">
            <v>SAFISCOR</v>
          </cell>
          <cell r="N920">
            <v>1000</v>
          </cell>
          <cell r="Y920">
            <v>46196</v>
          </cell>
          <cell r="Z920">
            <v>2</v>
          </cell>
          <cell r="AA920">
            <v>1000</v>
          </cell>
        </row>
        <row r="921">
          <cell r="A921">
            <v>46196</v>
          </cell>
          <cell r="D921" t="str">
            <v>SF JOURNEY</v>
          </cell>
          <cell r="E921">
            <v>1</v>
          </cell>
          <cell r="H921" t="str">
            <v>SAFISCOR</v>
          </cell>
          <cell r="N921">
            <v>1000</v>
          </cell>
          <cell r="Y921">
            <v>46196</v>
          </cell>
          <cell r="Z921">
            <v>2</v>
          </cell>
          <cell r="AA921">
            <v>1000</v>
          </cell>
        </row>
        <row r="922">
          <cell r="A922">
            <v>46196</v>
          </cell>
          <cell r="D922" t="str">
            <v>EASTERN CEBU</v>
          </cell>
          <cell r="E922">
            <v>2</v>
          </cell>
          <cell r="H922" t="str">
            <v>SAFISCOR</v>
          </cell>
          <cell r="N922">
            <v>1000</v>
          </cell>
          <cell r="Y922">
            <v>46196</v>
          </cell>
          <cell r="Z922">
            <v>1</v>
          </cell>
          <cell r="AA922">
            <v>1000</v>
          </cell>
        </row>
        <row r="923">
          <cell r="A923">
            <v>46196</v>
          </cell>
          <cell r="D923" t="str">
            <v>EASTERN CEBU</v>
          </cell>
          <cell r="E923">
            <v>2</v>
          </cell>
          <cell r="H923" t="str">
            <v>SAFISCOR</v>
          </cell>
          <cell r="N923">
            <v>1000</v>
          </cell>
          <cell r="Y923">
            <v>46196</v>
          </cell>
          <cell r="Z923">
            <v>1</v>
          </cell>
          <cell r="AA923">
            <v>1000</v>
          </cell>
        </row>
        <row r="924">
          <cell r="A924">
            <v>46196</v>
          </cell>
          <cell r="D924" t="str">
            <v>EMERALD STAR</v>
          </cell>
          <cell r="E924">
            <v>2</v>
          </cell>
          <cell r="H924" t="str">
            <v>SAFISCOR</v>
          </cell>
          <cell r="N924">
            <v>1000</v>
          </cell>
          <cell r="Y924">
            <v>46196</v>
          </cell>
          <cell r="Z924">
            <v>1</v>
          </cell>
          <cell r="AA924">
            <v>1000</v>
          </cell>
        </row>
        <row r="925">
          <cell r="A925">
            <v>46196</v>
          </cell>
          <cell r="D925" t="str">
            <v>EMERALD STAR</v>
          </cell>
          <cell r="E925">
            <v>2</v>
          </cell>
          <cell r="H925" t="str">
            <v>SAFISCOR</v>
          </cell>
          <cell r="N925">
            <v>1000</v>
          </cell>
          <cell r="Y925">
            <v>46196</v>
          </cell>
          <cell r="Z925">
            <v>1</v>
          </cell>
          <cell r="AA925">
            <v>1000</v>
          </cell>
        </row>
        <row r="926">
          <cell r="A926">
            <v>46196</v>
          </cell>
          <cell r="D926" t="str">
            <v>SF JOURNEY</v>
          </cell>
          <cell r="E926">
            <v>1</v>
          </cell>
          <cell r="H926" t="str">
            <v>SAFISCOR</v>
          </cell>
          <cell r="N926">
            <v>1000</v>
          </cell>
          <cell r="Y926">
            <v>46197</v>
          </cell>
          <cell r="Z926">
            <v>1</v>
          </cell>
          <cell r="AA926">
            <v>1000</v>
          </cell>
        </row>
        <row r="927">
          <cell r="A927">
            <v>46196</v>
          </cell>
          <cell r="D927" t="str">
            <v>SF JOURNEY</v>
          </cell>
          <cell r="E927">
            <v>1</v>
          </cell>
          <cell r="H927" t="str">
            <v>LAPU-LAPU</v>
          </cell>
          <cell r="N927">
            <v>1000</v>
          </cell>
          <cell r="Y927">
            <v>46196</v>
          </cell>
          <cell r="Z927">
            <v>1</v>
          </cell>
          <cell r="AA927">
            <v>1000</v>
          </cell>
        </row>
        <row r="928">
          <cell r="A928">
            <v>46196</v>
          </cell>
          <cell r="D928" t="str">
            <v>SF JOURNEY</v>
          </cell>
          <cell r="E928">
            <v>1</v>
          </cell>
          <cell r="H928" t="str">
            <v>SAFISCOR</v>
          </cell>
          <cell r="N928">
            <v>1000</v>
          </cell>
          <cell r="Y928">
            <v>46196</v>
          </cell>
          <cell r="Z928">
            <v>2</v>
          </cell>
          <cell r="AA928">
            <v>1000</v>
          </cell>
        </row>
        <row r="929">
          <cell r="A929">
            <v>46196</v>
          </cell>
          <cell r="D929" t="str">
            <v>EASTERN CEBU</v>
          </cell>
          <cell r="E929">
            <v>2</v>
          </cell>
          <cell r="H929" t="str">
            <v>LAPU-LAPU</v>
          </cell>
          <cell r="N929">
            <v>1000</v>
          </cell>
          <cell r="Y929">
            <v>46196</v>
          </cell>
          <cell r="Z929">
            <v>1</v>
          </cell>
          <cell r="AA929">
            <v>1000</v>
          </cell>
        </row>
        <row r="930">
          <cell r="A930">
            <v>46196</v>
          </cell>
          <cell r="D930" t="str">
            <v>LADY OF COURAGE</v>
          </cell>
          <cell r="E930">
            <v>2</v>
          </cell>
          <cell r="H930" t="str">
            <v>APLUS</v>
          </cell>
          <cell r="N930">
            <v>1000</v>
          </cell>
          <cell r="Y930">
            <v>46196</v>
          </cell>
          <cell r="Z930">
            <v>1</v>
          </cell>
          <cell r="AA930">
            <v>1000</v>
          </cell>
        </row>
        <row r="931">
          <cell r="A931">
            <v>46196</v>
          </cell>
          <cell r="D931" t="str">
            <v>LADY OF ROSARY</v>
          </cell>
          <cell r="E931">
            <v>1</v>
          </cell>
          <cell r="H931" t="str">
            <v>BADIE</v>
          </cell>
          <cell r="N931">
            <v>1000</v>
          </cell>
          <cell r="Y931">
            <v>46196</v>
          </cell>
          <cell r="Z931">
            <v>1</v>
          </cell>
          <cell r="AA931">
            <v>1000</v>
          </cell>
        </row>
        <row r="932">
          <cell r="A932">
            <v>46196</v>
          </cell>
          <cell r="D932" t="str">
            <v>EASTERN CEBU</v>
          </cell>
          <cell r="E932">
            <v>2</v>
          </cell>
          <cell r="H932" t="str">
            <v>SAFISCOR</v>
          </cell>
          <cell r="N932">
            <v>1000</v>
          </cell>
        </row>
        <row r="933">
          <cell r="A933">
            <v>46196</v>
          </cell>
          <cell r="D933" t="str">
            <v>EMERALD STAR</v>
          </cell>
          <cell r="E933">
            <v>2</v>
          </cell>
          <cell r="H933" t="str">
            <v>SAFISCOR</v>
          </cell>
          <cell r="N933">
            <v>1000</v>
          </cell>
          <cell r="Y933">
            <v>46196</v>
          </cell>
          <cell r="Z933">
            <v>1</v>
          </cell>
          <cell r="AA933">
            <v>1000</v>
          </cell>
        </row>
        <row r="934">
          <cell r="A934">
            <v>46196</v>
          </cell>
          <cell r="D934" t="str">
            <v>EMERALD STAR</v>
          </cell>
          <cell r="E934">
            <v>2</v>
          </cell>
          <cell r="H934" t="str">
            <v>LAPU-LAPU</v>
          </cell>
          <cell r="N934">
            <v>1000</v>
          </cell>
          <cell r="Y934">
            <v>46196</v>
          </cell>
          <cell r="Z934">
            <v>1</v>
          </cell>
          <cell r="AA934">
            <v>1000</v>
          </cell>
        </row>
        <row r="935">
          <cell r="A935">
            <v>46196</v>
          </cell>
          <cell r="D935" t="str">
            <v>LADY OF ROSARY</v>
          </cell>
          <cell r="E935">
            <v>1</v>
          </cell>
          <cell r="H935" t="str">
            <v>SAFISCOR</v>
          </cell>
          <cell r="N935">
            <v>1000</v>
          </cell>
          <cell r="Y935">
            <v>46196</v>
          </cell>
          <cell r="Z935">
            <v>1</v>
          </cell>
          <cell r="AA935">
            <v>1000</v>
          </cell>
        </row>
        <row r="936">
          <cell r="A936">
            <v>46196</v>
          </cell>
          <cell r="D936" t="str">
            <v>LADY OF ROSARY</v>
          </cell>
          <cell r="E936">
            <v>1</v>
          </cell>
          <cell r="H936" t="str">
            <v>SAFISCOR</v>
          </cell>
          <cell r="N936">
            <v>1000</v>
          </cell>
          <cell r="Y936">
            <v>46196</v>
          </cell>
          <cell r="Z936">
            <v>1</v>
          </cell>
          <cell r="AA936">
            <v>1000</v>
          </cell>
        </row>
        <row r="937">
          <cell r="A937">
            <v>46196</v>
          </cell>
          <cell r="D937" t="str">
            <v>LADY OF ROSARY</v>
          </cell>
          <cell r="E937">
            <v>1</v>
          </cell>
          <cell r="H937" t="str">
            <v>SAFISCOR</v>
          </cell>
          <cell r="N937">
            <v>1000</v>
          </cell>
          <cell r="Y937">
            <v>46196</v>
          </cell>
          <cell r="Z937">
            <v>1</v>
          </cell>
          <cell r="AA937">
            <v>1000</v>
          </cell>
        </row>
        <row r="938">
          <cell r="A938">
            <v>46196</v>
          </cell>
          <cell r="D938" t="str">
            <v>INFINITY 8</v>
          </cell>
          <cell r="E938">
            <v>1</v>
          </cell>
          <cell r="H938" t="str">
            <v>GEO</v>
          </cell>
          <cell r="N938">
            <v>1000</v>
          </cell>
          <cell r="Y938">
            <v>46196</v>
          </cell>
          <cell r="Z938">
            <v>1</v>
          </cell>
          <cell r="AA938">
            <v>1000</v>
          </cell>
        </row>
        <row r="939">
          <cell r="A939">
            <v>46196</v>
          </cell>
          <cell r="D939" t="str">
            <v>INFINITY 8</v>
          </cell>
          <cell r="E939">
            <v>1</v>
          </cell>
          <cell r="H939" t="str">
            <v>SAFISCOR</v>
          </cell>
          <cell r="N939">
            <v>1000</v>
          </cell>
          <cell r="Y939">
            <v>46197</v>
          </cell>
          <cell r="Z939">
            <v>1</v>
          </cell>
          <cell r="AA939">
            <v>1000</v>
          </cell>
        </row>
        <row r="940">
          <cell r="A940">
            <v>46196</v>
          </cell>
          <cell r="D940" t="str">
            <v>LADY OF COURAGE</v>
          </cell>
          <cell r="E940">
            <v>2</v>
          </cell>
          <cell r="H940" t="str">
            <v>SAFISCOR</v>
          </cell>
          <cell r="N940">
            <v>1000</v>
          </cell>
          <cell r="Y940">
            <v>46196</v>
          </cell>
          <cell r="Z940">
            <v>1</v>
          </cell>
          <cell r="AA940">
            <v>1000</v>
          </cell>
        </row>
        <row r="941">
          <cell r="A941">
            <v>46196</v>
          </cell>
          <cell r="D941" t="str">
            <v>LADY OF COURAGE</v>
          </cell>
          <cell r="E941">
            <v>2</v>
          </cell>
          <cell r="H941" t="str">
            <v>LAPU-LAPU</v>
          </cell>
          <cell r="N941">
            <v>1000</v>
          </cell>
          <cell r="Y941">
            <v>46196</v>
          </cell>
          <cell r="Z941">
            <v>1</v>
          </cell>
          <cell r="AA941">
            <v>1000</v>
          </cell>
        </row>
        <row r="942">
          <cell r="A942">
            <v>46196</v>
          </cell>
          <cell r="D942" t="str">
            <v>LADY OF DIVINE GRACE</v>
          </cell>
          <cell r="E942">
            <v>2</v>
          </cell>
          <cell r="H942" t="str">
            <v>LAPU-LAPU</v>
          </cell>
          <cell r="N942">
            <v>1000</v>
          </cell>
          <cell r="Y942">
            <v>46196</v>
          </cell>
          <cell r="Z942">
            <v>1</v>
          </cell>
          <cell r="AA942">
            <v>1000</v>
          </cell>
        </row>
        <row r="943">
          <cell r="A943">
            <v>46196</v>
          </cell>
          <cell r="D943" t="str">
            <v>EASTERN CEBU</v>
          </cell>
          <cell r="E943">
            <v>2</v>
          </cell>
          <cell r="H943" t="str">
            <v>SAFISCOR</v>
          </cell>
          <cell r="N943">
            <v>1000</v>
          </cell>
          <cell r="Y943">
            <v>46196</v>
          </cell>
          <cell r="Z943">
            <v>1</v>
          </cell>
          <cell r="AA943">
            <v>1000</v>
          </cell>
        </row>
        <row r="944">
          <cell r="A944">
            <v>46196</v>
          </cell>
          <cell r="D944" t="str">
            <v>SF JOURNEY</v>
          </cell>
          <cell r="E944">
            <v>1</v>
          </cell>
          <cell r="H944" t="str">
            <v>APLUS</v>
          </cell>
          <cell r="N944">
            <v>1000</v>
          </cell>
          <cell r="Y944">
            <v>46196</v>
          </cell>
          <cell r="Z944">
            <v>1</v>
          </cell>
          <cell r="AA944">
            <v>1000</v>
          </cell>
        </row>
        <row r="945">
          <cell r="A945">
            <v>46196</v>
          </cell>
          <cell r="D945" t="str">
            <v>SF JOURNEY</v>
          </cell>
          <cell r="E945">
            <v>1</v>
          </cell>
          <cell r="H945" t="str">
            <v>SAFISCOR</v>
          </cell>
          <cell r="N945">
            <v>1000</v>
          </cell>
          <cell r="Y945">
            <v>46197</v>
          </cell>
          <cell r="Z945">
            <v>1</v>
          </cell>
          <cell r="AA945">
            <v>1000</v>
          </cell>
        </row>
        <row r="946">
          <cell r="A946">
            <v>46196</v>
          </cell>
          <cell r="D946" t="str">
            <v>EMERALD STAR</v>
          </cell>
          <cell r="E946">
            <v>2</v>
          </cell>
          <cell r="H946" t="str">
            <v>SAFISCOR</v>
          </cell>
          <cell r="N946">
            <v>1000</v>
          </cell>
          <cell r="Y946">
            <v>46196</v>
          </cell>
          <cell r="Z946">
            <v>1</v>
          </cell>
          <cell r="AA946">
            <v>1000</v>
          </cell>
        </row>
        <row r="947">
          <cell r="A947">
            <v>46196</v>
          </cell>
          <cell r="D947" t="str">
            <v>EMERALD STAR</v>
          </cell>
          <cell r="E947">
            <v>2</v>
          </cell>
          <cell r="H947" t="str">
            <v>SAFISCOR</v>
          </cell>
          <cell r="N947">
            <v>1000</v>
          </cell>
          <cell r="Y947">
            <v>46196</v>
          </cell>
          <cell r="Z947">
            <v>1</v>
          </cell>
          <cell r="AA947">
            <v>1000</v>
          </cell>
        </row>
        <row r="948">
          <cell r="A948">
            <v>46196</v>
          </cell>
          <cell r="D948" t="str">
            <v>LADY OF COURAGE</v>
          </cell>
          <cell r="E948">
            <v>2</v>
          </cell>
          <cell r="H948" t="str">
            <v>SAFISCOR</v>
          </cell>
          <cell r="N948">
            <v>1000</v>
          </cell>
        </row>
        <row r="949">
          <cell r="A949">
            <v>46196</v>
          </cell>
          <cell r="D949" t="str">
            <v>LADY OF ROSARY</v>
          </cell>
          <cell r="E949">
            <v>1</v>
          </cell>
          <cell r="H949" t="str">
            <v>SAFISCOR</v>
          </cell>
          <cell r="N949">
            <v>1000</v>
          </cell>
          <cell r="Y949">
            <v>46196</v>
          </cell>
          <cell r="Z949">
            <v>1</v>
          </cell>
          <cell r="AA949">
            <v>1000</v>
          </cell>
        </row>
        <row r="950">
          <cell r="A950">
            <v>46196</v>
          </cell>
          <cell r="D950" t="str">
            <v>LADY OF ROSARY</v>
          </cell>
          <cell r="E950">
            <v>1</v>
          </cell>
          <cell r="H950" t="str">
            <v>LAPU-LAPU</v>
          </cell>
          <cell r="N950">
            <v>1000</v>
          </cell>
          <cell r="Y950">
            <v>46196</v>
          </cell>
          <cell r="Z950">
            <v>1</v>
          </cell>
          <cell r="AA950">
            <v>1000</v>
          </cell>
        </row>
        <row r="951">
          <cell r="A951">
            <v>46196</v>
          </cell>
          <cell r="D951" t="str">
            <v>EASTERN CEBU</v>
          </cell>
          <cell r="E951">
            <v>2</v>
          </cell>
          <cell r="H951" t="str">
            <v>LAPU-LAPU</v>
          </cell>
          <cell r="N951">
            <v>1000</v>
          </cell>
          <cell r="Y951">
            <v>46196</v>
          </cell>
          <cell r="Z951">
            <v>1</v>
          </cell>
          <cell r="AA951">
            <v>1000</v>
          </cell>
        </row>
        <row r="952">
          <cell r="A952">
            <v>46196</v>
          </cell>
          <cell r="D952" t="str">
            <v>SF JOURNEY</v>
          </cell>
          <cell r="E952">
            <v>1</v>
          </cell>
          <cell r="H952" t="str">
            <v>GEO</v>
          </cell>
          <cell r="N952">
            <v>1000</v>
          </cell>
          <cell r="Y952">
            <v>46196</v>
          </cell>
          <cell r="Z952">
            <v>2</v>
          </cell>
          <cell r="AA952">
            <v>1000</v>
          </cell>
        </row>
        <row r="953">
          <cell r="A953">
            <v>46196</v>
          </cell>
          <cell r="D953" t="str">
            <v>SF JOURNEY</v>
          </cell>
          <cell r="E953">
            <v>1</v>
          </cell>
          <cell r="H953" t="str">
            <v>BADIE</v>
          </cell>
          <cell r="N953">
            <v>1000</v>
          </cell>
          <cell r="Y953">
            <v>46196</v>
          </cell>
          <cell r="Z953">
            <v>2</v>
          </cell>
          <cell r="AA953">
            <v>1000</v>
          </cell>
        </row>
        <row r="954">
          <cell r="A954">
            <v>46196</v>
          </cell>
          <cell r="D954" t="str">
            <v>SF JOURNEY</v>
          </cell>
          <cell r="E954">
            <v>1</v>
          </cell>
          <cell r="H954" t="str">
            <v>LAPU-LAPU</v>
          </cell>
          <cell r="N954">
            <v>1000</v>
          </cell>
          <cell r="Y954">
            <v>46196</v>
          </cell>
          <cell r="Z954">
            <v>1</v>
          </cell>
          <cell r="AA954">
            <v>1000</v>
          </cell>
        </row>
        <row r="955">
          <cell r="A955">
            <v>46196</v>
          </cell>
          <cell r="D955" t="str">
            <v>SF JOURNEY</v>
          </cell>
          <cell r="E955">
            <v>1</v>
          </cell>
          <cell r="H955" t="str">
            <v>SAFISCOR</v>
          </cell>
          <cell r="N955">
            <v>1000</v>
          </cell>
          <cell r="Y955">
            <v>46196</v>
          </cell>
          <cell r="Z955">
            <v>2</v>
          </cell>
          <cell r="AA955">
            <v>1000</v>
          </cell>
        </row>
        <row r="956">
          <cell r="A956">
            <v>46196</v>
          </cell>
          <cell r="D956" t="str">
            <v>INFINITY 8</v>
          </cell>
          <cell r="E956">
            <v>1</v>
          </cell>
          <cell r="H956" t="str">
            <v>SAFISCOR</v>
          </cell>
          <cell r="N956">
            <v>1000</v>
          </cell>
          <cell r="Y956">
            <v>46197</v>
          </cell>
          <cell r="Z956">
            <v>1</v>
          </cell>
          <cell r="AA956">
            <v>1000</v>
          </cell>
        </row>
        <row r="957">
          <cell r="A957">
            <v>46196</v>
          </cell>
          <cell r="D957" t="str">
            <v>LADY OF ROSARY</v>
          </cell>
          <cell r="E957">
            <v>1</v>
          </cell>
          <cell r="H957" t="str">
            <v>SAFISCOR</v>
          </cell>
          <cell r="N957">
            <v>1000</v>
          </cell>
          <cell r="Y957">
            <v>46197</v>
          </cell>
          <cell r="Z957">
            <v>1</v>
          </cell>
          <cell r="AA957">
            <v>1000</v>
          </cell>
        </row>
        <row r="958">
          <cell r="A958">
            <v>46196</v>
          </cell>
          <cell r="D958" t="str">
            <v>EASTERN CEBU</v>
          </cell>
          <cell r="E958">
            <v>2</v>
          </cell>
          <cell r="H958" t="str">
            <v>LAPU-LAPU</v>
          </cell>
          <cell r="N958">
            <v>1000</v>
          </cell>
        </row>
        <row r="959">
          <cell r="A959">
            <v>46196</v>
          </cell>
          <cell r="D959" t="str">
            <v>SF JOURNEY</v>
          </cell>
          <cell r="E959">
            <v>1</v>
          </cell>
          <cell r="H959" t="str">
            <v>SAFISCOR</v>
          </cell>
          <cell r="N959">
            <v>1000</v>
          </cell>
          <cell r="Y959">
            <v>46196</v>
          </cell>
          <cell r="Z959">
            <v>2</v>
          </cell>
          <cell r="AA959">
            <v>1000</v>
          </cell>
        </row>
        <row r="960">
          <cell r="A960">
            <v>46196</v>
          </cell>
          <cell r="D960" t="str">
            <v>SF JOURNEY</v>
          </cell>
          <cell r="E960">
            <v>1</v>
          </cell>
          <cell r="H960" t="str">
            <v>SAFISCOR</v>
          </cell>
          <cell r="N960">
            <v>1000</v>
          </cell>
          <cell r="Y960">
            <v>46197</v>
          </cell>
          <cell r="Z960">
            <v>1</v>
          </cell>
          <cell r="AA960">
            <v>1000</v>
          </cell>
        </row>
        <row r="961">
          <cell r="A961">
            <v>46196</v>
          </cell>
          <cell r="D961" t="str">
            <v>EMERALD STAR</v>
          </cell>
          <cell r="E961">
            <v>2</v>
          </cell>
          <cell r="H961" t="str">
            <v>SAFISCOR</v>
          </cell>
          <cell r="N961">
            <v>1000</v>
          </cell>
          <cell r="Y961">
            <v>46196</v>
          </cell>
          <cell r="Z961">
            <v>2</v>
          </cell>
          <cell r="AA961">
            <v>1000</v>
          </cell>
        </row>
        <row r="962">
          <cell r="A962">
            <v>46196</v>
          </cell>
          <cell r="D962" t="str">
            <v>SF JOURNEY</v>
          </cell>
          <cell r="E962">
            <v>1</v>
          </cell>
          <cell r="H962" t="str">
            <v>SAFISCOR</v>
          </cell>
          <cell r="N962">
            <v>1000</v>
          </cell>
          <cell r="Y962">
            <v>46196</v>
          </cell>
          <cell r="Z962">
            <v>1</v>
          </cell>
          <cell r="AA962">
            <v>1000</v>
          </cell>
        </row>
        <row r="963">
          <cell r="A963">
            <v>46196</v>
          </cell>
          <cell r="D963" t="str">
            <v>SF JOURNEY</v>
          </cell>
          <cell r="E963">
            <v>1</v>
          </cell>
          <cell r="H963" t="str">
            <v>SAFISCOR</v>
          </cell>
          <cell r="N963">
            <v>1000</v>
          </cell>
          <cell r="Y963">
            <v>46197</v>
          </cell>
          <cell r="Z963">
            <v>1</v>
          </cell>
          <cell r="AA963">
            <v>1000</v>
          </cell>
        </row>
        <row r="964">
          <cell r="A964">
            <v>46196</v>
          </cell>
          <cell r="D964" t="str">
            <v>SF JOURNEY</v>
          </cell>
          <cell r="E964">
            <v>1</v>
          </cell>
          <cell r="H964" t="str">
            <v>SAFISCOR</v>
          </cell>
          <cell r="N964">
            <v>1000</v>
          </cell>
          <cell r="Y964">
            <v>46197</v>
          </cell>
          <cell r="Z964">
            <v>1</v>
          </cell>
          <cell r="AA964">
            <v>1000</v>
          </cell>
        </row>
        <row r="965">
          <cell r="A965">
            <v>46196</v>
          </cell>
          <cell r="D965" t="str">
            <v>SF JOURNEY</v>
          </cell>
          <cell r="E965">
            <v>1</v>
          </cell>
          <cell r="H965" t="str">
            <v>SAFISCOR</v>
          </cell>
          <cell r="N965">
            <v>1000</v>
          </cell>
          <cell r="Y965">
            <v>46196</v>
          </cell>
          <cell r="Z965">
            <v>2</v>
          </cell>
          <cell r="AA965">
            <v>1000</v>
          </cell>
        </row>
        <row r="966">
          <cell r="A966">
            <v>46196</v>
          </cell>
          <cell r="D966" t="str">
            <v>LADY OF COURAGE</v>
          </cell>
          <cell r="E966">
            <v>2</v>
          </cell>
          <cell r="H966" t="str">
            <v>LAPU-LAPU</v>
          </cell>
          <cell r="N966">
            <v>1000</v>
          </cell>
        </row>
        <row r="967">
          <cell r="A967">
            <v>46196</v>
          </cell>
          <cell r="D967" t="str">
            <v>EMERALD STAR</v>
          </cell>
          <cell r="E967">
            <v>2</v>
          </cell>
          <cell r="H967" t="str">
            <v>LAPU-LAPU</v>
          </cell>
          <cell r="N967">
            <v>1000</v>
          </cell>
          <cell r="Y967">
            <v>45100</v>
          </cell>
          <cell r="Z967">
            <v>2</v>
          </cell>
          <cell r="AA967">
            <v>1000</v>
          </cell>
        </row>
        <row r="968">
          <cell r="A968">
            <v>46196</v>
          </cell>
          <cell r="D968" t="str">
            <v>EMERALD STAR</v>
          </cell>
          <cell r="E968">
            <v>2</v>
          </cell>
          <cell r="H968" t="str">
            <v>SAFISCOR</v>
          </cell>
          <cell r="N968">
            <v>1000</v>
          </cell>
          <cell r="Y968">
            <v>46197</v>
          </cell>
          <cell r="Z968">
            <v>1</v>
          </cell>
          <cell r="AA968">
            <v>1000</v>
          </cell>
        </row>
        <row r="969">
          <cell r="A969">
            <v>46196</v>
          </cell>
          <cell r="D969" t="str">
            <v>ADOLFO SR</v>
          </cell>
          <cell r="E969">
            <v>2</v>
          </cell>
          <cell r="H969" t="str">
            <v>SAFISCOR</v>
          </cell>
          <cell r="N969">
            <v>1000</v>
          </cell>
          <cell r="Y969">
            <v>46197</v>
          </cell>
          <cell r="Z969">
            <v>1</v>
          </cell>
          <cell r="AA969">
            <v>1000</v>
          </cell>
        </row>
        <row r="970">
          <cell r="A970">
            <v>46196</v>
          </cell>
          <cell r="D970" t="str">
            <v>EASTERN CEBU</v>
          </cell>
          <cell r="E970">
            <v>2</v>
          </cell>
          <cell r="H970" t="str">
            <v>LAPU-LAPU</v>
          </cell>
          <cell r="N970">
            <v>1000</v>
          </cell>
          <cell r="Y970">
            <v>46196</v>
          </cell>
          <cell r="Z970">
            <v>2</v>
          </cell>
          <cell r="AA970">
            <v>1000</v>
          </cell>
        </row>
        <row r="971">
          <cell r="A971">
            <v>46196</v>
          </cell>
          <cell r="D971" t="str">
            <v>SF JOURNEY</v>
          </cell>
          <cell r="E971">
            <v>1</v>
          </cell>
          <cell r="H971" t="str">
            <v>SAFISCOR</v>
          </cell>
          <cell r="N971">
            <v>1000</v>
          </cell>
          <cell r="Y971">
            <v>46197</v>
          </cell>
          <cell r="Z971">
            <v>1</v>
          </cell>
          <cell r="AA971">
            <v>1000</v>
          </cell>
        </row>
        <row r="972">
          <cell r="A972">
            <v>46196</v>
          </cell>
          <cell r="D972" t="str">
            <v>SF JOURNEY</v>
          </cell>
          <cell r="E972">
            <v>1</v>
          </cell>
          <cell r="H972" t="str">
            <v>SAFISCOR</v>
          </cell>
          <cell r="N972">
            <v>1000</v>
          </cell>
          <cell r="Y972">
            <v>46197</v>
          </cell>
          <cell r="Z972">
            <v>1</v>
          </cell>
          <cell r="AA972">
            <v>1000</v>
          </cell>
        </row>
        <row r="973">
          <cell r="A973">
            <v>46196</v>
          </cell>
          <cell r="D973" t="str">
            <v>SF JOURNEY</v>
          </cell>
          <cell r="E973">
            <v>1</v>
          </cell>
          <cell r="H973" t="str">
            <v>SAFISCOR</v>
          </cell>
          <cell r="N973">
            <v>1000</v>
          </cell>
          <cell r="Y973">
            <v>46197</v>
          </cell>
          <cell r="Z973">
            <v>1</v>
          </cell>
          <cell r="AA973">
            <v>1000</v>
          </cell>
        </row>
        <row r="974">
          <cell r="A974">
            <v>46196</v>
          </cell>
          <cell r="D974" t="str">
            <v>SF JOURNEY</v>
          </cell>
          <cell r="E974">
            <v>1</v>
          </cell>
          <cell r="H974" t="str">
            <v>SAFISCOR</v>
          </cell>
          <cell r="N974">
            <v>1000</v>
          </cell>
          <cell r="Y974">
            <v>46197</v>
          </cell>
          <cell r="Z974">
            <v>1</v>
          </cell>
          <cell r="AA974">
            <v>1000</v>
          </cell>
        </row>
        <row r="975">
          <cell r="A975">
            <v>46196</v>
          </cell>
          <cell r="D975" t="str">
            <v>SF JOURNEY</v>
          </cell>
          <cell r="E975">
            <v>1</v>
          </cell>
          <cell r="H975" t="str">
            <v>SAFISCOR</v>
          </cell>
          <cell r="N975">
            <v>1000</v>
          </cell>
          <cell r="Y975">
            <v>46197</v>
          </cell>
          <cell r="Z975">
            <v>1</v>
          </cell>
          <cell r="AA975">
            <v>1000</v>
          </cell>
        </row>
        <row r="976">
          <cell r="A976">
            <v>46196</v>
          </cell>
          <cell r="D976" t="str">
            <v>SF JOURNEY</v>
          </cell>
          <cell r="E976">
            <v>1</v>
          </cell>
          <cell r="H976" t="str">
            <v>SAFISCOR</v>
          </cell>
          <cell r="N976">
            <v>1000</v>
          </cell>
          <cell r="Y976">
            <v>46197</v>
          </cell>
          <cell r="Z976">
            <v>1</v>
          </cell>
          <cell r="AA976">
            <v>1000</v>
          </cell>
        </row>
        <row r="977">
          <cell r="A977">
            <v>46196</v>
          </cell>
          <cell r="D977" t="str">
            <v>SF JOURNEY</v>
          </cell>
          <cell r="E977">
            <v>1</v>
          </cell>
          <cell r="H977" t="str">
            <v>SAFISCOR</v>
          </cell>
          <cell r="N977">
            <v>1000</v>
          </cell>
          <cell r="Y977">
            <v>46197</v>
          </cell>
          <cell r="Z977">
            <v>1</v>
          </cell>
          <cell r="AA977">
            <v>1000</v>
          </cell>
        </row>
        <row r="978">
          <cell r="A978">
            <v>46196</v>
          </cell>
          <cell r="D978" t="str">
            <v>SF JOURNEY</v>
          </cell>
          <cell r="E978">
            <v>1</v>
          </cell>
          <cell r="H978" t="str">
            <v>SAFISCOR</v>
          </cell>
          <cell r="N978">
            <v>1000</v>
          </cell>
          <cell r="Y978">
            <v>46197</v>
          </cell>
          <cell r="Z978">
            <v>1</v>
          </cell>
          <cell r="AA978">
            <v>1000</v>
          </cell>
        </row>
        <row r="979">
          <cell r="A979">
            <v>46196</v>
          </cell>
          <cell r="D979" t="str">
            <v>EMERALD STAR</v>
          </cell>
          <cell r="E979">
            <v>2</v>
          </cell>
          <cell r="H979" t="str">
            <v>SAFISCOR</v>
          </cell>
          <cell r="N979">
            <v>1000</v>
          </cell>
          <cell r="Y979">
            <v>46196</v>
          </cell>
          <cell r="Z979">
            <v>2</v>
          </cell>
          <cell r="AA979">
            <v>1000</v>
          </cell>
        </row>
        <row r="980">
          <cell r="A980">
            <v>46196</v>
          </cell>
          <cell r="D980" t="str">
            <v>LADY OF COURAGE</v>
          </cell>
          <cell r="E980">
            <v>2</v>
          </cell>
          <cell r="H980" t="str">
            <v>SAFISCOR</v>
          </cell>
          <cell r="N980">
            <v>1000</v>
          </cell>
          <cell r="Y980">
            <v>46196</v>
          </cell>
          <cell r="Z980">
            <v>2</v>
          </cell>
          <cell r="AA980">
            <v>1000</v>
          </cell>
        </row>
        <row r="981">
          <cell r="A981">
            <v>46196</v>
          </cell>
          <cell r="D981" t="str">
            <v>EASTERN CEBU</v>
          </cell>
          <cell r="E981">
            <v>2</v>
          </cell>
          <cell r="H981" t="str">
            <v>LAPU-LAPU</v>
          </cell>
          <cell r="N981">
            <v>1000</v>
          </cell>
          <cell r="Y981">
            <v>46196</v>
          </cell>
          <cell r="Z981">
            <v>2</v>
          </cell>
          <cell r="AA981">
            <v>1000</v>
          </cell>
        </row>
        <row r="982">
          <cell r="A982">
            <v>46196</v>
          </cell>
          <cell r="D982" t="str">
            <v>SF JOURNEY</v>
          </cell>
          <cell r="E982">
            <v>1</v>
          </cell>
          <cell r="H982" t="str">
            <v>LAPU-LAPU</v>
          </cell>
          <cell r="N982">
            <v>1000</v>
          </cell>
          <cell r="Y982">
            <v>46196</v>
          </cell>
          <cell r="Z982">
            <v>2</v>
          </cell>
          <cell r="AA982">
            <v>1000</v>
          </cell>
        </row>
        <row r="983">
          <cell r="A983">
            <v>46196</v>
          </cell>
          <cell r="D983" t="str">
            <v>LADY OF ROSARY</v>
          </cell>
          <cell r="E983">
            <v>1</v>
          </cell>
          <cell r="H983" t="str">
            <v>LAPU-LAPU</v>
          </cell>
          <cell r="N983">
            <v>500</v>
          </cell>
          <cell r="Y983">
            <v>46196</v>
          </cell>
          <cell r="Z983">
            <v>2</v>
          </cell>
          <cell r="AA983">
            <v>1000</v>
          </cell>
        </row>
        <row r="984">
          <cell r="A984">
            <v>46196</v>
          </cell>
          <cell r="D984" t="str">
            <v>EASTERN CEBU</v>
          </cell>
          <cell r="E984">
            <v>2</v>
          </cell>
          <cell r="H984" t="str">
            <v>SAFISCOR</v>
          </cell>
          <cell r="N984">
            <v>500</v>
          </cell>
          <cell r="Y984">
            <v>46196</v>
          </cell>
          <cell r="Z984">
            <v>2</v>
          </cell>
          <cell r="AA984">
            <v>1000</v>
          </cell>
        </row>
        <row r="985">
          <cell r="A985">
            <v>46196</v>
          </cell>
          <cell r="D985" t="str">
            <v>LADY OF DIVINE GRACE</v>
          </cell>
          <cell r="E985">
            <v>2</v>
          </cell>
          <cell r="H985" t="str">
            <v>GEO</v>
          </cell>
          <cell r="N985">
            <v>1000</v>
          </cell>
          <cell r="Y985">
            <v>46196</v>
          </cell>
          <cell r="Z985">
            <v>2</v>
          </cell>
          <cell r="AA985">
            <v>500</v>
          </cell>
        </row>
        <row r="986">
          <cell r="A986">
            <v>46196</v>
          </cell>
          <cell r="D986" t="str">
            <v>LADY OF DIVINE GRACE</v>
          </cell>
          <cell r="E986">
            <v>2</v>
          </cell>
          <cell r="H986" t="str">
            <v>GEO</v>
          </cell>
          <cell r="N986">
            <v>1000</v>
          </cell>
          <cell r="Y986">
            <v>46196</v>
          </cell>
          <cell r="Z986">
            <v>2</v>
          </cell>
          <cell r="AA986">
            <v>500</v>
          </cell>
        </row>
        <row r="987">
          <cell r="A987">
            <v>46196</v>
          </cell>
          <cell r="D987" t="str">
            <v>EASTERN CEBU</v>
          </cell>
          <cell r="E987">
            <v>2</v>
          </cell>
          <cell r="H987" t="str">
            <v>BADIE</v>
          </cell>
          <cell r="N987">
            <v>1000</v>
          </cell>
          <cell r="Y987">
            <v>46196</v>
          </cell>
          <cell r="Z987">
            <v>2</v>
          </cell>
          <cell r="AA987">
            <v>1000</v>
          </cell>
        </row>
        <row r="988">
          <cell r="A988">
            <v>46196</v>
          </cell>
          <cell r="D988" t="str">
            <v>INFINITY 8</v>
          </cell>
          <cell r="E988">
            <v>1</v>
          </cell>
          <cell r="H988" t="str">
            <v>SAFISCOR</v>
          </cell>
          <cell r="N988">
            <v>1000</v>
          </cell>
          <cell r="Y988">
            <v>46197</v>
          </cell>
          <cell r="Z988">
            <v>1</v>
          </cell>
          <cell r="AA988">
            <v>1000</v>
          </cell>
        </row>
        <row r="989">
          <cell r="A989">
            <v>46196</v>
          </cell>
          <cell r="D989" t="str">
            <v>LADY OF ROSARY</v>
          </cell>
          <cell r="E989">
            <v>1</v>
          </cell>
          <cell r="H989" t="str">
            <v>SAFISCOR</v>
          </cell>
          <cell r="N989">
            <v>1000</v>
          </cell>
          <cell r="Y989">
            <v>46196</v>
          </cell>
          <cell r="Z989">
            <v>2</v>
          </cell>
          <cell r="AA989">
            <v>1000</v>
          </cell>
        </row>
        <row r="990">
          <cell r="A990">
            <v>46196</v>
          </cell>
          <cell r="D990" t="str">
            <v>EMERALD STAR</v>
          </cell>
          <cell r="E990">
            <v>2</v>
          </cell>
          <cell r="H990" t="str">
            <v>SAFISCOR</v>
          </cell>
          <cell r="N990">
            <v>1000</v>
          </cell>
          <cell r="Y990">
            <v>46197</v>
          </cell>
          <cell r="Z990">
            <v>1</v>
          </cell>
          <cell r="AA990">
            <v>1000</v>
          </cell>
        </row>
        <row r="991">
          <cell r="A991">
            <v>46196</v>
          </cell>
          <cell r="D991" t="str">
            <v>EASTERN CEBU</v>
          </cell>
          <cell r="E991">
            <v>2</v>
          </cell>
          <cell r="H991" t="str">
            <v>SAFISCOR</v>
          </cell>
          <cell r="N991">
            <v>1000</v>
          </cell>
          <cell r="Y991">
            <v>46196</v>
          </cell>
          <cell r="Z991">
            <v>2</v>
          </cell>
          <cell r="AA991">
            <v>1000</v>
          </cell>
        </row>
        <row r="992">
          <cell r="A992">
            <v>46196</v>
          </cell>
          <cell r="D992" t="str">
            <v>EASTERN CEBU</v>
          </cell>
          <cell r="E992">
            <v>2</v>
          </cell>
          <cell r="H992" t="str">
            <v>LAPU-LAPU</v>
          </cell>
          <cell r="N992">
            <v>1000</v>
          </cell>
          <cell r="Y992">
            <v>46196</v>
          </cell>
          <cell r="Z992">
            <v>2</v>
          </cell>
          <cell r="AA992">
            <v>1000</v>
          </cell>
        </row>
        <row r="993">
          <cell r="A993">
            <v>46196</v>
          </cell>
          <cell r="D993" t="str">
            <v>INFINITY 8</v>
          </cell>
          <cell r="E993">
            <v>1</v>
          </cell>
          <cell r="H993" t="str">
            <v>SAFISCOR</v>
          </cell>
          <cell r="N993">
            <v>1000</v>
          </cell>
          <cell r="Y993">
            <v>46197</v>
          </cell>
          <cell r="Z993">
            <v>1</v>
          </cell>
          <cell r="AA993">
            <v>1000</v>
          </cell>
        </row>
        <row r="994">
          <cell r="A994">
            <v>46196</v>
          </cell>
          <cell r="D994" t="str">
            <v>LADY OF ROSARY</v>
          </cell>
          <cell r="E994">
            <v>1</v>
          </cell>
          <cell r="H994" t="str">
            <v>SAFISCOR</v>
          </cell>
          <cell r="N994">
            <v>1000</v>
          </cell>
          <cell r="Y994">
            <v>46197</v>
          </cell>
          <cell r="Z994">
            <v>1</v>
          </cell>
          <cell r="AA994">
            <v>1000</v>
          </cell>
        </row>
        <row r="995">
          <cell r="A995">
            <v>46196</v>
          </cell>
          <cell r="D995" t="str">
            <v>EASTERN CEBU</v>
          </cell>
          <cell r="E995">
            <v>2</v>
          </cell>
          <cell r="H995" t="str">
            <v>SAFISCOR</v>
          </cell>
          <cell r="N995">
            <v>1000</v>
          </cell>
          <cell r="Y995">
            <v>46196</v>
          </cell>
          <cell r="Z995">
            <v>2</v>
          </cell>
          <cell r="AA995">
            <v>1000</v>
          </cell>
        </row>
        <row r="996">
          <cell r="A996">
            <v>46196</v>
          </cell>
          <cell r="D996" t="str">
            <v>LADY OF DIVINE GRACE</v>
          </cell>
          <cell r="E996">
            <v>2</v>
          </cell>
          <cell r="H996" t="str">
            <v>SAFISCOR</v>
          </cell>
          <cell r="N996">
            <v>1000</v>
          </cell>
          <cell r="Y996">
            <v>46196</v>
          </cell>
          <cell r="Z996">
            <v>2</v>
          </cell>
          <cell r="AA996">
            <v>1000</v>
          </cell>
        </row>
        <row r="997">
          <cell r="A997">
            <v>46197</v>
          </cell>
          <cell r="D997" t="str">
            <v>EMERALD STAR</v>
          </cell>
          <cell r="E997">
            <v>2</v>
          </cell>
          <cell r="H997" t="str">
            <v>LAPU-LAPU</v>
          </cell>
          <cell r="N997">
            <v>700</v>
          </cell>
          <cell r="Y997">
            <v>46196</v>
          </cell>
          <cell r="Z997">
            <v>2</v>
          </cell>
          <cell r="AA997">
            <v>1000</v>
          </cell>
        </row>
        <row r="998">
          <cell r="A998">
            <v>46197</v>
          </cell>
          <cell r="D998" t="str">
            <v>EASTERN CEBU</v>
          </cell>
          <cell r="E998">
            <v>2</v>
          </cell>
          <cell r="H998" t="str">
            <v>SAFISCOR</v>
          </cell>
          <cell r="N998">
            <v>300</v>
          </cell>
          <cell r="Y998">
            <v>46196</v>
          </cell>
          <cell r="Z998">
            <v>2</v>
          </cell>
          <cell r="AA998">
            <v>300</v>
          </cell>
        </row>
        <row r="999">
          <cell r="A999">
            <v>46197</v>
          </cell>
          <cell r="D999" t="str">
            <v>LADY OF DIVINE GRACE</v>
          </cell>
          <cell r="E999">
            <v>2</v>
          </cell>
          <cell r="H999" t="str">
            <v>SAFISCOR</v>
          </cell>
          <cell r="N999">
            <v>1000</v>
          </cell>
          <cell r="Y999">
            <v>46197</v>
          </cell>
          <cell r="Z999">
            <v>2</v>
          </cell>
          <cell r="AA999">
            <v>700</v>
          </cell>
        </row>
        <row r="1000">
          <cell r="A1000">
            <v>46197</v>
          </cell>
          <cell r="D1000" t="str">
            <v>LADY OF ROSARY</v>
          </cell>
          <cell r="E1000">
            <v>1</v>
          </cell>
          <cell r="H1000" t="str">
            <v>SAFISCOR</v>
          </cell>
          <cell r="N1000">
            <v>1000</v>
          </cell>
          <cell r="Y1000">
            <v>46197</v>
          </cell>
          <cell r="Z1000">
            <v>1</v>
          </cell>
          <cell r="AA1000">
            <v>300</v>
          </cell>
        </row>
        <row r="1001">
          <cell r="A1001">
            <v>46197</v>
          </cell>
          <cell r="D1001" t="str">
            <v>LADY OF ROSARY</v>
          </cell>
          <cell r="E1001">
            <v>1</v>
          </cell>
          <cell r="H1001" t="str">
            <v>LAPU-LAPU</v>
          </cell>
          <cell r="N1001">
            <v>1000</v>
          </cell>
          <cell r="Y1001">
            <v>46197</v>
          </cell>
          <cell r="Z1001">
            <v>1</v>
          </cell>
          <cell r="AA1001">
            <v>1000</v>
          </cell>
        </row>
        <row r="1002">
          <cell r="A1002">
            <v>46197</v>
          </cell>
          <cell r="D1002" t="str">
            <v>LADY OF ROSARY</v>
          </cell>
          <cell r="E1002">
            <v>1</v>
          </cell>
          <cell r="H1002" t="str">
            <v>LAPU-LAPU</v>
          </cell>
          <cell r="N1002">
            <v>1000</v>
          </cell>
          <cell r="Y1002">
            <v>46197</v>
          </cell>
          <cell r="Z1002">
            <v>1</v>
          </cell>
          <cell r="AA1002">
            <v>1000</v>
          </cell>
        </row>
        <row r="1003">
          <cell r="A1003">
            <v>46197</v>
          </cell>
          <cell r="D1003" t="str">
            <v>LADY OF DIVINE GRACE</v>
          </cell>
          <cell r="E1003">
            <v>2</v>
          </cell>
          <cell r="H1003" t="str">
            <v>SAFISCOR</v>
          </cell>
          <cell r="N1003">
            <v>1000</v>
          </cell>
          <cell r="Y1003">
            <v>46197</v>
          </cell>
          <cell r="Z1003">
            <v>1</v>
          </cell>
          <cell r="AA1003">
            <v>1000</v>
          </cell>
        </row>
        <row r="1004">
          <cell r="A1004">
            <v>46197</v>
          </cell>
          <cell r="D1004" t="str">
            <v>LADY OF DIVINE GRACE</v>
          </cell>
          <cell r="E1004">
            <v>2</v>
          </cell>
          <cell r="H1004" t="str">
            <v>SAFISCOR</v>
          </cell>
          <cell r="N1004">
            <v>1100</v>
          </cell>
          <cell r="Y1004">
            <v>46197</v>
          </cell>
          <cell r="Z1004">
            <v>1</v>
          </cell>
          <cell r="AA1004">
            <v>1000</v>
          </cell>
        </row>
        <row r="1005">
          <cell r="A1005">
            <v>46197</v>
          </cell>
          <cell r="D1005" t="str">
            <v>LADY OF DIVINE GRACE</v>
          </cell>
          <cell r="E1005">
            <v>2</v>
          </cell>
          <cell r="H1005" t="str">
            <v>SAFISCOR</v>
          </cell>
          <cell r="N1005">
            <v>1000</v>
          </cell>
          <cell r="Y1005">
            <v>46197</v>
          </cell>
          <cell r="Z1005">
            <v>1</v>
          </cell>
          <cell r="AA1005">
            <v>1000</v>
          </cell>
        </row>
        <row r="1006">
          <cell r="A1006">
            <v>46197</v>
          </cell>
          <cell r="D1006" t="str">
            <v>ADOLFO SR</v>
          </cell>
          <cell r="E1006">
            <v>2</v>
          </cell>
          <cell r="H1006" t="str">
            <v>GEO</v>
          </cell>
          <cell r="N1006">
            <v>1100</v>
          </cell>
          <cell r="Y1006">
            <v>46197</v>
          </cell>
          <cell r="Z1006">
            <v>1</v>
          </cell>
          <cell r="AA1006">
            <v>1100</v>
          </cell>
        </row>
        <row r="1007">
          <cell r="A1007">
            <v>46197</v>
          </cell>
          <cell r="D1007" t="str">
            <v>ADOLFO SR</v>
          </cell>
          <cell r="E1007">
            <v>2</v>
          </cell>
          <cell r="H1007" t="str">
            <v>SAFISCOR</v>
          </cell>
          <cell r="N1007">
            <v>1000</v>
          </cell>
          <cell r="Y1007">
            <v>46197</v>
          </cell>
          <cell r="Z1007">
            <v>1</v>
          </cell>
          <cell r="AA1007">
            <v>1000</v>
          </cell>
        </row>
        <row r="1008">
          <cell r="A1008">
            <v>46197</v>
          </cell>
          <cell r="D1008" t="str">
            <v>ADOLFO SR</v>
          </cell>
          <cell r="E1008">
            <v>2</v>
          </cell>
          <cell r="H1008" t="str">
            <v>GEO</v>
          </cell>
          <cell r="N1008">
            <v>1000</v>
          </cell>
          <cell r="Y1008">
            <v>46197</v>
          </cell>
          <cell r="Z1008">
            <v>1</v>
          </cell>
          <cell r="AA1008">
            <v>1100</v>
          </cell>
        </row>
        <row r="1009">
          <cell r="A1009">
            <v>46197</v>
          </cell>
          <cell r="D1009" t="str">
            <v>INFINITY 8</v>
          </cell>
          <cell r="E1009">
            <v>1</v>
          </cell>
          <cell r="H1009" t="str">
            <v>BADIE</v>
          </cell>
          <cell r="N1009">
            <v>1000</v>
          </cell>
          <cell r="Y1009">
            <v>46197</v>
          </cell>
          <cell r="Z1009">
            <v>1</v>
          </cell>
          <cell r="AA1009">
            <v>1000</v>
          </cell>
        </row>
        <row r="1010">
          <cell r="A1010">
            <v>46197</v>
          </cell>
          <cell r="D1010" t="str">
            <v>LADY OF ROSARY</v>
          </cell>
          <cell r="E1010">
            <v>1</v>
          </cell>
          <cell r="H1010" t="str">
            <v>SAFISCOR</v>
          </cell>
          <cell r="N1010">
            <v>1000</v>
          </cell>
          <cell r="Y1010">
            <v>46197</v>
          </cell>
          <cell r="Z1010">
            <v>2</v>
          </cell>
          <cell r="AA1010">
            <v>1000</v>
          </cell>
        </row>
        <row r="1011">
          <cell r="A1011">
            <v>46197</v>
          </cell>
          <cell r="D1011" t="str">
            <v>LADY OF ROSARY</v>
          </cell>
          <cell r="E1011">
            <v>1</v>
          </cell>
          <cell r="H1011" t="str">
            <v>SAFISCOR</v>
          </cell>
          <cell r="N1011">
            <v>1000</v>
          </cell>
          <cell r="Y1011">
            <v>46197</v>
          </cell>
          <cell r="Z1011">
            <v>1</v>
          </cell>
          <cell r="AA1011">
            <v>1000</v>
          </cell>
        </row>
        <row r="1012">
          <cell r="A1012">
            <v>46197</v>
          </cell>
          <cell r="D1012" t="str">
            <v>LADY OF ROSARY</v>
          </cell>
          <cell r="E1012">
            <v>1</v>
          </cell>
          <cell r="H1012" t="str">
            <v>LAPU-LAPU</v>
          </cell>
          <cell r="N1012">
            <v>1000</v>
          </cell>
          <cell r="Y1012">
            <v>46197</v>
          </cell>
          <cell r="Z1012">
            <v>2</v>
          </cell>
          <cell r="AA1012">
            <v>1000</v>
          </cell>
        </row>
        <row r="1013">
          <cell r="A1013">
            <v>46197</v>
          </cell>
          <cell r="D1013" t="str">
            <v>LADY OF DIVINE GRACE</v>
          </cell>
          <cell r="E1013">
            <v>2</v>
          </cell>
          <cell r="H1013" t="str">
            <v>APLUS</v>
          </cell>
          <cell r="N1013">
            <v>1000</v>
          </cell>
          <cell r="Y1013">
            <v>46197</v>
          </cell>
          <cell r="Z1013">
            <v>1</v>
          </cell>
          <cell r="AA1013">
            <v>1000</v>
          </cell>
        </row>
        <row r="1014">
          <cell r="A1014">
            <v>46197</v>
          </cell>
          <cell r="D1014" t="str">
            <v>EMERALD STAR</v>
          </cell>
          <cell r="E1014">
            <v>2</v>
          </cell>
          <cell r="H1014" t="str">
            <v>SAFISCOR</v>
          </cell>
          <cell r="N1014">
            <v>1000</v>
          </cell>
          <cell r="Y1014">
            <v>46197</v>
          </cell>
          <cell r="Z1014">
            <v>1</v>
          </cell>
          <cell r="AA1014">
            <v>1000</v>
          </cell>
        </row>
        <row r="1015">
          <cell r="A1015">
            <v>46197</v>
          </cell>
          <cell r="D1015" t="str">
            <v>LADY OF DIVINE GRACE</v>
          </cell>
          <cell r="E1015">
            <v>2</v>
          </cell>
          <cell r="H1015" t="str">
            <v>SAFISCOR</v>
          </cell>
          <cell r="N1015">
            <v>500</v>
          </cell>
          <cell r="Y1015">
            <v>46197</v>
          </cell>
          <cell r="Z1015">
            <v>2</v>
          </cell>
          <cell r="AA1015">
            <v>1000</v>
          </cell>
        </row>
        <row r="1016">
          <cell r="A1016">
            <v>46197</v>
          </cell>
          <cell r="D1016" t="str">
            <v>LADY OF DIVINE GRACE</v>
          </cell>
          <cell r="E1016">
            <v>2</v>
          </cell>
          <cell r="H1016" t="str">
            <v>SAFISCOR</v>
          </cell>
          <cell r="N1016">
            <v>500</v>
          </cell>
          <cell r="Y1016">
            <v>46197</v>
          </cell>
          <cell r="Z1016">
            <v>2</v>
          </cell>
          <cell r="AA1016">
            <v>1000</v>
          </cell>
        </row>
        <row r="1017">
          <cell r="A1017">
            <v>46197</v>
          </cell>
          <cell r="D1017" t="str">
            <v>LADY OF DIVINE GRACE</v>
          </cell>
          <cell r="E1017">
            <v>2</v>
          </cell>
          <cell r="H1017" t="str">
            <v>LAPU-LAPU</v>
          </cell>
          <cell r="N1017">
            <v>1000</v>
          </cell>
          <cell r="Y1017">
            <v>46197</v>
          </cell>
          <cell r="Z1017">
            <v>2</v>
          </cell>
          <cell r="AA1017">
            <v>500</v>
          </cell>
        </row>
        <row r="1018">
          <cell r="A1018">
            <v>46197</v>
          </cell>
          <cell r="D1018" t="str">
            <v>LADY OF DIVINE GRACE</v>
          </cell>
          <cell r="E1018">
            <v>2</v>
          </cell>
          <cell r="H1018" t="str">
            <v>LAPU-LAPU</v>
          </cell>
          <cell r="N1018">
            <v>800</v>
          </cell>
          <cell r="Y1018">
            <v>46197</v>
          </cell>
          <cell r="Z1018">
            <v>2</v>
          </cell>
          <cell r="AA1018">
            <v>500</v>
          </cell>
        </row>
        <row r="1019">
          <cell r="A1019">
            <v>46197</v>
          </cell>
          <cell r="D1019" t="str">
            <v>LADY OF DIVINE GRACE</v>
          </cell>
          <cell r="E1019">
            <v>2</v>
          </cell>
          <cell r="H1019" t="str">
            <v>SAFISCOR</v>
          </cell>
          <cell r="N1019">
            <v>500</v>
          </cell>
          <cell r="Y1019">
            <v>46197</v>
          </cell>
          <cell r="Z1019">
            <v>2</v>
          </cell>
          <cell r="AA1019">
            <v>1000</v>
          </cell>
        </row>
        <row r="1020">
          <cell r="A1020">
            <v>46197</v>
          </cell>
          <cell r="D1020" t="str">
            <v>LADY OF DIVINE GRACE</v>
          </cell>
          <cell r="E1020">
            <v>2</v>
          </cell>
          <cell r="H1020" t="str">
            <v>SAFISCOR</v>
          </cell>
          <cell r="N1020">
            <v>500</v>
          </cell>
          <cell r="Y1020">
            <v>46197</v>
          </cell>
          <cell r="Z1020">
            <v>2</v>
          </cell>
          <cell r="AA1020">
            <v>800</v>
          </cell>
        </row>
        <row r="1021">
          <cell r="A1021">
            <v>46197</v>
          </cell>
          <cell r="D1021" t="str">
            <v>ADOLFO SR</v>
          </cell>
          <cell r="E1021">
            <v>2</v>
          </cell>
          <cell r="H1021" t="str">
            <v>SAFISCOR</v>
          </cell>
          <cell r="N1021">
            <v>200</v>
          </cell>
          <cell r="Y1021">
            <v>46197</v>
          </cell>
          <cell r="Z1021">
            <v>2</v>
          </cell>
          <cell r="AA1021">
            <v>500</v>
          </cell>
        </row>
        <row r="1022">
          <cell r="A1022">
            <v>46197</v>
          </cell>
          <cell r="D1022" t="str">
            <v>ADOLFO SR</v>
          </cell>
          <cell r="E1022">
            <v>2</v>
          </cell>
          <cell r="H1022" t="str">
            <v>SAFISCOR</v>
          </cell>
          <cell r="N1022">
            <v>1000</v>
          </cell>
          <cell r="Y1022">
            <v>46197</v>
          </cell>
          <cell r="Z1022">
            <v>2</v>
          </cell>
          <cell r="AA1022">
            <v>500</v>
          </cell>
        </row>
        <row r="1023">
          <cell r="A1023">
            <v>46197</v>
          </cell>
          <cell r="D1023" t="str">
            <v>INFINITY 8</v>
          </cell>
          <cell r="E1023">
            <v>1</v>
          </cell>
          <cell r="H1023" t="str">
            <v>SAFISCOR</v>
          </cell>
          <cell r="N1023">
            <v>1000</v>
          </cell>
          <cell r="Y1023">
            <v>46197</v>
          </cell>
          <cell r="Z1023">
            <v>1</v>
          </cell>
          <cell r="AA1023">
            <v>200</v>
          </cell>
        </row>
        <row r="1024">
          <cell r="A1024">
            <v>46197</v>
          </cell>
          <cell r="D1024" t="str">
            <v>INFINITY 8</v>
          </cell>
          <cell r="E1024">
            <v>1</v>
          </cell>
          <cell r="H1024" t="str">
            <v>SAFISCOR</v>
          </cell>
          <cell r="N1024">
            <v>1000</v>
          </cell>
          <cell r="Y1024">
            <v>46197</v>
          </cell>
          <cell r="Z1024">
            <v>1</v>
          </cell>
          <cell r="AA1024">
            <v>1000</v>
          </cell>
        </row>
        <row r="1025">
          <cell r="A1025">
            <v>46197</v>
          </cell>
          <cell r="D1025" t="str">
            <v>INFINITY 8</v>
          </cell>
          <cell r="E1025">
            <v>1</v>
          </cell>
          <cell r="H1025" t="str">
            <v>LAPU-LAPU</v>
          </cell>
          <cell r="N1025">
            <v>1000</v>
          </cell>
          <cell r="Y1025">
            <v>46197</v>
          </cell>
          <cell r="Z1025">
            <v>2</v>
          </cell>
          <cell r="AA1025">
            <v>1000</v>
          </cell>
        </row>
        <row r="1026">
          <cell r="A1026">
            <v>46197</v>
          </cell>
          <cell r="D1026" t="str">
            <v>INFINITY 8</v>
          </cell>
          <cell r="E1026">
            <v>1</v>
          </cell>
          <cell r="H1026" t="str">
            <v>SAFISCOR</v>
          </cell>
          <cell r="N1026">
            <v>1000</v>
          </cell>
          <cell r="Y1026">
            <v>46197</v>
          </cell>
          <cell r="Z1026">
            <v>2</v>
          </cell>
          <cell r="AA1026">
            <v>1000</v>
          </cell>
        </row>
        <row r="1027">
          <cell r="A1027">
            <v>46197</v>
          </cell>
          <cell r="D1027" t="str">
            <v>SF JOURNEY</v>
          </cell>
          <cell r="E1027">
            <v>1</v>
          </cell>
          <cell r="H1027" t="str">
            <v>SAFISCOR</v>
          </cell>
          <cell r="N1027">
            <v>1000</v>
          </cell>
          <cell r="Y1027">
            <v>46197</v>
          </cell>
          <cell r="Z1027">
            <v>1</v>
          </cell>
          <cell r="AA1027">
            <v>1000</v>
          </cell>
        </row>
        <row r="1028">
          <cell r="A1028">
            <v>46197</v>
          </cell>
          <cell r="D1028" t="str">
            <v>INFINITY 8</v>
          </cell>
          <cell r="E1028">
            <v>1</v>
          </cell>
          <cell r="H1028" t="str">
            <v>SAFISCOR</v>
          </cell>
          <cell r="N1028">
            <v>1000</v>
          </cell>
          <cell r="Y1028">
            <v>46197</v>
          </cell>
          <cell r="Z1028">
            <v>2</v>
          </cell>
          <cell r="AA1028">
            <v>1000</v>
          </cell>
        </row>
        <row r="1029">
          <cell r="A1029">
            <v>46197</v>
          </cell>
          <cell r="D1029" t="str">
            <v>INFINITY 8</v>
          </cell>
          <cell r="E1029">
            <v>1</v>
          </cell>
          <cell r="H1029" t="str">
            <v>GEO</v>
          </cell>
          <cell r="N1029">
            <v>1000</v>
          </cell>
          <cell r="Y1029">
            <v>46197</v>
          </cell>
          <cell r="Z1029">
            <v>2</v>
          </cell>
          <cell r="AA1029">
            <v>1000</v>
          </cell>
        </row>
        <row r="1030">
          <cell r="A1030">
            <v>46197</v>
          </cell>
          <cell r="D1030" t="str">
            <v>ADOLFO SR</v>
          </cell>
          <cell r="E1030">
            <v>2</v>
          </cell>
          <cell r="H1030" t="str">
            <v>SAFISCOR</v>
          </cell>
          <cell r="N1030">
            <v>1000</v>
          </cell>
          <cell r="Y1030">
            <v>46197</v>
          </cell>
          <cell r="Z1030">
            <v>2</v>
          </cell>
          <cell r="AA1030">
            <v>1000</v>
          </cell>
        </row>
        <row r="1031">
          <cell r="A1031">
            <v>46197</v>
          </cell>
          <cell r="D1031" t="str">
            <v>ADOLFO SR</v>
          </cell>
          <cell r="E1031">
            <v>2</v>
          </cell>
          <cell r="H1031" t="str">
            <v>SAFISCOR</v>
          </cell>
          <cell r="N1031">
            <v>1000</v>
          </cell>
          <cell r="Y1031">
            <v>46197</v>
          </cell>
          <cell r="Z1031">
            <v>2</v>
          </cell>
          <cell r="AA1031">
            <v>1000</v>
          </cell>
        </row>
        <row r="1032">
          <cell r="A1032">
            <v>46197</v>
          </cell>
          <cell r="D1032" t="str">
            <v>LADY OF WISDOM</v>
          </cell>
          <cell r="E1032">
            <v>2</v>
          </cell>
          <cell r="H1032" t="str">
            <v>LAPU-LAPU</v>
          </cell>
          <cell r="N1032">
            <v>1000</v>
          </cell>
          <cell r="Y1032">
            <v>46197</v>
          </cell>
          <cell r="Z1032">
            <v>2</v>
          </cell>
          <cell r="AA1032">
            <v>1000</v>
          </cell>
        </row>
        <row r="1033">
          <cell r="A1033">
            <v>46197</v>
          </cell>
          <cell r="D1033" t="str">
            <v>INFINITY 8</v>
          </cell>
          <cell r="E1033">
            <v>1</v>
          </cell>
          <cell r="H1033" t="str">
            <v>BADIE</v>
          </cell>
          <cell r="N1033">
            <v>1000</v>
          </cell>
          <cell r="Y1033">
            <v>46197</v>
          </cell>
          <cell r="Z1033">
            <v>2</v>
          </cell>
          <cell r="AA1033">
            <v>1000</v>
          </cell>
        </row>
        <row r="1034">
          <cell r="A1034">
            <v>46197</v>
          </cell>
          <cell r="D1034" t="str">
            <v>LADY OF WISDOM</v>
          </cell>
          <cell r="E1034">
            <v>2</v>
          </cell>
          <cell r="H1034" t="str">
            <v>LAPU-LAPU</v>
          </cell>
          <cell r="N1034">
            <v>1000</v>
          </cell>
          <cell r="Y1034">
            <v>46197</v>
          </cell>
          <cell r="Z1034">
            <v>2</v>
          </cell>
          <cell r="AA1034">
            <v>1000</v>
          </cell>
        </row>
        <row r="1035">
          <cell r="A1035">
            <v>46197</v>
          </cell>
          <cell r="D1035" t="str">
            <v>ADOLFO SR</v>
          </cell>
          <cell r="E1035">
            <v>2</v>
          </cell>
          <cell r="H1035" t="str">
            <v>SAFISCOR</v>
          </cell>
          <cell r="N1035">
            <v>1000</v>
          </cell>
          <cell r="Y1035">
            <v>46198</v>
          </cell>
          <cell r="Z1035">
            <v>1</v>
          </cell>
          <cell r="AA1035">
            <v>1000</v>
          </cell>
        </row>
        <row r="1036">
          <cell r="A1036">
            <v>46197</v>
          </cell>
          <cell r="D1036" t="str">
            <v>ADOLFO SR</v>
          </cell>
          <cell r="E1036">
            <v>2</v>
          </cell>
          <cell r="H1036" t="str">
            <v>SAFISCOR</v>
          </cell>
          <cell r="N1036">
            <v>1000</v>
          </cell>
          <cell r="Y1036">
            <v>46198</v>
          </cell>
          <cell r="Z1036">
            <v>1</v>
          </cell>
          <cell r="AA1036">
            <v>1000</v>
          </cell>
        </row>
        <row r="1037">
          <cell r="A1037">
            <v>46197</v>
          </cell>
          <cell r="D1037" t="str">
            <v>ADOLFO SR</v>
          </cell>
          <cell r="E1037">
            <v>2</v>
          </cell>
          <cell r="H1037" t="str">
            <v>SAFISCOR</v>
          </cell>
          <cell r="N1037">
            <v>1000</v>
          </cell>
          <cell r="Y1037">
            <v>46198</v>
          </cell>
          <cell r="Z1037">
            <v>1</v>
          </cell>
          <cell r="AA1037">
            <v>1000</v>
          </cell>
        </row>
        <row r="1038">
          <cell r="A1038">
            <v>46197</v>
          </cell>
          <cell r="D1038" t="str">
            <v>ADOLFO SR</v>
          </cell>
          <cell r="E1038">
            <v>2</v>
          </cell>
          <cell r="H1038" t="str">
            <v>LAPU-LAPU</v>
          </cell>
          <cell r="N1038">
            <v>1000</v>
          </cell>
          <cell r="Y1038">
            <v>46198</v>
          </cell>
          <cell r="Z1038">
            <v>1</v>
          </cell>
          <cell r="AA1038">
            <v>1000</v>
          </cell>
        </row>
        <row r="1039">
          <cell r="A1039">
            <v>46197</v>
          </cell>
          <cell r="D1039" t="str">
            <v>ADOLFO SR</v>
          </cell>
          <cell r="E1039">
            <v>2</v>
          </cell>
          <cell r="H1039" t="str">
            <v>LAPU-LAPU</v>
          </cell>
          <cell r="N1039">
            <v>1000</v>
          </cell>
          <cell r="Y1039">
            <v>46198</v>
          </cell>
          <cell r="Z1039">
            <v>1</v>
          </cell>
          <cell r="AA1039">
            <v>1000</v>
          </cell>
        </row>
        <row r="1040">
          <cell r="A1040">
            <v>46197</v>
          </cell>
          <cell r="D1040" t="str">
            <v>LADY OF WISDOM</v>
          </cell>
          <cell r="E1040">
            <v>2</v>
          </cell>
          <cell r="H1040" t="str">
            <v>SAFISCOR</v>
          </cell>
          <cell r="N1040">
            <v>1000</v>
          </cell>
          <cell r="Y1040">
            <v>46197</v>
          </cell>
          <cell r="Z1040">
            <v>2</v>
          </cell>
          <cell r="AA1040">
            <v>1000</v>
          </cell>
        </row>
        <row r="1041">
          <cell r="A1041">
            <v>46197</v>
          </cell>
          <cell r="D1041" t="str">
            <v>INFINITY 8</v>
          </cell>
          <cell r="E1041">
            <v>1</v>
          </cell>
          <cell r="H1041" t="str">
            <v>LAPU-LAPU</v>
          </cell>
          <cell r="N1041">
            <v>1000</v>
          </cell>
          <cell r="Y1041">
            <v>46197</v>
          </cell>
          <cell r="Z1041">
            <v>2</v>
          </cell>
          <cell r="AA1041">
            <v>1000</v>
          </cell>
        </row>
        <row r="1042">
          <cell r="A1042">
            <v>46197</v>
          </cell>
          <cell r="D1042" t="str">
            <v>SF JOURNEY</v>
          </cell>
          <cell r="E1042">
            <v>1</v>
          </cell>
          <cell r="H1042" t="str">
            <v>SAFISCOR</v>
          </cell>
          <cell r="N1042">
            <v>1000</v>
          </cell>
          <cell r="Y1042">
            <v>46197</v>
          </cell>
          <cell r="Z1042">
            <v>2</v>
          </cell>
          <cell r="AA1042">
            <v>1000</v>
          </cell>
        </row>
        <row r="1043">
          <cell r="A1043">
            <v>46197</v>
          </cell>
          <cell r="D1043" t="str">
            <v>INFINITY 8</v>
          </cell>
          <cell r="E1043">
            <v>1</v>
          </cell>
          <cell r="H1043" t="str">
            <v>GEO</v>
          </cell>
          <cell r="N1043">
            <v>1000</v>
          </cell>
          <cell r="Y1043">
            <v>46197</v>
          </cell>
          <cell r="Z1043">
            <v>2</v>
          </cell>
          <cell r="AA1043">
            <v>1000</v>
          </cell>
        </row>
        <row r="1044">
          <cell r="A1044">
            <v>46197</v>
          </cell>
          <cell r="D1044" t="str">
            <v>LADY OF WISDOM</v>
          </cell>
          <cell r="E1044">
            <v>2</v>
          </cell>
          <cell r="H1044" t="str">
            <v>SAFISCOR</v>
          </cell>
          <cell r="N1044">
            <v>1000</v>
          </cell>
          <cell r="Y1044">
            <v>46197</v>
          </cell>
          <cell r="Z1044">
            <v>2</v>
          </cell>
          <cell r="AA1044">
            <v>1000</v>
          </cell>
        </row>
        <row r="1045">
          <cell r="A1045">
            <v>46197</v>
          </cell>
          <cell r="D1045" t="str">
            <v>INFINITY 8</v>
          </cell>
          <cell r="E1045">
            <v>1</v>
          </cell>
          <cell r="H1045" t="str">
            <v>SAFISCOR</v>
          </cell>
          <cell r="N1045">
            <v>1000</v>
          </cell>
          <cell r="Y1045">
            <v>46197</v>
          </cell>
          <cell r="Z1045">
            <v>2</v>
          </cell>
          <cell r="AA1045">
            <v>1000</v>
          </cell>
        </row>
        <row r="1046">
          <cell r="A1046">
            <v>46197</v>
          </cell>
          <cell r="D1046" t="str">
            <v>LADY OF WISDOM</v>
          </cell>
          <cell r="E1046">
            <v>2</v>
          </cell>
          <cell r="H1046" t="str">
            <v>SAFISCOR</v>
          </cell>
          <cell r="N1046">
            <v>1000</v>
          </cell>
          <cell r="Y1046">
            <v>46197</v>
          </cell>
          <cell r="Z1046">
            <v>2</v>
          </cell>
          <cell r="AA1046">
            <v>1000</v>
          </cell>
        </row>
        <row r="1047">
          <cell r="A1047">
            <v>46197</v>
          </cell>
          <cell r="D1047" t="str">
            <v>ADOLFO SR</v>
          </cell>
          <cell r="E1047">
            <v>2</v>
          </cell>
          <cell r="H1047" t="str">
            <v>SAFISCOR</v>
          </cell>
          <cell r="N1047">
            <v>1000</v>
          </cell>
          <cell r="Y1047">
            <v>46197</v>
          </cell>
          <cell r="Z1047">
            <v>2</v>
          </cell>
          <cell r="AA1047">
            <v>1000</v>
          </cell>
        </row>
        <row r="1048">
          <cell r="A1048">
            <v>46197</v>
          </cell>
          <cell r="D1048" t="str">
            <v>ADOLFO SR</v>
          </cell>
          <cell r="E1048">
            <v>2</v>
          </cell>
          <cell r="H1048" t="str">
            <v>LAPU-LAPU</v>
          </cell>
          <cell r="N1048">
            <v>1000</v>
          </cell>
          <cell r="Y1048">
            <v>46197</v>
          </cell>
          <cell r="Z1048">
            <v>2</v>
          </cell>
          <cell r="AA1048">
            <v>1000</v>
          </cell>
        </row>
        <row r="1049">
          <cell r="A1049">
            <v>46197</v>
          </cell>
          <cell r="D1049" t="str">
            <v>ADOLFO SR</v>
          </cell>
          <cell r="E1049">
            <v>2</v>
          </cell>
          <cell r="H1049" t="str">
            <v>SAFISCOR</v>
          </cell>
          <cell r="N1049">
            <v>1000</v>
          </cell>
          <cell r="Y1049">
            <v>46197</v>
          </cell>
          <cell r="Z1049">
            <v>2</v>
          </cell>
          <cell r="AA1049">
            <v>1000</v>
          </cell>
        </row>
        <row r="1050">
          <cell r="A1050">
            <v>46197</v>
          </cell>
          <cell r="D1050" t="str">
            <v>INFINITY 8</v>
          </cell>
          <cell r="E1050">
            <v>1</v>
          </cell>
          <cell r="H1050" t="str">
            <v>BADIE</v>
          </cell>
          <cell r="N1050">
            <v>1000</v>
          </cell>
          <cell r="Y1050">
            <v>46197</v>
          </cell>
          <cell r="Z1050">
            <v>2</v>
          </cell>
          <cell r="AA1050">
            <v>1000</v>
          </cell>
        </row>
        <row r="1051">
          <cell r="A1051">
            <v>46197</v>
          </cell>
          <cell r="D1051" t="str">
            <v>INFINITY 8</v>
          </cell>
          <cell r="E1051">
            <v>1</v>
          </cell>
          <cell r="H1051" t="str">
            <v>SAFISCOR</v>
          </cell>
          <cell r="N1051">
            <v>1000</v>
          </cell>
          <cell r="Y1051">
            <v>46197</v>
          </cell>
          <cell r="Z1051">
            <v>2</v>
          </cell>
          <cell r="AA1051">
            <v>1000</v>
          </cell>
        </row>
        <row r="1052">
          <cell r="A1052">
            <v>46197</v>
          </cell>
          <cell r="D1052" t="str">
            <v>LADY OF WISDOM</v>
          </cell>
          <cell r="E1052">
            <v>2</v>
          </cell>
          <cell r="H1052" t="str">
            <v>SAFISCOR</v>
          </cell>
          <cell r="N1052">
            <v>1000</v>
          </cell>
          <cell r="Y1052">
            <v>46197</v>
          </cell>
          <cell r="Z1052">
            <v>2</v>
          </cell>
          <cell r="AA1052">
            <v>1000</v>
          </cell>
        </row>
        <row r="1053">
          <cell r="A1053">
            <v>46197</v>
          </cell>
          <cell r="D1053" t="str">
            <v>LADY OF WISDOM</v>
          </cell>
          <cell r="E1053">
            <v>2</v>
          </cell>
          <cell r="H1053" t="str">
            <v>SAFISCOR</v>
          </cell>
          <cell r="N1053">
            <v>1000</v>
          </cell>
          <cell r="Y1053">
            <v>46198</v>
          </cell>
          <cell r="Z1053">
            <v>1</v>
          </cell>
          <cell r="AA1053">
            <v>1000</v>
          </cell>
        </row>
        <row r="1054">
          <cell r="A1054">
            <v>46197</v>
          </cell>
          <cell r="D1054" t="str">
            <v>LADY OF WISDOM</v>
          </cell>
          <cell r="E1054">
            <v>2</v>
          </cell>
          <cell r="H1054" t="str">
            <v>SAFISCOR</v>
          </cell>
          <cell r="N1054">
            <v>1000</v>
          </cell>
          <cell r="Y1054">
            <v>46198</v>
          </cell>
          <cell r="Z1054">
            <v>1</v>
          </cell>
          <cell r="AA1054">
            <v>1000</v>
          </cell>
        </row>
        <row r="1055">
          <cell r="A1055">
            <v>46198</v>
          </cell>
          <cell r="D1055" t="str">
            <v>LADY OF WISDOM</v>
          </cell>
          <cell r="E1055">
            <v>2</v>
          </cell>
          <cell r="H1055" t="str">
            <v>SAFISCOR</v>
          </cell>
          <cell r="N1055">
            <v>1000</v>
          </cell>
          <cell r="Y1055">
            <v>46198</v>
          </cell>
          <cell r="Z1055">
            <v>1</v>
          </cell>
          <cell r="AA1055">
            <v>1000</v>
          </cell>
        </row>
        <row r="1056">
          <cell r="A1056">
            <v>46198</v>
          </cell>
          <cell r="D1056" t="str">
            <v>LADY OF WISDOM</v>
          </cell>
          <cell r="E1056">
            <v>2</v>
          </cell>
          <cell r="H1056" t="str">
            <v>SAFISCOR</v>
          </cell>
          <cell r="N1056">
            <v>1000</v>
          </cell>
          <cell r="Y1056">
            <v>46197</v>
          </cell>
          <cell r="Z1056">
            <v>2</v>
          </cell>
          <cell r="AA1056">
            <v>1000</v>
          </cell>
        </row>
        <row r="1057">
          <cell r="A1057">
            <v>46198</v>
          </cell>
          <cell r="D1057" t="str">
            <v>LADY OF WISDOM</v>
          </cell>
          <cell r="E1057">
            <v>2</v>
          </cell>
          <cell r="H1057" t="str">
            <v>SAFISCOR</v>
          </cell>
          <cell r="N1057">
            <v>1000</v>
          </cell>
          <cell r="Y1057">
            <v>46198</v>
          </cell>
          <cell r="Z1057">
            <v>1</v>
          </cell>
          <cell r="AA1057">
            <v>1000</v>
          </cell>
        </row>
        <row r="1058">
          <cell r="A1058">
            <v>46198</v>
          </cell>
          <cell r="D1058" t="str">
            <v>LADY OF WISDOM</v>
          </cell>
          <cell r="E1058">
            <v>2</v>
          </cell>
          <cell r="H1058" t="str">
            <v>GEO</v>
          </cell>
          <cell r="N1058">
            <v>500</v>
          </cell>
          <cell r="Y1058">
            <v>46198</v>
          </cell>
          <cell r="Z1058">
            <v>1</v>
          </cell>
          <cell r="AA1058">
            <v>1000</v>
          </cell>
        </row>
        <row r="1059">
          <cell r="A1059">
            <v>46198</v>
          </cell>
          <cell r="D1059" t="str">
            <v>INFINITY 8</v>
          </cell>
          <cell r="E1059">
            <v>1</v>
          </cell>
          <cell r="H1059" t="str">
            <v>GEO</v>
          </cell>
          <cell r="N1059">
            <v>1000</v>
          </cell>
          <cell r="Y1059">
            <v>46198</v>
          </cell>
          <cell r="Z1059">
            <v>1</v>
          </cell>
          <cell r="AA1059">
            <v>1000</v>
          </cell>
        </row>
        <row r="1060">
          <cell r="A1060">
            <v>46198</v>
          </cell>
          <cell r="D1060" t="str">
            <v>ADOLFO SR</v>
          </cell>
          <cell r="E1060">
            <v>2</v>
          </cell>
          <cell r="H1060" t="str">
            <v>SAFISCOR</v>
          </cell>
          <cell r="N1060">
            <v>1000</v>
          </cell>
          <cell r="Y1060">
            <v>46198</v>
          </cell>
          <cell r="Z1060">
            <v>1</v>
          </cell>
          <cell r="AA1060">
            <v>500</v>
          </cell>
        </row>
        <row r="1061">
          <cell r="A1061">
            <v>46198</v>
          </cell>
          <cell r="D1061" t="str">
            <v>LADY OF WISDOM</v>
          </cell>
          <cell r="E1061">
            <v>2</v>
          </cell>
          <cell r="H1061" t="str">
            <v>SAFISCOR</v>
          </cell>
          <cell r="N1061">
            <v>1000</v>
          </cell>
          <cell r="Y1061">
            <v>46198</v>
          </cell>
          <cell r="Z1061">
            <v>1</v>
          </cell>
          <cell r="AA1061">
            <v>1000</v>
          </cell>
        </row>
        <row r="1062">
          <cell r="A1062">
            <v>46198</v>
          </cell>
          <cell r="D1062" t="str">
            <v>LADY OF WISDOM</v>
          </cell>
          <cell r="E1062">
            <v>2</v>
          </cell>
          <cell r="H1062" t="str">
            <v>SAFISCOR</v>
          </cell>
          <cell r="N1062">
            <v>1000</v>
          </cell>
          <cell r="Y1062">
            <v>46198</v>
          </cell>
          <cell r="Z1062">
            <v>2</v>
          </cell>
          <cell r="AA1062">
            <v>1000</v>
          </cell>
        </row>
        <row r="1063">
          <cell r="A1063">
            <v>46198</v>
          </cell>
          <cell r="D1063" t="str">
            <v>LADY OF WISDOM</v>
          </cell>
          <cell r="E1063">
            <v>2</v>
          </cell>
          <cell r="H1063" t="str">
            <v>SAFISCOR</v>
          </cell>
          <cell r="N1063">
            <v>1000</v>
          </cell>
          <cell r="Y1063">
            <v>46198</v>
          </cell>
          <cell r="Z1063">
            <v>1</v>
          </cell>
          <cell r="AA1063">
            <v>1000</v>
          </cell>
        </row>
        <row r="1064">
          <cell r="A1064">
            <v>46198</v>
          </cell>
          <cell r="D1064" t="str">
            <v>INFINITY 8</v>
          </cell>
          <cell r="E1064">
            <v>1</v>
          </cell>
          <cell r="H1064" t="str">
            <v>LAPU-LAPU</v>
          </cell>
          <cell r="N1064">
            <v>1000</v>
          </cell>
          <cell r="Y1064">
            <v>46198</v>
          </cell>
          <cell r="Z1064">
            <v>1</v>
          </cell>
          <cell r="AA1064">
            <v>1000</v>
          </cell>
        </row>
        <row r="1065">
          <cell r="A1065">
            <v>46198</v>
          </cell>
          <cell r="D1065" t="str">
            <v>INFINITY 8</v>
          </cell>
          <cell r="E1065">
            <v>1</v>
          </cell>
          <cell r="H1065" t="str">
            <v>GEO</v>
          </cell>
          <cell r="N1065">
            <v>1000</v>
          </cell>
          <cell r="Y1065">
            <v>46198</v>
          </cell>
          <cell r="Z1065">
            <v>1</v>
          </cell>
          <cell r="AA1065">
            <v>1000</v>
          </cell>
        </row>
        <row r="1066">
          <cell r="A1066">
            <v>46198</v>
          </cell>
          <cell r="D1066" t="str">
            <v>INFINITY 8</v>
          </cell>
          <cell r="E1066">
            <v>1</v>
          </cell>
          <cell r="H1066" t="str">
            <v>LAPU-LAPU</v>
          </cell>
          <cell r="N1066">
            <v>500</v>
          </cell>
          <cell r="Y1066">
            <v>46198</v>
          </cell>
          <cell r="Z1066">
            <v>1</v>
          </cell>
          <cell r="AA1066">
            <v>1000</v>
          </cell>
        </row>
        <row r="1067">
          <cell r="A1067">
            <v>46198</v>
          </cell>
          <cell r="D1067" t="str">
            <v>INFINITY 8</v>
          </cell>
          <cell r="E1067">
            <v>1</v>
          </cell>
          <cell r="H1067" t="str">
            <v>APLUS</v>
          </cell>
          <cell r="N1067">
            <v>1000</v>
          </cell>
          <cell r="Y1067">
            <v>46198</v>
          </cell>
          <cell r="Z1067">
            <v>1</v>
          </cell>
          <cell r="AA1067">
            <v>1000</v>
          </cell>
        </row>
        <row r="1068">
          <cell r="A1068">
            <v>46198</v>
          </cell>
          <cell r="D1068" t="str">
            <v>INFINITY 8</v>
          </cell>
          <cell r="E1068">
            <v>1</v>
          </cell>
          <cell r="H1068" t="str">
            <v>SAFISCOR</v>
          </cell>
          <cell r="N1068">
            <v>1000</v>
          </cell>
          <cell r="Y1068">
            <v>46198</v>
          </cell>
          <cell r="Z1068">
            <v>1</v>
          </cell>
          <cell r="AA1068">
            <v>500</v>
          </cell>
        </row>
        <row r="1069">
          <cell r="A1069">
            <v>46198</v>
          </cell>
          <cell r="D1069" t="str">
            <v>INFINITY 8</v>
          </cell>
          <cell r="E1069">
            <v>1</v>
          </cell>
          <cell r="H1069" t="str">
            <v>SAFISCOR</v>
          </cell>
          <cell r="N1069">
            <v>1000</v>
          </cell>
          <cell r="Y1069">
            <v>46198</v>
          </cell>
          <cell r="Z1069">
            <v>1</v>
          </cell>
          <cell r="AA1069">
            <v>1000</v>
          </cell>
        </row>
        <row r="1070">
          <cell r="A1070">
            <v>46198</v>
          </cell>
          <cell r="D1070" t="str">
            <v>QUEEN CAROLYN</v>
          </cell>
          <cell r="E1070">
            <v>2</v>
          </cell>
          <cell r="H1070" t="str">
            <v>SAFISCOR</v>
          </cell>
          <cell r="N1070">
            <v>1000</v>
          </cell>
          <cell r="Y1070">
            <v>46198</v>
          </cell>
          <cell r="Z1070">
            <v>2</v>
          </cell>
          <cell r="AA1070">
            <v>1000</v>
          </cell>
        </row>
        <row r="1071">
          <cell r="A1071">
            <v>46198</v>
          </cell>
          <cell r="D1071" t="str">
            <v>QUEEN CAROLYN</v>
          </cell>
          <cell r="E1071">
            <v>2</v>
          </cell>
          <cell r="H1071" t="str">
            <v>LAPU-LAPU</v>
          </cell>
          <cell r="N1071">
            <v>1000</v>
          </cell>
          <cell r="Y1071">
            <v>46198</v>
          </cell>
          <cell r="Z1071">
            <v>1</v>
          </cell>
          <cell r="AA1071">
            <v>1000</v>
          </cell>
        </row>
        <row r="1072">
          <cell r="A1072">
            <v>46198</v>
          </cell>
          <cell r="D1072" t="str">
            <v>QUEEN CAROLYN</v>
          </cell>
          <cell r="E1072">
            <v>2</v>
          </cell>
          <cell r="H1072" t="str">
            <v>GEO</v>
          </cell>
          <cell r="N1072">
            <v>1000</v>
          </cell>
          <cell r="Y1072">
            <v>46198</v>
          </cell>
          <cell r="Z1072">
            <v>1</v>
          </cell>
          <cell r="AA1072">
            <v>1000</v>
          </cell>
        </row>
        <row r="1073">
          <cell r="A1073">
            <v>46198</v>
          </cell>
          <cell r="D1073" t="str">
            <v>QUEEN CAROLYN</v>
          </cell>
          <cell r="E1073">
            <v>2</v>
          </cell>
          <cell r="H1073" t="str">
            <v>SAFISCOR</v>
          </cell>
          <cell r="N1073">
            <v>1000</v>
          </cell>
          <cell r="Y1073">
            <v>46198</v>
          </cell>
          <cell r="Z1073">
            <v>1</v>
          </cell>
          <cell r="AA1073">
            <v>1000</v>
          </cell>
        </row>
        <row r="1074">
          <cell r="A1074">
            <v>46198</v>
          </cell>
          <cell r="D1074" t="str">
            <v>LADY OF WISDOM</v>
          </cell>
          <cell r="E1074">
            <v>2</v>
          </cell>
          <cell r="H1074" t="str">
            <v>SAFISCOR</v>
          </cell>
          <cell r="N1074">
            <v>1000</v>
          </cell>
          <cell r="Y1074">
            <v>46198</v>
          </cell>
          <cell r="Z1074">
            <v>1</v>
          </cell>
          <cell r="AA1074">
            <v>1000</v>
          </cell>
        </row>
        <row r="1075">
          <cell r="A1075">
            <v>46198</v>
          </cell>
          <cell r="D1075" t="str">
            <v>QUEEN CAROLYN</v>
          </cell>
          <cell r="E1075">
            <v>2</v>
          </cell>
          <cell r="H1075" t="str">
            <v>SAFISCOR</v>
          </cell>
          <cell r="N1075">
            <v>1000</v>
          </cell>
          <cell r="Y1075">
            <v>46199</v>
          </cell>
          <cell r="Z1075">
            <v>2</v>
          </cell>
          <cell r="AA1075">
            <v>1000</v>
          </cell>
        </row>
        <row r="1076">
          <cell r="A1076">
            <v>46198</v>
          </cell>
          <cell r="D1076" t="str">
            <v>LADY OF WISDOM</v>
          </cell>
          <cell r="E1076">
            <v>2</v>
          </cell>
          <cell r="H1076" t="str">
            <v>SAFISCOR</v>
          </cell>
          <cell r="N1076">
            <v>1000</v>
          </cell>
          <cell r="Y1076">
            <v>46198</v>
          </cell>
          <cell r="Z1076">
            <v>2</v>
          </cell>
          <cell r="AA1076">
            <v>1000</v>
          </cell>
        </row>
        <row r="1077">
          <cell r="A1077">
            <v>46198</v>
          </cell>
          <cell r="D1077" t="str">
            <v>QUEEN CAROLYN</v>
          </cell>
          <cell r="E1077">
            <v>2</v>
          </cell>
          <cell r="H1077" t="str">
            <v>GEO</v>
          </cell>
          <cell r="N1077">
            <v>1000</v>
          </cell>
          <cell r="Y1077">
            <v>46198</v>
          </cell>
          <cell r="Z1077">
            <v>1</v>
          </cell>
          <cell r="AA1077">
            <v>1000</v>
          </cell>
        </row>
        <row r="1078">
          <cell r="A1078">
            <v>46198</v>
          </cell>
          <cell r="D1078" t="str">
            <v>INFINITY 8</v>
          </cell>
          <cell r="E1078">
            <v>1</v>
          </cell>
          <cell r="H1078" t="str">
            <v>BADIE</v>
          </cell>
          <cell r="N1078">
            <v>1000</v>
          </cell>
          <cell r="Y1078">
            <v>46198</v>
          </cell>
          <cell r="Z1078">
            <v>1</v>
          </cell>
          <cell r="AA1078">
            <v>1000</v>
          </cell>
        </row>
        <row r="1079">
          <cell r="A1079">
            <v>46198</v>
          </cell>
          <cell r="D1079" t="str">
            <v>QUEEN CAROLYN</v>
          </cell>
          <cell r="E1079">
            <v>2</v>
          </cell>
          <cell r="H1079" t="str">
            <v>APLUS</v>
          </cell>
          <cell r="N1079">
            <v>1000</v>
          </cell>
          <cell r="Y1079">
            <v>46198</v>
          </cell>
          <cell r="Z1079">
            <v>1</v>
          </cell>
          <cell r="AA1079">
            <v>1000</v>
          </cell>
        </row>
        <row r="1080">
          <cell r="A1080">
            <v>46198</v>
          </cell>
          <cell r="D1080" t="str">
            <v>INFINITY 8</v>
          </cell>
          <cell r="E1080">
            <v>1</v>
          </cell>
          <cell r="H1080" t="str">
            <v>SAFISCOR</v>
          </cell>
          <cell r="N1080">
            <v>1000</v>
          </cell>
          <cell r="Y1080">
            <v>46198</v>
          </cell>
          <cell r="Z1080">
            <v>1</v>
          </cell>
          <cell r="AA1080">
            <v>1000</v>
          </cell>
        </row>
        <row r="1081">
          <cell r="A1081">
            <v>46198</v>
          </cell>
          <cell r="D1081" t="str">
            <v>INFINITY 8</v>
          </cell>
          <cell r="E1081">
            <v>1</v>
          </cell>
          <cell r="H1081" t="str">
            <v>SAFISCOR</v>
          </cell>
          <cell r="N1081">
            <v>300</v>
          </cell>
          <cell r="Y1081">
            <v>46198</v>
          </cell>
          <cell r="Z1081">
            <v>1</v>
          </cell>
          <cell r="AA1081">
            <v>1000</v>
          </cell>
        </row>
        <row r="1082">
          <cell r="A1082">
            <v>46198</v>
          </cell>
          <cell r="D1082" t="str">
            <v>QUEEN CAROLYN</v>
          </cell>
          <cell r="E1082">
            <v>2</v>
          </cell>
          <cell r="H1082" t="str">
            <v>SAFISCOR</v>
          </cell>
          <cell r="N1082">
            <v>700</v>
          </cell>
          <cell r="Y1082">
            <v>46199</v>
          </cell>
          <cell r="Z1082">
            <v>2</v>
          </cell>
          <cell r="AA1082">
            <v>1000</v>
          </cell>
        </row>
        <row r="1083">
          <cell r="A1083">
            <v>46198</v>
          </cell>
          <cell r="D1083" t="str">
            <v>INFINITY 8</v>
          </cell>
          <cell r="E1083">
            <v>1</v>
          </cell>
          <cell r="H1083" t="str">
            <v>SAFISCOR</v>
          </cell>
          <cell r="N1083">
            <v>1000</v>
          </cell>
          <cell r="Y1083">
            <v>46198</v>
          </cell>
          <cell r="Z1083">
            <v>1</v>
          </cell>
          <cell r="AA1083">
            <v>300</v>
          </cell>
        </row>
        <row r="1084">
          <cell r="A1084">
            <v>46198</v>
          </cell>
          <cell r="D1084" t="str">
            <v>INFINITY 8</v>
          </cell>
          <cell r="E1084">
            <v>1</v>
          </cell>
          <cell r="H1084" t="str">
            <v>SAFISCOR</v>
          </cell>
          <cell r="N1084">
            <v>1000</v>
          </cell>
          <cell r="Y1084">
            <v>46198</v>
          </cell>
          <cell r="Z1084">
            <v>1</v>
          </cell>
          <cell r="AA1084">
            <v>700</v>
          </cell>
        </row>
        <row r="1085">
          <cell r="A1085">
            <v>46198</v>
          </cell>
          <cell r="D1085" t="str">
            <v>ADOLFO SR</v>
          </cell>
          <cell r="E1085">
            <v>2</v>
          </cell>
          <cell r="H1085" t="str">
            <v>SAFISCOR</v>
          </cell>
          <cell r="N1085">
            <v>1000</v>
          </cell>
          <cell r="Y1085">
            <v>46198</v>
          </cell>
          <cell r="Z1085">
            <v>1</v>
          </cell>
          <cell r="AA1085">
            <v>1000</v>
          </cell>
        </row>
        <row r="1086">
          <cell r="A1086">
            <v>46198</v>
          </cell>
          <cell r="D1086" t="str">
            <v>ADOLFO SR</v>
          </cell>
          <cell r="E1086">
            <v>2</v>
          </cell>
          <cell r="H1086" t="str">
            <v>LAPU-LAPU</v>
          </cell>
          <cell r="N1086">
            <v>1000</v>
          </cell>
          <cell r="Y1086">
            <v>46198</v>
          </cell>
          <cell r="Z1086">
            <v>2</v>
          </cell>
          <cell r="AA1086">
            <v>1000</v>
          </cell>
        </row>
        <row r="1087">
          <cell r="A1087">
            <v>46198</v>
          </cell>
          <cell r="D1087" t="str">
            <v>INFINITY 8</v>
          </cell>
          <cell r="E1087">
            <v>1</v>
          </cell>
          <cell r="H1087" t="str">
            <v>SAFISCOR</v>
          </cell>
          <cell r="N1087">
            <v>1000</v>
          </cell>
          <cell r="Y1087">
            <v>46198</v>
          </cell>
          <cell r="Z1087">
            <v>2</v>
          </cell>
          <cell r="AA1087">
            <v>1000</v>
          </cell>
        </row>
        <row r="1088">
          <cell r="A1088">
            <v>46198</v>
          </cell>
          <cell r="D1088" t="str">
            <v>LADY OF WISDOM</v>
          </cell>
          <cell r="E1088">
            <v>2</v>
          </cell>
          <cell r="H1088" t="str">
            <v>LAPU-LAPU</v>
          </cell>
          <cell r="N1088">
            <v>1000</v>
          </cell>
          <cell r="Y1088">
            <v>46198</v>
          </cell>
          <cell r="Z1088">
            <v>2</v>
          </cell>
          <cell r="AA1088">
            <v>1000</v>
          </cell>
        </row>
        <row r="1089">
          <cell r="A1089">
            <v>46198</v>
          </cell>
          <cell r="D1089" t="str">
            <v>QUEEN CAROLYN</v>
          </cell>
          <cell r="E1089">
            <v>2</v>
          </cell>
          <cell r="H1089" t="str">
            <v>BADIE</v>
          </cell>
          <cell r="N1089">
            <v>1000</v>
          </cell>
          <cell r="Y1089">
            <v>46198</v>
          </cell>
          <cell r="Z1089">
            <v>2</v>
          </cell>
          <cell r="AA1089">
            <v>1000</v>
          </cell>
        </row>
        <row r="1090">
          <cell r="A1090">
            <v>46198</v>
          </cell>
          <cell r="D1090" t="str">
            <v>QUEEN CAROLYN</v>
          </cell>
          <cell r="E1090">
            <v>2</v>
          </cell>
          <cell r="H1090" t="str">
            <v>LAPU-LAPU</v>
          </cell>
          <cell r="N1090">
            <v>1000</v>
          </cell>
          <cell r="Y1090">
            <v>46198</v>
          </cell>
          <cell r="Z1090">
            <v>2</v>
          </cell>
          <cell r="AA1090">
            <v>1000</v>
          </cell>
        </row>
        <row r="1091">
          <cell r="A1091">
            <v>46198</v>
          </cell>
          <cell r="D1091" t="str">
            <v>QUEEN CAROLYN</v>
          </cell>
          <cell r="E1091">
            <v>2</v>
          </cell>
          <cell r="H1091" t="str">
            <v>GEO</v>
          </cell>
          <cell r="N1091">
            <v>1000</v>
          </cell>
          <cell r="Y1091">
            <v>46198</v>
          </cell>
          <cell r="Z1091">
            <v>2</v>
          </cell>
          <cell r="AA1091">
            <v>1000</v>
          </cell>
        </row>
        <row r="1092">
          <cell r="A1092">
            <v>46198</v>
          </cell>
          <cell r="D1092" t="str">
            <v>QUEEN CAROLYN</v>
          </cell>
          <cell r="E1092">
            <v>2</v>
          </cell>
          <cell r="H1092" t="str">
            <v>APLUS</v>
          </cell>
          <cell r="N1092">
            <v>1000</v>
          </cell>
          <cell r="Y1092">
            <v>46198</v>
          </cell>
          <cell r="Z1092">
            <v>2</v>
          </cell>
          <cell r="AA1092">
            <v>1000</v>
          </cell>
        </row>
        <row r="1093">
          <cell r="A1093">
            <v>46198</v>
          </cell>
          <cell r="D1093" t="str">
            <v>QUEEN CAROLYN</v>
          </cell>
          <cell r="E1093">
            <v>2</v>
          </cell>
          <cell r="H1093" t="str">
            <v>SAFISCOR</v>
          </cell>
          <cell r="N1093">
            <v>1000</v>
          </cell>
          <cell r="Y1093">
            <v>46199</v>
          </cell>
          <cell r="Z1093">
            <v>2</v>
          </cell>
          <cell r="AA1093">
            <v>1000</v>
          </cell>
        </row>
        <row r="1094">
          <cell r="A1094">
            <v>46198</v>
          </cell>
          <cell r="D1094" t="str">
            <v>INFINITY 8</v>
          </cell>
          <cell r="E1094">
            <v>1</v>
          </cell>
          <cell r="H1094" t="str">
            <v>LAPU-LAPU</v>
          </cell>
          <cell r="N1094">
            <v>500</v>
          </cell>
          <cell r="Y1094">
            <v>46198</v>
          </cell>
          <cell r="Z1094">
            <v>2</v>
          </cell>
          <cell r="AA1094">
            <v>1000</v>
          </cell>
        </row>
        <row r="1095">
          <cell r="A1095">
            <v>46198</v>
          </cell>
          <cell r="D1095" t="str">
            <v>QUEEN CAROLYN</v>
          </cell>
          <cell r="E1095">
            <v>2</v>
          </cell>
          <cell r="H1095" t="str">
            <v>SAFISCOR</v>
          </cell>
          <cell r="N1095">
            <v>500</v>
          </cell>
          <cell r="Y1095">
            <v>46199</v>
          </cell>
          <cell r="Z1095">
            <v>2</v>
          </cell>
          <cell r="AA1095">
            <v>1000</v>
          </cell>
        </row>
        <row r="1096">
          <cell r="A1096">
            <v>46198</v>
          </cell>
          <cell r="D1096" t="str">
            <v>QUEEN CAROLYN</v>
          </cell>
          <cell r="E1096">
            <v>2</v>
          </cell>
          <cell r="H1096" t="str">
            <v>SAFISCOR</v>
          </cell>
          <cell r="N1096">
            <v>1000</v>
          </cell>
          <cell r="Y1096">
            <v>46199</v>
          </cell>
          <cell r="Z1096">
            <v>2</v>
          </cell>
          <cell r="AA1096">
            <v>500</v>
          </cell>
        </row>
        <row r="1097">
          <cell r="A1097">
            <v>46198</v>
          </cell>
          <cell r="D1097" t="str">
            <v>QUEEN CAROLYN</v>
          </cell>
          <cell r="E1097">
            <v>2</v>
          </cell>
          <cell r="H1097" t="str">
            <v>SAFISCOR</v>
          </cell>
          <cell r="N1097">
            <v>1000</v>
          </cell>
          <cell r="Y1097">
            <v>46199</v>
          </cell>
          <cell r="Z1097">
            <v>2</v>
          </cell>
          <cell r="AA1097">
            <v>500</v>
          </cell>
        </row>
        <row r="1098">
          <cell r="A1098">
            <v>46198</v>
          </cell>
          <cell r="D1098" t="str">
            <v>QUEEN CAROLYN</v>
          </cell>
          <cell r="E1098">
            <v>2</v>
          </cell>
          <cell r="H1098" t="str">
            <v>SAFISCOR</v>
          </cell>
          <cell r="N1098">
            <v>1000</v>
          </cell>
          <cell r="Y1098">
            <v>46199</v>
          </cell>
          <cell r="Z1098">
            <v>2</v>
          </cell>
          <cell r="AA1098">
            <v>1000</v>
          </cell>
        </row>
        <row r="1099">
          <cell r="A1099">
            <v>46198</v>
          </cell>
          <cell r="D1099" t="str">
            <v>QUEEN CAROLYN</v>
          </cell>
          <cell r="E1099">
            <v>2</v>
          </cell>
          <cell r="H1099" t="str">
            <v>SAFISCOR</v>
          </cell>
          <cell r="N1099">
            <v>1000</v>
          </cell>
          <cell r="Y1099">
            <v>46199</v>
          </cell>
          <cell r="Z1099">
            <v>2</v>
          </cell>
          <cell r="AA1099">
            <v>1000</v>
          </cell>
        </row>
        <row r="1100">
          <cell r="A1100">
            <v>46198</v>
          </cell>
          <cell r="D1100" t="str">
            <v>QUEEN CAROLYN</v>
          </cell>
          <cell r="E1100">
            <v>2</v>
          </cell>
          <cell r="H1100" t="str">
            <v>SAFISCOR</v>
          </cell>
          <cell r="N1100">
            <v>1000</v>
          </cell>
          <cell r="Y1100">
            <v>46199</v>
          </cell>
          <cell r="Z1100">
            <v>1</v>
          </cell>
          <cell r="AA1100">
            <v>1000</v>
          </cell>
        </row>
        <row r="1101">
          <cell r="A1101">
            <v>46198</v>
          </cell>
          <cell r="D1101" t="str">
            <v>ADOLFO SR</v>
          </cell>
          <cell r="E1101">
            <v>2</v>
          </cell>
          <cell r="H1101" t="str">
            <v>SAFISCOR</v>
          </cell>
          <cell r="N1101">
            <v>1000</v>
          </cell>
          <cell r="Y1101">
            <v>46198</v>
          </cell>
          <cell r="Z1101">
            <v>2</v>
          </cell>
          <cell r="AA1101">
            <v>1000</v>
          </cell>
        </row>
        <row r="1102">
          <cell r="A1102">
            <v>46198</v>
          </cell>
          <cell r="D1102" t="str">
            <v>LADY OF WISDOM</v>
          </cell>
          <cell r="E1102">
            <v>2</v>
          </cell>
          <cell r="H1102" t="str">
            <v>SAFISCOR</v>
          </cell>
          <cell r="N1102">
            <v>1000</v>
          </cell>
          <cell r="Y1102">
            <v>46198</v>
          </cell>
          <cell r="Z1102">
            <v>2</v>
          </cell>
          <cell r="AA1102">
            <v>1000</v>
          </cell>
        </row>
        <row r="1103">
          <cell r="A1103">
            <v>46198</v>
          </cell>
          <cell r="D1103" t="str">
            <v>QUEEN CAROLYN</v>
          </cell>
          <cell r="E1103">
            <v>2</v>
          </cell>
          <cell r="H1103" t="str">
            <v>SAFISCOR</v>
          </cell>
          <cell r="N1103">
            <v>1000</v>
          </cell>
          <cell r="Y1103">
            <v>46198</v>
          </cell>
          <cell r="Z1103">
            <v>2</v>
          </cell>
          <cell r="AA1103">
            <v>1000</v>
          </cell>
        </row>
        <row r="1104">
          <cell r="A1104">
            <v>46198</v>
          </cell>
          <cell r="D1104" t="str">
            <v>QUEEN CAROLYN</v>
          </cell>
          <cell r="E1104">
            <v>2</v>
          </cell>
          <cell r="H1104" t="str">
            <v>SAFISCOR</v>
          </cell>
          <cell r="N1104">
            <v>1000</v>
          </cell>
          <cell r="Y1104">
            <v>46199</v>
          </cell>
          <cell r="Z1104">
            <v>2</v>
          </cell>
          <cell r="AA1104">
            <v>1000</v>
          </cell>
        </row>
        <row r="1105">
          <cell r="A1105">
            <v>46198</v>
          </cell>
          <cell r="D1105" t="str">
            <v>INFINITY 8</v>
          </cell>
          <cell r="E1105">
            <v>1</v>
          </cell>
          <cell r="H1105" t="str">
            <v>LAPU-LAPU</v>
          </cell>
          <cell r="N1105">
            <v>1000</v>
          </cell>
          <cell r="Y1105">
            <v>46198</v>
          </cell>
          <cell r="Z1105">
            <v>2</v>
          </cell>
          <cell r="AA1105">
            <v>1000</v>
          </cell>
        </row>
        <row r="1106">
          <cell r="A1106">
            <v>46198</v>
          </cell>
          <cell r="D1106" t="str">
            <v>QUEEN CAROLYN</v>
          </cell>
          <cell r="E1106">
            <v>2</v>
          </cell>
          <cell r="H1106" t="str">
            <v>SAFISCOR</v>
          </cell>
          <cell r="N1106">
            <v>1000</v>
          </cell>
          <cell r="Y1106">
            <v>46199</v>
          </cell>
          <cell r="Z1106">
            <v>1</v>
          </cell>
          <cell r="AA1106">
            <v>1000</v>
          </cell>
        </row>
        <row r="1107">
          <cell r="A1107">
            <v>46198</v>
          </cell>
          <cell r="D1107" t="str">
            <v>QUEEN CAROLYN</v>
          </cell>
          <cell r="E1107">
            <v>2</v>
          </cell>
          <cell r="H1107" t="str">
            <v>SAFISCOR</v>
          </cell>
          <cell r="N1107">
            <v>1000</v>
          </cell>
          <cell r="Y1107">
            <v>46199</v>
          </cell>
          <cell r="Z1107">
            <v>1</v>
          </cell>
          <cell r="AA1107">
            <v>1000</v>
          </cell>
        </row>
        <row r="1108">
          <cell r="A1108">
            <v>46198</v>
          </cell>
          <cell r="D1108" t="str">
            <v>QUEEN CAROLYN</v>
          </cell>
          <cell r="E1108">
            <v>2</v>
          </cell>
          <cell r="H1108" t="str">
            <v>SAFISCOR</v>
          </cell>
          <cell r="N1108">
            <v>1000</v>
          </cell>
          <cell r="Y1108">
            <v>46199</v>
          </cell>
          <cell r="Z1108">
            <v>2</v>
          </cell>
          <cell r="AA1108">
            <v>1000</v>
          </cell>
        </row>
        <row r="1109">
          <cell r="A1109">
            <v>46198</v>
          </cell>
          <cell r="D1109" t="str">
            <v>INFINITY 8</v>
          </cell>
          <cell r="E1109">
            <v>1</v>
          </cell>
          <cell r="H1109" t="str">
            <v>LAPU-LAPU</v>
          </cell>
          <cell r="N1109">
            <v>1000</v>
          </cell>
          <cell r="Y1109">
            <v>46198</v>
          </cell>
          <cell r="Z1109">
            <v>2</v>
          </cell>
          <cell r="AA1109">
            <v>1000</v>
          </cell>
        </row>
        <row r="1110">
          <cell r="A1110">
            <v>46198</v>
          </cell>
          <cell r="D1110" t="str">
            <v>QUEEN CAROLYN</v>
          </cell>
          <cell r="E1110">
            <v>2</v>
          </cell>
          <cell r="H1110" t="str">
            <v>SAFISCOR</v>
          </cell>
          <cell r="N1110">
            <v>1000</v>
          </cell>
          <cell r="Y1110">
            <v>46199</v>
          </cell>
          <cell r="Z1110">
            <v>1</v>
          </cell>
          <cell r="AA1110">
            <v>1000</v>
          </cell>
        </row>
        <row r="1111">
          <cell r="A1111">
            <v>46198</v>
          </cell>
          <cell r="D1111" t="str">
            <v>QUEEN CAROLYN</v>
          </cell>
          <cell r="E1111">
            <v>2</v>
          </cell>
          <cell r="H1111" t="str">
            <v>SAFISCOR</v>
          </cell>
          <cell r="N1111">
            <v>1000</v>
          </cell>
          <cell r="Y1111">
            <v>46199</v>
          </cell>
          <cell r="Z1111">
            <v>1</v>
          </cell>
          <cell r="AA1111">
            <v>1000</v>
          </cell>
        </row>
        <row r="1112">
          <cell r="A1112">
            <v>46198</v>
          </cell>
          <cell r="D1112" t="str">
            <v>LADY OF WISDOM</v>
          </cell>
          <cell r="E1112">
            <v>2</v>
          </cell>
          <cell r="H1112" t="str">
            <v>LAPU-LAPU</v>
          </cell>
          <cell r="N1112">
            <v>1000</v>
          </cell>
          <cell r="Y1112">
            <v>46199</v>
          </cell>
          <cell r="Z1112">
            <v>1</v>
          </cell>
          <cell r="AA1112">
            <v>1000</v>
          </cell>
        </row>
        <row r="1113">
          <cell r="A1113">
            <v>46198</v>
          </cell>
          <cell r="D1113" t="str">
            <v>QUEEN CAROLYN</v>
          </cell>
          <cell r="E1113">
            <v>2</v>
          </cell>
          <cell r="H1113" t="str">
            <v>BADIE</v>
          </cell>
          <cell r="N1113">
            <v>1000</v>
          </cell>
          <cell r="Y1113">
            <v>46198</v>
          </cell>
          <cell r="Z1113">
            <v>2</v>
          </cell>
          <cell r="AA1113">
            <v>1000</v>
          </cell>
        </row>
        <row r="1114">
          <cell r="A1114">
            <v>46198</v>
          </cell>
          <cell r="D1114" t="str">
            <v>QUEEN CAROLYN</v>
          </cell>
          <cell r="E1114">
            <v>2</v>
          </cell>
          <cell r="H1114" t="str">
            <v>SAFISCOR</v>
          </cell>
          <cell r="N1114">
            <v>1000</v>
          </cell>
          <cell r="Y1114">
            <v>46199</v>
          </cell>
          <cell r="Z1114">
            <v>2</v>
          </cell>
          <cell r="AA1114">
            <v>1000</v>
          </cell>
        </row>
        <row r="1115">
          <cell r="A1115">
            <v>46198</v>
          </cell>
          <cell r="D1115" t="str">
            <v>INFINITY 8</v>
          </cell>
          <cell r="E1115">
            <v>1</v>
          </cell>
          <cell r="H1115" t="str">
            <v>GEO</v>
          </cell>
          <cell r="N1115">
            <v>1000</v>
          </cell>
          <cell r="Y1115">
            <v>46198</v>
          </cell>
          <cell r="Z1115">
            <v>2</v>
          </cell>
          <cell r="AA1115">
            <v>1000</v>
          </cell>
        </row>
        <row r="1116">
          <cell r="A1116">
            <v>46198</v>
          </cell>
          <cell r="D1116" t="str">
            <v>QUEEN CAROLYN</v>
          </cell>
          <cell r="E1116">
            <v>2</v>
          </cell>
          <cell r="H1116" t="str">
            <v>SAFISCOR</v>
          </cell>
          <cell r="N1116">
            <v>1000</v>
          </cell>
          <cell r="Y1116">
            <v>46199</v>
          </cell>
          <cell r="Z1116">
            <v>2</v>
          </cell>
          <cell r="AA1116">
            <v>1000</v>
          </cell>
        </row>
        <row r="1117">
          <cell r="A1117">
            <v>46198</v>
          </cell>
          <cell r="D1117" t="str">
            <v>LADY OF WISDOM</v>
          </cell>
          <cell r="E1117">
            <v>2</v>
          </cell>
          <cell r="H1117" t="str">
            <v>SAFISCOR</v>
          </cell>
          <cell r="N1117">
            <v>500</v>
          </cell>
          <cell r="Y1117">
            <v>46199</v>
          </cell>
          <cell r="Z1117">
            <v>2</v>
          </cell>
          <cell r="AA1117">
            <v>1000</v>
          </cell>
        </row>
        <row r="1118">
          <cell r="A1118">
            <v>46198</v>
          </cell>
          <cell r="D1118" t="str">
            <v>QUEEN CAROLYN</v>
          </cell>
          <cell r="E1118">
            <v>2</v>
          </cell>
          <cell r="H1118" t="str">
            <v>SAFISCOR</v>
          </cell>
          <cell r="N1118">
            <v>500</v>
          </cell>
          <cell r="Y1118">
            <v>46199</v>
          </cell>
          <cell r="Z1118">
            <v>1</v>
          </cell>
          <cell r="AA1118">
            <v>1000</v>
          </cell>
        </row>
        <row r="1119">
          <cell r="A1119">
            <v>46198</v>
          </cell>
          <cell r="D1119" t="str">
            <v>ADOLFO SR</v>
          </cell>
          <cell r="E1119">
            <v>2</v>
          </cell>
          <cell r="H1119" t="str">
            <v>SAFISCOR</v>
          </cell>
          <cell r="N1119">
            <v>1000</v>
          </cell>
          <cell r="Y1119">
            <v>46198</v>
          </cell>
          <cell r="Z1119">
            <v>2</v>
          </cell>
          <cell r="AA1119">
            <v>500</v>
          </cell>
        </row>
        <row r="1120">
          <cell r="A1120">
            <v>46198</v>
          </cell>
          <cell r="D1120" t="str">
            <v>ADOLFO SR</v>
          </cell>
          <cell r="E1120">
            <v>2</v>
          </cell>
          <cell r="H1120" t="str">
            <v>SAFISCOR</v>
          </cell>
          <cell r="N1120">
            <v>1000</v>
          </cell>
          <cell r="Y1120">
            <v>46198</v>
          </cell>
          <cell r="Z1120">
            <v>2</v>
          </cell>
          <cell r="AA1120">
            <v>500</v>
          </cell>
        </row>
        <row r="1121">
          <cell r="A1121">
            <v>46198</v>
          </cell>
          <cell r="D1121" t="str">
            <v>INFINITY 8</v>
          </cell>
          <cell r="E1121">
            <v>1</v>
          </cell>
          <cell r="H1121" t="str">
            <v>SAFISCOR</v>
          </cell>
          <cell r="N1121">
            <v>1000</v>
          </cell>
          <cell r="Y1121">
            <v>46198</v>
          </cell>
          <cell r="Z1121">
            <v>2</v>
          </cell>
          <cell r="AA1121">
            <v>1000</v>
          </cell>
        </row>
        <row r="1122">
          <cell r="A1122">
            <v>46198</v>
          </cell>
          <cell r="D1122" t="str">
            <v>LADY OF WISDOM</v>
          </cell>
          <cell r="E1122">
            <v>2</v>
          </cell>
          <cell r="H1122" t="str">
            <v>LAPU-LAPU</v>
          </cell>
          <cell r="N1122">
            <v>1000</v>
          </cell>
          <cell r="Y1122">
            <v>46198</v>
          </cell>
          <cell r="Z1122">
            <v>2</v>
          </cell>
          <cell r="AA1122">
            <v>1000</v>
          </cell>
        </row>
        <row r="1123">
          <cell r="A1123">
            <v>46198</v>
          </cell>
          <cell r="D1123" t="str">
            <v>QUEEN CAROLYN</v>
          </cell>
          <cell r="E1123">
            <v>2</v>
          </cell>
          <cell r="H1123" t="str">
            <v>SAFISCOR</v>
          </cell>
          <cell r="N1123">
            <v>1000</v>
          </cell>
          <cell r="Y1123">
            <v>46199</v>
          </cell>
          <cell r="Z1123">
            <v>2</v>
          </cell>
          <cell r="AA1123">
            <v>1000</v>
          </cell>
        </row>
        <row r="1124">
          <cell r="A1124">
            <v>46198</v>
          </cell>
          <cell r="D1124" t="str">
            <v>QUEEN CAROLYN</v>
          </cell>
          <cell r="E1124">
            <v>2</v>
          </cell>
          <cell r="H1124" t="str">
            <v>SAFISCOR</v>
          </cell>
          <cell r="N1124">
            <v>1000</v>
          </cell>
          <cell r="Y1124">
            <v>46199</v>
          </cell>
          <cell r="Z1124">
            <v>1</v>
          </cell>
          <cell r="AA1124">
            <v>1000</v>
          </cell>
        </row>
        <row r="1125">
          <cell r="A1125">
            <v>46198</v>
          </cell>
          <cell r="D1125" t="str">
            <v>QUEEN CAROLYN</v>
          </cell>
          <cell r="E1125">
            <v>2</v>
          </cell>
          <cell r="H1125" t="str">
            <v>SAFISCOR</v>
          </cell>
          <cell r="N1125">
            <v>1000</v>
          </cell>
          <cell r="Y1125">
            <v>46199</v>
          </cell>
          <cell r="Z1125">
            <v>2</v>
          </cell>
          <cell r="AA1125">
            <v>1000</v>
          </cell>
        </row>
        <row r="1126">
          <cell r="A1126">
            <v>46198</v>
          </cell>
          <cell r="D1126" t="str">
            <v>QUEEN CAROLYN</v>
          </cell>
          <cell r="E1126">
            <v>2</v>
          </cell>
          <cell r="H1126" t="str">
            <v>SAFISCOR</v>
          </cell>
          <cell r="N1126">
            <v>1000</v>
          </cell>
          <cell r="Y1126">
            <v>46199</v>
          </cell>
          <cell r="Z1126">
            <v>2</v>
          </cell>
          <cell r="AA1126">
            <v>1000</v>
          </cell>
        </row>
        <row r="1127">
          <cell r="A1127">
            <v>46198</v>
          </cell>
          <cell r="D1127" t="str">
            <v>INFINITY 8</v>
          </cell>
          <cell r="E1127">
            <v>1</v>
          </cell>
          <cell r="H1127" t="str">
            <v>SAFISCOR</v>
          </cell>
          <cell r="N1127">
            <v>1000</v>
          </cell>
          <cell r="Y1127">
            <v>46198</v>
          </cell>
          <cell r="Z1127">
            <v>2</v>
          </cell>
          <cell r="AA1127">
            <v>1000</v>
          </cell>
        </row>
        <row r="1128">
          <cell r="A1128">
            <v>46198</v>
          </cell>
          <cell r="D1128" t="str">
            <v>INFINITY 8</v>
          </cell>
          <cell r="E1128">
            <v>1</v>
          </cell>
          <cell r="H1128" t="str">
            <v>SAFISCOR</v>
          </cell>
          <cell r="N1128">
            <v>1000</v>
          </cell>
          <cell r="Y1128">
            <v>46198</v>
          </cell>
          <cell r="Z1128">
            <v>2</v>
          </cell>
          <cell r="AA1128">
            <v>1000</v>
          </cell>
        </row>
        <row r="1129">
          <cell r="A1129">
            <v>46198</v>
          </cell>
          <cell r="D1129" t="str">
            <v>LADY OF WISDOM</v>
          </cell>
          <cell r="E1129">
            <v>2</v>
          </cell>
          <cell r="H1129" t="str">
            <v>SAFISCOR</v>
          </cell>
          <cell r="N1129">
            <v>1000</v>
          </cell>
          <cell r="Y1129">
            <v>46199</v>
          </cell>
          <cell r="Z1129">
            <v>1</v>
          </cell>
          <cell r="AA1129">
            <v>1000</v>
          </cell>
        </row>
        <row r="1130">
          <cell r="A1130">
            <v>46198</v>
          </cell>
          <cell r="D1130" t="str">
            <v>LADY OF WISDOM</v>
          </cell>
          <cell r="E1130">
            <v>2</v>
          </cell>
          <cell r="H1130" t="str">
            <v>SAFISCOR</v>
          </cell>
          <cell r="N1130">
            <v>1000</v>
          </cell>
          <cell r="Y1130">
            <v>46199</v>
          </cell>
          <cell r="Z1130">
            <v>1</v>
          </cell>
          <cell r="AA1130">
            <v>1000</v>
          </cell>
        </row>
        <row r="1131">
          <cell r="A1131">
            <v>46198</v>
          </cell>
          <cell r="D1131" t="str">
            <v>INFINITY 8</v>
          </cell>
          <cell r="E1131">
            <v>1</v>
          </cell>
          <cell r="H1131" t="str">
            <v>SAFISCOR</v>
          </cell>
          <cell r="N1131">
            <v>1000</v>
          </cell>
          <cell r="Y1131">
            <v>46198</v>
          </cell>
          <cell r="Z1131">
            <v>2</v>
          </cell>
          <cell r="AA1131">
            <v>1000</v>
          </cell>
        </row>
        <row r="1132">
          <cell r="A1132">
            <v>46199</v>
          </cell>
          <cell r="D1132" t="str">
            <v>INFINITY 8</v>
          </cell>
          <cell r="E1132">
            <v>1</v>
          </cell>
          <cell r="H1132" t="str">
            <v>SAFISCOR</v>
          </cell>
          <cell r="N1132">
            <v>1000</v>
          </cell>
          <cell r="Y1132">
            <v>46199</v>
          </cell>
          <cell r="Z1132">
            <v>1</v>
          </cell>
          <cell r="AA1132">
            <v>1000</v>
          </cell>
        </row>
        <row r="1133">
          <cell r="A1133">
            <v>46199</v>
          </cell>
          <cell r="D1133" t="str">
            <v>LADY OF WISDOM</v>
          </cell>
          <cell r="E1133">
            <v>2</v>
          </cell>
          <cell r="H1133" t="str">
            <v>LAPU-LAPU</v>
          </cell>
          <cell r="N1133">
            <v>1000</v>
          </cell>
          <cell r="Y1133">
            <v>46199</v>
          </cell>
          <cell r="Z1133">
            <v>1</v>
          </cell>
          <cell r="AA1133">
            <v>1000</v>
          </cell>
        </row>
        <row r="1134">
          <cell r="A1134">
            <v>46199</v>
          </cell>
          <cell r="D1134" t="str">
            <v>LADY OF WISDOM</v>
          </cell>
          <cell r="E1134">
            <v>2</v>
          </cell>
          <cell r="H1134" t="str">
            <v>GEO</v>
          </cell>
          <cell r="N1134">
            <v>1000</v>
          </cell>
          <cell r="Y1134">
            <v>46199</v>
          </cell>
          <cell r="Z1134">
            <v>1</v>
          </cell>
          <cell r="AA1134">
            <v>1000</v>
          </cell>
        </row>
        <row r="1135">
          <cell r="A1135">
            <v>46199</v>
          </cell>
          <cell r="D1135" t="str">
            <v>ADOLFO SR</v>
          </cell>
          <cell r="E1135">
            <v>2</v>
          </cell>
          <cell r="H1135" t="str">
            <v>LAPU-LAPU</v>
          </cell>
          <cell r="N1135">
            <v>1000</v>
          </cell>
          <cell r="Y1135">
            <v>46199</v>
          </cell>
          <cell r="Z1135">
            <v>1</v>
          </cell>
          <cell r="AA1135">
            <v>1000</v>
          </cell>
        </row>
        <row r="1136">
          <cell r="A1136">
            <v>46199</v>
          </cell>
          <cell r="D1136" t="str">
            <v>ADOLFO SR</v>
          </cell>
          <cell r="E1136">
            <v>2</v>
          </cell>
          <cell r="H1136" t="str">
            <v>SAFISCOR</v>
          </cell>
          <cell r="N1136">
            <v>1000</v>
          </cell>
          <cell r="Y1136">
            <v>46199</v>
          </cell>
          <cell r="Z1136">
            <v>1</v>
          </cell>
          <cell r="AA1136">
            <v>1000</v>
          </cell>
        </row>
        <row r="1137">
          <cell r="A1137">
            <v>46199</v>
          </cell>
          <cell r="D1137" t="str">
            <v>LADY OF WISDOM</v>
          </cell>
          <cell r="E1137">
            <v>2</v>
          </cell>
          <cell r="H1137" t="str">
            <v>LAPU-LAPU</v>
          </cell>
          <cell r="N1137">
            <v>1000</v>
          </cell>
          <cell r="Y1137">
            <v>46199</v>
          </cell>
          <cell r="Z1137">
            <v>1</v>
          </cell>
          <cell r="AA1137">
            <v>1000</v>
          </cell>
        </row>
        <row r="1138">
          <cell r="A1138">
            <v>46199</v>
          </cell>
          <cell r="D1138" t="str">
            <v>ADOLFO SR</v>
          </cell>
          <cell r="E1138">
            <v>2</v>
          </cell>
          <cell r="H1138" t="str">
            <v>SAFISCOR</v>
          </cell>
          <cell r="N1138">
            <v>1000</v>
          </cell>
          <cell r="Y1138">
            <v>46199</v>
          </cell>
          <cell r="Z1138">
            <v>1</v>
          </cell>
          <cell r="AA1138">
            <v>1000</v>
          </cell>
        </row>
        <row r="1139">
          <cell r="A1139">
            <v>46199</v>
          </cell>
          <cell r="D1139" t="str">
            <v>ADOLFO SR</v>
          </cell>
          <cell r="E1139">
            <v>2</v>
          </cell>
          <cell r="H1139" t="str">
            <v>SAFISCOR</v>
          </cell>
          <cell r="N1139">
            <v>1000</v>
          </cell>
          <cell r="Y1139">
            <v>46199</v>
          </cell>
          <cell r="Z1139">
            <v>1</v>
          </cell>
          <cell r="AA1139">
            <v>1000</v>
          </cell>
        </row>
        <row r="1140">
          <cell r="A1140">
            <v>46199</v>
          </cell>
          <cell r="D1140" t="str">
            <v>ADOLFO SR</v>
          </cell>
          <cell r="E1140">
            <v>2</v>
          </cell>
          <cell r="H1140" t="str">
            <v>SAFISCOR</v>
          </cell>
          <cell r="N1140">
            <v>1000</v>
          </cell>
          <cell r="Y1140">
            <v>46199</v>
          </cell>
          <cell r="Z1140">
            <v>1</v>
          </cell>
          <cell r="AA1140">
            <v>1000</v>
          </cell>
        </row>
        <row r="1141">
          <cell r="A1141">
            <v>46199</v>
          </cell>
          <cell r="D1141" t="str">
            <v>INFINITY 8</v>
          </cell>
          <cell r="E1141">
            <v>1</v>
          </cell>
          <cell r="H1141" t="str">
            <v>GEO</v>
          </cell>
          <cell r="N1141">
            <v>300</v>
          </cell>
          <cell r="Y1141">
            <v>46199</v>
          </cell>
          <cell r="Z1141">
            <v>1</v>
          </cell>
          <cell r="AA1141">
            <v>1000</v>
          </cell>
        </row>
        <row r="1142">
          <cell r="A1142">
            <v>46199</v>
          </cell>
          <cell r="D1142" t="str">
            <v>LADY OF WISDOM</v>
          </cell>
          <cell r="E1142">
            <v>2</v>
          </cell>
          <cell r="H1142" t="str">
            <v>SAFISCOR</v>
          </cell>
          <cell r="N1142">
            <v>1000</v>
          </cell>
          <cell r="Y1142">
            <v>46199</v>
          </cell>
          <cell r="Z1142">
            <v>2</v>
          </cell>
          <cell r="AA1142">
            <v>1000</v>
          </cell>
        </row>
        <row r="1143">
          <cell r="A1143">
            <v>46199</v>
          </cell>
          <cell r="D1143" t="str">
            <v>ADOLFO SR</v>
          </cell>
          <cell r="E1143">
            <v>2</v>
          </cell>
          <cell r="H1143" t="str">
            <v>SAFISCOR</v>
          </cell>
          <cell r="N1143">
            <v>1000</v>
          </cell>
          <cell r="Y1143">
            <v>46199</v>
          </cell>
          <cell r="Z1143">
            <v>1</v>
          </cell>
          <cell r="AA1143">
            <v>300</v>
          </cell>
        </row>
        <row r="1144">
          <cell r="A1144">
            <v>46199</v>
          </cell>
          <cell r="D1144" t="str">
            <v>INFINITY 8</v>
          </cell>
          <cell r="E1144">
            <v>1</v>
          </cell>
          <cell r="H1144" t="str">
            <v>APLUS</v>
          </cell>
          <cell r="N1144">
            <v>1000</v>
          </cell>
          <cell r="Y1144">
            <v>46199</v>
          </cell>
          <cell r="Z1144">
            <v>1</v>
          </cell>
          <cell r="AA1144">
            <v>1000</v>
          </cell>
        </row>
        <row r="1145">
          <cell r="A1145">
            <v>46199</v>
          </cell>
          <cell r="D1145" t="str">
            <v>JOHANNAH 7</v>
          </cell>
          <cell r="E1145">
            <v>2</v>
          </cell>
          <cell r="H1145" t="str">
            <v>SAFISCOR</v>
          </cell>
          <cell r="N1145">
            <v>700</v>
          </cell>
          <cell r="Y1145">
            <v>46199</v>
          </cell>
          <cell r="Z1145">
            <v>1</v>
          </cell>
          <cell r="AA1145">
            <v>700</v>
          </cell>
        </row>
        <row r="1146">
          <cell r="A1146">
            <v>46199</v>
          </cell>
          <cell r="D1146" t="str">
            <v>JOHANNAH 7</v>
          </cell>
          <cell r="E1146">
            <v>2</v>
          </cell>
          <cell r="H1146" t="str">
            <v>SAFISCOR</v>
          </cell>
          <cell r="N1146">
            <v>1000</v>
          </cell>
          <cell r="Y1146">
            <v>46199</v>
          </cell>
          <cell r="Z1146">
            <v>1</v>
          </cell>
          <cell r="AA1146">
            <v>1000</v>
          </cell>
        </row>
        <row r="1147">
          <cell r="A1147">
            <v>46199</v>
          </cell>
          <cell r="D1147" t="str">
            <v>JOHANNAH 7</v>
          </cell>
          <cell r="E1147">
            <v>2</v>
          </cell>
          <cell r="H1147" t="str">
            <v>SAFISCOR</v>
          </cell>
          <cell r="N1147">
            <v>1000</v>
          </cell>
          <cell r="Y1147">
            <v>46199</v>
          </cell>
          <cell r="Z1147">
            <v>2</v>
          </cell>
          <cell r="AA1147">
            <v>1000</v>
          </cell>
        </row>
        <row r="1148">
          <cell r="A1148">
            <v>46199</v>
          </cell>
          <cell r="D1148" t="str">
            <v>LADY OF WISDOM</v>
          </cell>
          <cell r="E1148">
            <v>2</v>
          </cell>
          <cell r="H1148" t="str">
            <v>LAPU-LAPU</v>
          </cell>
          <cell r="N1148">
            <v>1000</v>
          </cell>
          <cell r="Y1148">
            <v>46199</v>
          </cell>
          <cell r="Z1148">
            <v>1</v>
          </cell>
          <cell r="AA1148">
            <v>1000</v>
          </cell>
        </row>
        <row r="1149">
          <cell r="A1149">
            <v>46199</v>
          </cell>
          <cell r="D1149" t="str">
            <v>LADY OF WISDOM</v>
          </cell>
          <cell r="E1149">
            <v>2</v>
          </cell>
          <cell r="H1149" t="str">
            <v>SAFISCOR</v>
          </cell>
          <cell r="N1149">
            <v>1000</v>
          </cell>
          <cell r="Y1149">
            <v>46199</v>
          </cell>
          <cell r="Z1149">
            <v>1</v>
          </cell>
          <cell r="AA1149">
            <v>1000</v>
          </cell>
        </row>
        <row r="1150">
          <cell r="A1150">
            <v>46199</v>
          </cell>
          <cell r="D1150" t="str">
            <v>JOHANNAH 7</v>
          </cell>
          <cell r="E1150">
            <v>2</v>
          </cell>
          <cell r="H1150" t="str">
            <v>GEO</v>
          </cell>
          <cell r="N1150">
            <v>1000</v>
          </cell>
          <cell r="Y1150">
            <v>46199</v>
          </cell>
          <cell r="Z1150">
            <v>2</v>
          </cell>
          <cell r="AA1150">
            <v>1000</v>
          </cell>
        </row>
        <row r="1151">
          <cell r="A1151">
            <v>46199</v>
          </cell>
          <cell r="D1151" t="str">
            <v>INFINITY 8</v>
          </cell>
          <cell r="E1151">
            <v>1</v>
          </cell>
          <cell r="H1151" t="str">
            <v>GEO</v>
          </cell>
          <cell r="N1151">
            <v>1000</v>
          </cell>
          <cell r="Y1151">
            <v>46199</v>
          </cell>
          <cell r="Z1151">
            <v>1</v>
          </cell>
          <cell r="AA1151">
            <v>1000</v>
          </cell>
        </row>
        <row r="1152">
          <cell r="A1152">
            <v>46199</v>
          </cell>
          <cell r="D1152" t="str">
            <v>JOHANNAH 7</v>
          </cell>
          <cell r="E1152">
            <v>2</v>
          </cell>
          <cell r="H1152" t="str">
            <v>SAFISCOR</v>
          </cell>
          <cell r="N1152">
            <v>1000</v>
          </cell>
          <cell r="Y1152">
            <v>46199</v>
          </cell>
          <cell r="Z1152">
            <v>2</v>
          </cell>
          <cell r="AA1152">
            <v>1000</v>
          </cell>
        </row>
        <row r="1153">
          <cell r="A1153">
            <v>46199</v>
          </cell>
          <cell r="D1153" t="str">
            <v>INFINITY 8</v>
          </cell>
          <cell r="E1153">
            <v>1</v>
          </cell>
          <cell r="H1153" t="str">
            <v>LAPU-LAPU</v>
          </cell>
          <cell r="N1153">
            <v>1000</v>
          </cell>
          <cell r="Y1153">
            <v>46199</v>
          </cell>
          <cell r="Z1153">
            <v>2</v>
          </cell>
          <cell r="AA1153">
            <v>1000</v>
          </cell>
        </row>
        <row r="1154">
          <cell r="A1154">
            <v>46199</v>
          </cell>
          <cell r="D1154" t="str">
            <v>JOHANNAH 7</v>
          </cell>
          <cell r="E1154">
            <v>2</v>
          </cell>
          <cell r="H1154" t="str">
            <v>SAFISCOR</v>
          </cell>
          <cell r="N1154">
            <v>1000</v>
          </cell>
          <cell r="Y1154">
            <v>46199</v>
          </cell>
          <cell r="Z1154">
            <v>2</v>
          </cell>
          <cell r="AA1154">
            <v>1000</v>
          </cell>
        </row>
        <row r="1155">
          <cell r="A1155">
            <v>46199</v>
          </cell>
          <cell r="D1155" t="str">
            <v>JOHANNAH 7</v>
          </cell>
          <cell r="E1155">
            <v>2</v>
          </cell>
          <cell r="H1155" t="str">
            <v>SAFISCOR</v>
          </cell>
          <cell r="N1155">
            <v>1000</v>
          </cell>
          <cell r="Y1155">
            <v>46201</v>
          </cell>
          <cell r="Z1155">
            <v>2</v>
          </cell>
          <cell r="AA1155">
            <v>1000</v>
          </cell>
        </row>
        <row r="1156">
          <cell r="A1156">
            <v>46199</v>
          </cell>
          <cell r="D1156" t="str">
            <v>JOHANNAH 7</v>
          </cell>
          <cell r="E1156">
            <v>2</v>
          </cell>
          <cell r="H1156" t="str">
            <v>LAPU-LAPU</v>
          </cell>
          <cell r="N1156">
            <v>1000</v>
          </cell>
          <cell r="Y1156">
            <v>46199</v>
          </cell>
          <cell r="Z1156">
            <v>1</v>
          </cell>
          <cell r="AA1156">
            <v>1000</v>
          </cell>
        </row>
        <row r="1157">
          <cell r="A1157">
            <v>46199</v>
          </cell>
          <cell r="D1157" t="str">
            <v>JOHANNAH 7</v>
          </cell>
          <cell r="E1157">
            <v>2</v>
          </cell>
          <cell r="H1157" t="str">
            <v>LAPU-LAPU</v>
          </cell>
          <cell r="N1157">
            <v>800</v>
          </cell>
          <cell r="Y1157">
            <v>46199</v>
          </cell>
          <cell r="Z1157">
            <v>2</v>
          </cell>
          <cell r="AA1157">
            <v>800</v>
          </cell>
        </row>
        <row r="1158">
          <cell r="A1158">
            <v>46199</v>
          </cell>
          <cell r="D1158" t="str">
            <v>ADOLFO SR</v>
          </cell>
          <cell r="E1158">
            <v>2</v>
          </cell>
          <cell r="H1158" t="str">
            <v>SAFISCOR</v>
          </cell>
          <cell r="N1158">
            <v>1000</v>
          </cell>
          <cell r="Y1158">
            <v>46199</v>
          </cell>
          <cell r="Z1158">
            <v>2</v>
          </cell>
          <cell r="AA1158">
            <v>1000</v>
          </cell>
        </row>
        <row r="1159">
          <cell r="A1159">
            <v>46199</v>
          </cell>
          <cell r="D1159" t="str">
            <v>ADOLFO SR</v>
          </cell>
          <cell r="E1159">
            <v>2</v>
          </cell>
          <cell r="H1159" t="str">
            <v>SAFISCOR</v>
          </cell>
          <cell r="N1159">
            <v>1000</v>
          </cell>
          <cell r="Y1159">
            <v>46199</v>
          </cell>
          <cell r="Z1159">
            <v>2</v>
          </cell>
          <cell r="AA1159">
            <v>800</v>
          </cell>
        </row>
        <row r="1160">
          <cell r="A1160">
            <v>46199</v>
          </cell>
          <cell r="D1160" t="str">
            <v>JOHANNAH 7</v>
          </cell>
          <cell r="E1160">
            <v>2</v>
          </cell>
          <cell r="H1160" t="str">
            <v>SAFISCOR</v>
          </cell>
          <cell r="N1160">
            <v>1000</v>
          </cell>
          <cell r="Y1160">
            <v>46201</v>
          </cell>
          <cell r="Z1160">
            <v>2</v>
          </cell>
          <cell r="AA1160">
            <v>1000</v>
          </cell>
        </row>
        <row r="1161">
          <cell r="A1161">
            <v>46199</v>
          </cell>
          <cell r="D1161" t="str">
            <v>JOHANNAH 7</v>
          </cell>
          <cell r="E1161">
            <v>2</v>
          </cell>
          <cell r="H1161" t="str">
            <v>BADIE</v>
          </cell>
          <cell r="N1161">
            <v>500</v>
          </cell>
          <cell r="Y1161">
            <v>46199</v>
          </cell>
          <cell r="Z1161">
            <v>2</v>
          </cell>
          <cell r="AA1161">
            <v>500</v>
          </cell>
        </row>
        <row r="1162">
          <cell r="A1162">
            <v>46199</v>
          </cell>
          <cell r="D1162" t="str">
            <v>JOHANNAH 7</v>
          </cell>
          <cell r="E1162">
            <v>2</v>
          </cell>
          <cell r="H1162" t="str">
            <v>APLUS</v>
          </cell>
          <cell r="N1162">
            <v>500</v>
          </cell>
          <cell r="Y1162">
            <v>46199</v>
          </cell>
          <cell r="Z1162">
            <v>2</v>
          </cell>
          <cell r="AA1162">
            <v>500</v>
          </cell>
        </row>
        <row r="1163">
          <cell r="A1163">
            <v>46199</v>
          </cell>
          <cell r="D1163" t="str">
            <v>ADOLFO SR</v>
          </cell>
          <cell r="E1163">
            <v>2</v>
          </cell>
          <cell r="H1163" t="str">
            <v>SAFISCOR</v>
          </cell>
          <cell r="N1163">
            <v>1000</v>
          </cell>
          <cell r="Y1163">
            <v>46199</v>
          </cell>
          <cell r="Z1163">
            <v>2</v>
          </cell>
          <cell r="AA1163">
            <v>500</v>
          </cell>
        </row>
        <row r="1164">
          <cell r="A1164">
            <v>46199</v>
          </cell>
          <cell r="D1164" t="str">
            <v>INFINITY 8</v>
          </cell>
          <cell r="E1164">
            <v>1</v>
          </cell>
          <cell r="H1164" t="str">
            <v>SAFISCOR</v>
          </cell>
          <cell r="N1164">
            <v>1000</v>
          </cell>
          <cell r="Y1164">
            <v>46199</v>
          </cell>
          <cell r="Z1164">
            <v>2</v>
          </cell>
          <cell r="AA1164">
            <v>500</v>
          </cell>
        </row>
        <row r="1165">
          <cell r="A1165">
            <v>46199</v>
          </cell>
          <cell r="D1165" t="str">
            <v>JOHANNAH 7</v>
          </cell>
          <cell r="E1165">
            <v>2</v>
          </cell>
          <cell r="H1165" t="str">
            <v>SAFISCOR</v>
          </cell>
          <cell r="N1165">
            <v>1000</v>
          </cell>
          <cell r="Y1165">
            <v>46199</v>
          </cell>
          <cell r="Z1165">
            <v>2</v>
          </cell>
          <cell r="AA1165">
            <v>1000</v>
          </cell>
        </row>
        <row r="1166">
          <cell r="A1166">
            <v>46199</v>
          </cell>
          <cell r="D1166" t="str">
            <v>JOHANNAH 7</v>
          </cell>
          <cell r="E1166">
            <v>2</v>
          </cell>
          <cell r="H1166" t="str">
            <v>SAFISCOR</v>
          </cell>
          <cell r="N1166">
            <v>1000</v>
          </cell>
          <cell r="Y1166">
            <v>46202</v>
          </cell>
          <cell r="Z1166">
            <v>1</v>
          </cell>
          <cell r="AA1166">
            <v>1000</v>
          </cell>
        </row>
        <row r="1167">
          <cell r="A1167">
            <v>46199</v>
          </cell>
          <cell r="D1167" t="str">
            <v>JOHANNAH 7</v>
          </cell>
          <cell r="E1167">
            <v>2</v>
          </cell>
          <cell r="H1167" t="str">
            <v>GEO</v>
          </cell>
          <cell r="N1167">
            <v>200</v>
          </cell>
          <cell r="Y1167">
            <v>46200</v>
          </cell>
          <cell r="Z1167">
            <v>1</v>
          </cell>
          <cell r="AA1167">
            <v>200</v>
          </cell>
        </row>
        <row r="1168">
          <cell r="A1168">
            <v>46199</v>
          </cell>
          <cell r="D1168" t="str">
            <v>JOHANNAH 7</v>
          </cell>
          <cell r="E1168">
            <v>2</v>
          </cell>
          <cell r="H1168" t="str">
            <v>SAFISCOR</v>
          </cell>
          <cell r="N1168">
            <v>1000</v>
          </cell>
          <cell r="Y1168">
            <v>46201</v>
          </cell>
          <cell r="Z1168">
            <v>2</v>
          </cell>
          <cell r="AA1168">
            <v>1000</v>
          </cell>
        </row>
        <row r="1169">
          <cell r="A1169">
            <v>46199</v>
          </cell>
          <cell r="D1169" t="str">
            <v>QUEEN CAROLYN</v>
          </cell>
          <cell r="E1169">
            <v>2</v>
          </cell>
          <cell r="H1169" t="str">
            <v>SAFISCOR</v>
          </cell>
          <cell r="N1169">
            <v>800</v>
          </cell>
          <cell r="Y1169">
            <v>46199</v>
          </cell>
          <cell r="Z1169">
            <v>2</v>
          </cell>
          <cell r="AA1169">
            <v>200</v>
          </cell>
        </row>
        <row r="1170">
          <cell r="A1170">
            <v>46199</v>
          </cell>
          <cell r="D1170" t="str">
            <v>JOHANNAH 7</v>
          </cell>
          <cell r="E1170">
            <v>2</v>
          </cell>
          <cell r="H1170" t="str">
            <v>LAPU-LAPU</v>
          </cell>
          <cell r="N1170">
            <v>1000</v>
          </cell>
          <cell r="Y1170">
            <v>46199</v>
          </cell>
          <cell r="Z1170">
            <v>2</v>
          </cell>
          <cell r="AA1170">
            <v>1000</v>
          </cell>
        </row>
        <row r="1171">
          <cell r="A1171">
            <v>46199</v>
          </cell>
          <cell r="D1171" t="str">
            <v>INFINITY 8</v>
          </cell>
          <cell r="E1171">
            <v>2</v>
          </cell>
          <cell r="H1171" t="str">
            <v>SAFISCOR</v>
          </cell>
          <cell r="N1171">
            <v>1000</v>
          </cell>
          <cell r="Y1171">
            <v>46199</v>
          </cell>
          <cell r="Z1171">
            <v>2</v>
          </cell>
          <cell r="AA1171">
            <v>1000</v>
          </cell>
        </row>
        <row r="1172">
          <cell r="A1172">
            <v>46199</v>
          </cell>
          <cell r="D1172" t="str">
            <v>INFINITY 8</v>
          </cell>
          <cell r="E1172">
            <v>2</v>
          </cell>
          <cell r="H1172" t="str">
            <v>SAFISCOR</v>
          </cell>
          <cell r="N1172">
            <v>1000</v>
          </cell>
          <cell r="Y1172">
            <v>46199</v>
          </cell>
          <cell r="Z1172">
            <v>2</v>
          </cell>
          <cell r="AA1172">
            <v>1000</v>
          </cell>
        </row>
        <row r="1173">
          <cell r="A1173">
            <v>46199</v>
          </cell>
          <cell r="D1173" t="str">
            <v>JOHANNAH 7</v>
          </cell>
          <cell r="E1173">
            <v>2</v>
          </cell>
          <cell r="H1173" t="str">
            <v>LAPU-LAPU</v>
          </cell>
          <cell r="N1173">
            <v>1000</v>
          </cell>
          <cell r="Y1173">
            <v>46199</v>
          </cell>
          <cell r="Z1173">
            <v>2</v>
          </cell>
          <cell r="AA1173">
            <v>1000</v>
          </cell>
        </row>
        <row r="1174">
          <cell r="A1174">
            <v>46199</v>
          </cell>
          <cell r="D1174" t="str">
            <v>JOHANNAH 7</v>
          </cell>
          <cell r="E1174">
            <v>2</v>
          </cell>
          <cell r="H1174" t="str">
            <v>SAFISCOR</v>
          </cell>
          <cell r="N1174">
            <v>1000</v>
          </cell>
          <cell r="Y1174">
            <v>46202</v>
          </cell>
          <cell r="Z1174">
            <v>2</v>
          </cell>
          <cell r="AA1174">
            <v>1000</v>
          </cell>
        </row>
        <row r="1175">
          <cell r="A1175">
            <v>46199</v>
          </cell>
          <cell r="D1175" t="str">
            <v>JOHANNAH 7</v>
          </cell>
          <cell r="E1175">
            <v>2</v>
          </cell>
          <cell r="H1175" t="str">
            <v>LAPU-LAPU</v>
          </cell>
          <cell r="N1175">
            <v>1000</v>
          </cell>
          <cell r="Y1175">
            <v>46200</v>
          </cell>
          <cell r="Z1175">
            <v>1</v>
          </cell>
          <cell r="AA1175">
            <v>1000</v>
          </cell>
        </row>
        <row r="1176">
          <cell r="A1176">
            <v>46199</v>
          </cell>
          <cell r="D1176" t="str">
            <v>JOHANNAH 7</v>
          </cell>
          <cell r="E1176">
            <v>2</v>
          </cell>
          <cell r="H1176" t="str">
            <v>LAPU-LAPU</v>
          </cell>
          <cell r="N1176">
            <v>1000</v>
          </cell>
          <cell r="Y1176">
            <v>46199</v>
          </cell>
          <cell r="Z1176">
            <v>2</v>
          </cell>
          <cell r="AA1176">
            <v>1000</v>
          </cell>
        </row>
        <row r="1177">
          <cell r="A1177">
            <v>46199</v>
          </cell>
          <cell r="D1177" t="str">
            <v>JOHANNAH 7</v>
          </cell>
          <cell r="E1177">
            <v>2</v>
          </cell>
          <cell r="H1177" t="str">
            <v>LAPU-LAPU</v>
          </cell>
          <cell r="N1177">
            <v>1000</v>
          </cell>
          <cell r="Y1177">
            <v>46200</v>
          </cell>
          <cell r="Z1177">
            <v>1</v>
          </cell>
          <cell r="AA1177">
            <v>1000</v>
          </cell>
        </row>
        <row r="1178">
          <cell r="A1178">
            <v>46199</v>
          </cell>
          <cell r="D1178" t="str">
            <v>JOHANNAH 7</v>
          </cell>
          <cell r="E1178">
            <v>2</v>
          </cell>
          <cell r="H1178" t="str">
            <v>SAFISCOR</v>
          </cell>
          <cell r="N1178">
            <v>1000</v>
          </cell>
          <cell r="Y1178">
            <v>46200</v>
          </cell>
          <cell r="Z1178">
            <v>1</v>
          </cell>
          <cell r="AA1178">
            <v>1000</v>
          </cell>
        </row>
        <row r="1179">
          <cell r="A1179">
            <v>46199</v>
          </cell>
          <cell r="D1179" t="str">
            <v>JOHANNAH 7</v>
          </cell>
          <cell r="E1179">
            <v>2</v>
          </cell>
          <cell r="H1179" t="str">
            <v>SAFISCOR</v>
          </cell>
          <cell r="N1179">
            <v>1000</v>
          </cell>
          <cell r="Y1179">
            <v>46202</v>
          </cell>
          <cell r="Z1179">
            <v>1</v>
          </cell>
          <cell r="AA1179">
            <v>1000</v>
          </cell>
        </row>
        <row r="1180">
          <cell r="A1180">
            <v>46199</v>
          </cell>
          <cell r="D1180" t="str">
            <v>JOHANNAH 7</v>
          </cell>
          <cell r="E1180">
            <v>2</v>
          </cell>
          <cell r="H1180" t="str">
            <v>SAFISCOR</v>
          </cell>
          <cell r="N1180">
            <v>1000</v>
          </cell>
          <cell r="Y1180">
            <v>46202</v>
          </cell>
          <cell r="Z1180">
            <v>2</v>
          </cell>
          <cell r="AA1180">
            <v>1000</v>
          </cell>
        </row>
        <row r="1181">
          <cell r="A1181">
            <v>46199</v>
          </cell>
          <cell r="D1181" t="str">
            <v>JOHANNAH 7</v>
          </cell>
          <cell r="E1181">
            <v>2</v>
          </cell>
          <cell r="H1181" t="str">
            <v>SAFISCOR</v>
          </cell>
          <cell r="N1181">
            <v>1000</v>
          </cell>
          <cell r="Y1181">
            <v>46201</v>
          </cell>
          <cell r="Z1181">
            <v>2</v>
          </cell>
          <cell r="AA1181">
            <v>1000</v>
          </cell>
        </row>
        <row r="1182">
          <cell r="A1182">
            <v>46199</v>
          </cell>
          <cell r="D1182" t="str">
            <v>JOHANNAH 7</v>
          </cell>
          <cell r="E1182">
            <v>2</v>
          </cell>
          <cell r="H1182" t="str">
            <v>SAFISCOR</v>
          </cell>
          <cell r="N1182">
            <v>1000</v>
          </cell>
          <cell r="Y1182">
            <v>46201</v>
          </cell>
          <cell r="Z1182">
            <v>1</v>
          </cell>
          <cell r="AA1182">
            <v>1000</v>
          </cell>
        </row>
        <row r="1183">
          <cell r="A1183">
            <v>46199</v>
          </cell>
          <cell r="D1183" t="str">
            <v>JOHANNAH 7</v>
          </cell>
          <cell r="E1183">
            <v>2</v>
          </cell>
          <cell r="H1183" t="str">
            <v>SAFISCOR</v>
          </cell>
          <cell r="N1183">
            <v>1000</v>
          </cell>
          <cell r="Y1183">
            <v>46200</v>
          </cell>
          <cell r="Z1183">
            <v>1</v>
          </cell>
          <cell r="AA1183">
            <v>1000</v>
          </cell>
        </row>
        <row r="1184">
          <cell r="A1184">
            <v>46199</v>
          </cell>
          <cell r="D1184" t="str">
            <v>JOHANNAH 7</v>
          </cell>
          <cell r="E1184">
            <v>2</v>
          </cell>
          <cell r="H1184" t="str">
            <v>SAFISCOR</v>
          </cell>
          <cell r="N1184">
            <v>1000</v>
          </cell>
          <cell r="Y1184">
            <v>46202</v>
          </cell>
          <cell r="Z1184">
            <v>2</v>
          </cell>
          <cell r="AA1184">
            <v>1000</v>
          </cell>
        </row>
        <row r="1185">
          <cell r="A1185">
            <v>46199</v>
          </cell>
          <cell r="D1185" t="str">
            <v>JOHANNAH 7</v>
          </cell>
          <cell r="E1185">
            <v>2</v>
          </cell>
          <cell r="H1185" t="str">
            <v>LAPU-LAPU</v>
          </cell>
          <cell r="N1185">
            <v>1000</v>
          </cell>
          <cell r="Y1185">
            <v>46200</v>
          </cell>
          <cell r="Z1185">
            <v>1</v>
          </cell>
          <cell r="AA1185">
            <v>1000</v>
          </cell>
        </row>
        <row r="1186">
          <cell r="A1186">
            <v>46199</v>
          </cell>
          <cell r="D1186" t="str">
            <v>PHILIP MARK</v>
          </cell>
          <cell r="E1186">
            <v>1</v>
          </cell>
          <cell r="H1186" t="str">
            <v>SAFISCOR</v>
          </cell>
          <cell r="N1186">
            <v>1000</v>
          </cell>
          <cell r="Y1186">
            <v>46201</v>
          </cell>
          <cell r="Z1186">
            <v>2</v>
          </cell>
          <cell r="AA1186">
            <v>1000</v>
          </cell>
        </row>
        <row r="1187">
          <cell r="A1187">
            <v>46199</v>
          </cell>
          <cell r="D1187" t="str">
            <v>PHILIP MARK</v>
          </cell>
          <cell r="E1187">
            <v>1</v>
          </cell>
          <cell r="H1187" t="str">
            <v>SAFISCOR</v>
          </cell>
          <cell r="N1187">
            <v>1000</v>
          </cell>
          <cell r="Y1187">
            <v>46200</v>
          </cell>
          <cell r="Z1187">
            <v>1</v>
          </cell>
          <cell r="AA1187">
            <v>1000</v>
          </cell>
        </row>
        <row r="1188">
          <cell r="A1188">
            <v>46199</v>
          </cell>
          <cell r="D1188" t="str">
            <v>JOHANNAH 7</v>
          </cell>
          <cell r="E1188">
            <v>2</v>
          </cell>
          <cell r="H1188" t="str">
            <v>SAFISCOR</v>
          </cell>
          <cell r="N1188">
            <v>1000</v>
          </cell>
          <cell r="Y1188">
            <v>46202</v>
          </cell>
          <cell r="Z1188">
            <v>1</v>
          </cell>
          <cell r="AA1188">
            <v>1000</v>
          </cell>
        </row>
        <row r="1189">
          <cell r="A1189">
            <v>46199</v>
          </cell>
          <cell r="D1189" t="str">
            <v>JOHANNAH 7</v>
          </cell>
          <cell r="E1189">
            <v>2</v>
          </cell>
          <cell r="H1189" t="str">
            <v>SAFISCOR</v>
          </cell>
          <cell r="N1189">
            <v>1000</v>
          </cell>
          <cell r="Y1189">
            <v>46201</v>
          </cell>
          <cell r="Z1189">
            <v>2</v>
          </cell>
          <cell r="AA1189">
            <v>1000</v>
          </cell>
        </row>
        <row r="1190">
          <cell r="A1190">
            <v>46199</v>
          </cell>
          <cell r="D1190" t="str">
            <v>JOHANNAH 7</v>
          </cell>
          <cell r="E1190">
            <v>2</v>
          </cell>
          <cell r="H1190" t="str">
            <v>UCES</v>
          </cell>
          <cell r="N1190">
            <v>1000</v>
          </cell>
          <cell r="Y1190">
            <v>46199</v>
          </cell>
          <cell r="Z1190">
            <v>2</v>
          </cell>
          <cell r="AA1190">
            <v>1000</v>
          </cell>
        </row>
        <row r="1191">
          <cell r="A1191">
            <v>46199</v>
          </cell>
          <cell r="D1191" t="str">
            <v>JOHANNAH 7</v>
          </cell>
          <cell r="E1191">
            <v>2</v>
          </cell>
          <cell r="H1191" t="str">
            <v>BADIE</v>
          </cell>
          <cell r="N1191">
            <v>300</v>
          </cell>
          <cell r="Y1191">
            <v>46199</v>
          </cell>
          <cell r="Z1191">
            <v>2</v>
          </cell>
          <cell r="AA1191">
            <v>300</v>
          </cell>
        </row>
        <row r="1192">
          <cell r="A1192">
            <v>46199</v>
          </cell>
          <cell r="D1192" t="str">
            <v>QUEEN CAROLYN</v>
          </cell>
          <cell r="E1192">
            <v>2</v>
          </cell>
          <cell r="H1192" t="str">
            <v>SAFISCOR</v>
          </cell>
          <cell r="N1192">
            <v>700</v>
          </cell>
          <cell r="Y1192">
            <v>46199</v>
          </cell>
          <cell r="Z1192">
            <v>2</v>
          </cell>
          <cell r="AA1192">
            <v>1000</v>
          </cell>
        </row>
        <row r="1193">
          <cell r="A1193">
            <v>46199</v>
          </cell>
          <cell r="D1193" t="str">
            <v>QUEEN CAROLYN</v>
          </cell>
          <cell r="E1193">
            <v>2</v>
          </cell>
          <cell r="H1193" t="str">
            <v>SAFISCOR</v>
          </cell>
          <cell r="N1193">
            <v>1000</v>
          </cell>
          <cell r="Y1193">
            <v>46199</v>
          </cell>
          <cell r="Z1193">
            <v>2</v>
          </cell>
          <cell r="AA1193">
            <v>300</v>
          </cell>
        </row>
        <row r="1194">
          <cell r="A1194">
            <v>46200</v>
          </cell>
          <cell r="D1194" t="str">
            <v>QUEEN CAROLYN</v>
          </cell>
          <cell r="E1194">
            <v>2</v>
          </cell>
          <cell r="H1194" t="str">
            <v>SAFISCOR</v>
          </cell>
          <cell r="N1194">
            <v>1000</v>
          </cell>
          <cell r="Y1194">
            <v>46199</v>
          </cell>
          <cell r="Z1194">
            <v>2</v>
          </cell>
          <cell r="AA1194">
            <v>700</v>
          </cell>
        </row>
        <row r="1195">
          <cell r="A1195">
            <v>46200</v>
          </cell>
          <cell r="D1195" t="str">
            <v>JOHANNAH 7</v>
          </cell>
          <cell r="E1195">
            <v>2</v>
          </cell>
          <cell r="H1195" t="str">
            <v>BADIE</v>
          </cell>
          <cell r="N1195">
            <v>1000</v>
          </cell>
          <cell r="Y1195">
            <v>46199</v>
          </cell>
          <cell r="Z1195">
            <v>2</v>
          </cell>
          <cell r="AA1195">
            <v>1000</v>
          </cell>
        </row>
        <row r="1196">
          <cell r="A1196">
            <v>46200</v>
          </cell>
          <cell r="D1196" t="str">
            <v>PHILIP MARK</v>
          </cell>
          <cell r="E1196">
            <v>1</v>
          </cell>
          <cell r="H1196" t="str">
            <v>SAFISCOR</v>
          </cell>
          <cell r="N1196">
            <v>1000</v>
          </cell>
          <cell r="Y1196">
            <v>46200</v>
          </cell>
          <cell r="Z1196">
            <v>1</v>
          </cell>
          <cell r="AA1196">
            <v>1000</v>
          </cell>
        </row>
        <row r="1197">
          <cell r="A1197">
            <v>46200</v>
          </cell>
          <cell r="D1197" t="str">
            <v>PHILIP MARK</v>
          </cell>
          <cell r="E1197">
            <v>1</v>
          </cell>
          <cell r="H1197" t="str">
            <v>SAFISCOR</v>
          </cell>
          <cell r="N1197">
            <v>1000</v>
          </cell>
          <cell r="Y1197">
            <v>46201</v>
          </cell>
          <cell r="Z1197">
            <v>1</v>
          </cell>
          <cell r="AA1197">
            <v>1000</v>
          </cell>
        </row>
        <row r="1198">
          <cell r="A1198">
            <v>46200</v>
          </cell>
          <cell r="D1198" t="str">
            <v>PHILIP MARK</v>
          </cell>
          <cell r="E1198">
            <v>1</v>
          </cell>
          <cell r="H1198" t="str">
            <v>SAFISCOR</v>
          </cell>
          <cell r="N1198">
            <v>1000</v>
          </cell>
          <cell r="Y1198">
            <v>46201</v>
          </cell>
          <cell r="Z1198">
            <v>1</v>
          </cell>
          <cell r="AA1198">
            <v>1000</v>
          </cell>
        </row>
        <row r="1199">
          <cell r="A1199">
            <v>46200</v>
          </cell>
          <cell r="D1199" t="str">
            <v>PHILIP MARK</v>
          </cell>
          <cell r="E1199">
            <v>1</v>
          </cell>
          <cell r="H1199" t="str">
            <v>SAFISCOR</v>
          </cell>
          <cell r="N1199">
            <v>1000</v>
          </cell>
          <cell r="Y1199">
            <v>46201</v>
          </cell>
          <cell r="Z1199">
            <v>2</v>
          </cell>
          <cell r="AA1199">
            <v>1000</v>
          </cell>
        </row>
        <row r="1200">
          <cell r="A1200">
            <v>46200</v>
          </cell>
          <cell r="D1200" t="str">
            <v>JOHANNAH 7</v>
          </cell>
          <cell r="E1200">
            <v>2</v>
          </cell>
          <cell r="H1200" t="str">
            <v>LAPU-LAPU</v>
          </cell>
          <cell r="N1200">
            <v>1000</v>
          </cell>
          <cell r="Y1200">
            <v>46200</v>
          </cell>
          <cell r="Z1200">
            <v>1</v>
          </cell>
          <cell r="AA1200">
            <v>1000</v>
          </cell>
        </row>
        <row r="1201">
          <cell r="A1201">
            <v>46200</v>
          </cell>
          <cell r="D1201" t="str">
            <v>JOHANNAH 7</v>
          </cell>
          <cell r="E1201">
            <v>2</v>
          </cell>
          <cell r="H1201" t="str">
            <v>SAFISCOR</v>
          </cell>
          <cell r="N1201">
            <v>1000</v>
          </cell>
          <cell r="Y1201">
            <v>46201</v>
          </cell>
          <cell r="Z1201">
            <v>2</v>
          </cell>
          <cell r="AA1201">
            <v>1000</v>
          </cell>
        </row>
        <row r="1202">
          <cell r="A1202">
            <v>46200</v>
          </cell>
          <cell r="D1202" t="str">
            <v>JOHANNAH 7</v>
          </cell>
          <cell r="E1202">
            <v>2</v>
          </cell>
          <cell r="H1202" t="str">
            <v>SAFISCOR</v>
          </cell>
          <cell r="N1202">
            <v>1000</v>
          </cell>
          <cell r="Y1202">
            <v>46202</v>
          </cell>
          <cell r="Z1202">
            <v>1</v>
          </cell>
          <cell r="AA1202">
            <v>1000</v>
          </cell>
        </row>
        <row r="1203">
          <cell r="A1203">
            <v>46200</v>
          </cell>
          <cell r="D1203" t="str">
            <v>JOHANNAH 7</v>
          </cell>
          <cell r="E1203">
            <v>2</v>
          </cell>
          <cell r="H1203" t="str">
            <v>SAFISCOR</v>
          </cell>
          <cell r="N1203">
            <v>1000</v>
          </cell>
          <cell r="Y1203">
            <v>46202</v>
          </cell>
          <cell r="Z1203">
            <v>1</v>
          </cell>
          <cell r="AA1203">
            <v>1000</v>
          </cell>
        </row>
        <row r="1204">
          <cell r="A1204">
            <v>46200</v>
          </cell>
          <cell r="D1204" t="str">
            <v>JOHANNAH 7</v>
          </cell>
          <cell r="E1204">
            <v>2</v>
          </cell>
          <cell r="H1204" t="str">
            <v>LAPU-LAPU</v>
          </cell>
          <cell r="N1204">
            <v>1000</v>
          </cell>
          <cell r="Y1204">
            <v>46200</v>
          </cell>
          <cell r="Z1204">
            <v>1</v>
          </cell>
          <cell r="AA1204">
            <v>1000</v>
          </cell>
        </row>
        <row r="1205">
          <cell r="A1205">
            <v>46200</v>
          </cell>
          <cell r="D1205" t="str">
            <v>QUEEN CAROLYN</v>
          </cell>
          <cell r="E1205">
            <v>2</v>
          </cell>
          <cell r="H1205" t="str">
            <v>GEO</v>
          </cell>
          <cell r="N1205">
            <v>1000</v>
          </cell>
          <cell r="Y1205">
            <v>46200</v>
          </cell>
          <cell r="Z1205">
            <v>1</v>
          </cell>
          <cell r="AA1205">
            <v>1000</v>
          </cell>
        </row>
        <row r="1206">
          <cell r="A1206">
            <v>46200</v>
          </cell>
          <cell r="D1206" t="str">
            <v>JOHANNAH 7</v>
          </cell>
          <cell r="E1206">
            <v>2</v>
          </cell>
          <cell r="H1206" t="str">
            <v>SAFISCOR</v>
          </cell>
          <cell r="N1206">
            <v>1000</v>
          </cell>
          <cell r="Y1206">
            <v>46202</v>
          </cell>
          <cell r="Z1206">
            <v>2</v>
          </cell>
          <cell r="AA1206">
            <v>1000</v>
          </cell>
        </row>
        <row r="1207">
          <cell r="A1207">
            <v>46200</v>
          </cell>
          <cell r="D1207" t="str">
            <v>JOHANNAH 7</v>
          </cell>
          <cell r="E1207">
            <v>2</v>
          </cell>
          <cell r="H1207" t="str">
            <v>LAPU-LAPU</v>
          </cell>
          <cell r="N1207">
            <v>1000</v>
          </cell>
          <cell r="Y1207">
            <v>46201</v>
          </cell>
          <cell r="Z1207">
            <v>2</v>
          </cell>
          <cell r="AA1207">
            <v>1000</v>
          </cell>
        </row>
        <row r="1208">
          <cell r="A1208">
            <v>46200</v>
          </cell>
          <cell r="D1208" t="str">
            <v>PHILIP MARK</v>
          </cell>
          <cell r="E1208">
            <v>1</v>
          </cell>
          <cell r="H1208" t="str">
            <v>APLUS</v>
          </cell>
          <cell r="N1208">
            <v>1000</v>
          </cell>
          <cell r="Y1208">
            <v>46200</v>
          </cell>
          <cell r="Z1208">
            <v>1</v>
          </cell>
          <cell r="AA1208">
            <v>1000</v>
          </cell>
        </row>
        <row r="1209">
          <cell r="A1209">
            <v>46200</v>
          </cell>
          <cell r="D1209" t="str">
            <v>QUEEN CAROLYN</v>
          </cell>
          <cell r="E1209">
            <v>2</v>
          </cell>
          <cell r="H1209" t="str">
            <v>SAFISCOR</v>
          </cell>
          <cell r="N1209">
            <v>1000</v>
          </cell>
          <cell r="Y1209">
            <v>46200</v>
          </cell>
          <cell r="Z1209">
            <v>1</v>
          </cell>
          <cell r="AA1209">
            <v>1000</v>
          </cell>
        </row>
        <row r="1210">
          <cell r="A1210">
            <v>46200</v>
          </cell>
          <cell r="D1210" t="str">
            <v>JOHANNAH 7</v>
          </cell>
          <cell r="E1210">
            <v>2</v>
          </cell>
          <cell r="H1210" t="str">
            <v>GEO</v>
          </cell>
          <cell r="N1210">
            <v>1000</v>
          </cell>
          <cell r="Y1210">
            <v>46201</v>
          </cell>
          <cell r="Z1210">
            <v>1</v>
          </cell>
          <cell r="AA1210">
            <v>1000</v>
          </cell>
        </row>
        <row r="1211">
          <cell r="A1211">
            <v>46200</v>
          </cell>
          <cell r="D1211" t="str">
            <v>JOHANNAH 7</v>
          </cell>
          <cell r="E1211">
            <v>2</v>
          </cell>
          <cell r="H1211" t="str">
            <v>LAPU-LAPU</v>
          </cell>
          <cell r="N1211">
            <v>1000</v>
          </cell>
          <cell r="Y1211">
            <v>46201</v>
          </cell>
          <cell r="Z1211">
            <v>1</v>
          </cell>
          <cell r="AA1211">
            <v>1000</v>
          </cell>
        </row>
        <row r="1212">
          <cell r="A1212">
            <v>46200</v>
          </cell>
          <cell r="D1212" t="str">
            <v>JOHANNAH 7</v>
          </cell>
          <cell r="E1212">
            <v>2</v>
          </cell>
          <cell r="H1212" t="str">
            <v>SAFISCOR</v>
          </cell>
          <cell r="N1212">
            <v>1000</v>
          </cell>
          <cell r="Y1212">
            <v>46202</v>
          </cell>
          <cell r="Z1212">
            <v>2</v>
          </cell>
          <cell r="AA1212">
            <v>1000</v>
          </cell>
        </row>
        <row r="1213">
          <cell r="A1213">
            <v>46200</v>
          </cell>
          <cell r="D1213" t="str">
            <v>PHILIP MARK</v>
          </cell>
          <cell r="E1213">
            <v>1</v>
          </cell>
          <cell r="H1213" t="str">
            <v>SAFISCOR</v>
          </cell>
          <cell r="N1213">
            <v>1000</v>
          </cell>
          <cell r="Y1213">
            <v>46200</v>
          </cell>
          <cell r="Z1213">
            <v>1</v>
          </cell>
          <cell r="AA1213">
            <v>1000</v>
          </cell>
        </row>
        <row r="1214">
          <cell r="A1214">
            <v>46200</v>
          </cell>
          <cell r="D1214" t="str">
            <v>JOHANNAH 7</v>
          </cell>
          <cell r="E1214">
            <v>2</v>
          </cell>
          <cell r="H1214" t="str">
            <v>SAFISCOR</v>
          </cell>
          <cell r="N1214">
            <v>1000</v>
          </cell>
          <cell r="Y1214">
            <v>46200</v>
          </cell>
          <cell r="Z1214">
            <v>1</v>
          </cell>
          <cell r="AA1214">
            <v>1000</v>
          </cell>
        </row>
        <row r="1215">
          <cell r="A1215">
            <v>46200</v>
          </cell>
          <cell r="D1215" t="str">
            <v>QUEEN CAROLYN</v>
          </cell>
          <cell r="E1215">
            <v>2</v>
          </cell>
          <cell r="H1215" t="str">
            <v>LAPU-LAPU</v>
          </cell>
          <cell r="N1215">
            <v>1000</v>
          </cell>
          <cell r="Y1215">
            <v>46200</v>
          </cell>
          <cell r="Z1215">
            <v>1</v>
          </cell>
          <cell r="AA1215">
            <v>1000</v>
          </cell>
        </row>
        <row r="1216">
          <cell r="A1216">
            <v>46200</v>
          </cell>
          <cell r="D1216" t="str">
            <v xml:space="preserve">STAR SOGOD </v>
          </cell>
          <cell r="E1216">
            <v>3</v>
          </cell>
          <cell r="H1216" t="str">
            <v>UCES</v>
          </cell>
          <cell r="N1216">
            <v>1000</v>
          </cell>
          <cell r="Y1216">
            <v>46201</v>
          </cell>
          <cell r="Z1216">
            <v>1</v>
          </cell>
          <cell r="AA1216">
            <v>1000</v>
          </cell>
        </row>
        <row r="1217">
          <cell r="A1217">
            <v>46200</v>
          </cell>
          <cell r="D1217" t="str">
            <v xml:space="preserve">STAR SOGOD </v>
          </cell>
          <cell r="E1217">
            <v>3</v>
          </cell>
          <cell r="H1217" t="str">
            <v>SAFISCOR</v>
          </cell>
          <cell r="N1217">
            <v>1000</v>
          </cell>
          <cell r="Y1217">
            <v>46200</v>
          </cell>
          <cell r="Z1217">
            <v>1</v>
          </cell>
          <cell r="AA1217">
            <v>1000</v>
          </cell>
        </row>
        <row r="1218">
          <cell r="A1218">
            <v>46200</v>
          </cell>
          <cell r="D1218" t="str">
            <v xml:space="preserve">STAR SOGOD </v>
          </cell>
          <cell r="E1218">
            <v>3</v>
          </cell>
          <cell r="H1218" t="str">
            <v>SAFISCOR</v>
          </cell>
          <cell r="N1218">
            <v>1000</v>
          </cell>
          <cell r="Y1218">
            <v>46201</v>
          </cell>
          <cell r="Z1218">
            <v>1</v>
          </cell>
          <cell r="AA1218">
            <v>1000</v>
          </cell>
        </row>
        <row r="1219">
          <cell r="A1219">
            <v>46200</v>
          </cell>
          <cell r="D1219" t="str">
            <v>PHILIP MARK</v>
          </cell>
          <cell r="E1219">
            <v>1</v>
          </cell>
          <cell r="H1219" t="str">
            <v>SAFISCOR</v>
          </cell>
          <cell r="N1219">
            <v>1000</v>
          </cell>
          <cell r="Y1219">
            <v>46201</v>
          </cell>
          <cell r="Z1219">
            <v>1</v>
          </cell>
          <cell r="AA1219">
            <v>1000</v>
          </cell>
        </row>
        <row r="1220">
          <cell r="A1220">
            <v>46200</v>
          </cell>
          <cell r="D1220" t="str">
            <v>PHILIP MARK</v>
          </cell>
          <cell r="E1220">
            <v>1</v>
          </cell>
          <cell r="H1220" t="str">
            <v>SAFISCOR</v>
          </cell>
          <cell r="N1220">
            <v>1000</v>
          </cell>
          <cell r="Y1220">
            <v>46201</v>
          </cell>
          <cell r="Z1220">
            <v>2</v>
          </cell>
          <cell r="AA1220">
            <v>1000</v>
          </cell>
        </row>
        <row r="1221">
          <cell r="A1221">
            <v>46200</v>
          </cell>
          <cell r="D1221" t="str">
            <v>PHILIP MARK</v>
          </cell>
          <cell r="E1221">
            <v>1</v>
          </cell>
          <cell r="H1221" t="str">
            <v>SAFISCOR</v>
          </cell>
          <cell r="N1221">
            <v>1000</v>
          </cell>
          <cell r="Y1221">
            <v>46201</v>
          </cell>
          <cell r="Z1221">
            <v>2</v>
          </cell>
          <cell r="AA1221">
            <v>1000</v>
          </cell>
        </row>
        <row r="1222">
          <cell r="A1222">
            <v>46200</v>
          </cell>
          <cell r="D1222" t="str">
            <v>PHILIP MARK</v>
          </cell>
          <cell r="E1222">
            <v>1</v>
          </cell>
          <cell r="H1222" t="str">
            <v>LAPU-LAPU</v>
          </cell>
          <cell r="N1222">
            <v>200</v>
          </cell>
          <cell r="Y1222">
            <v>46201</v>
          </cell>
          <cell r="Z1222">
            <v>1</v>
          </cell>
          <cell r="AA1222">
            <v>200</v>
          </cell>
        </row>
        <row r="1223">
          <cell r="A1223">
            <v>46200</v>
          </cell>
          <cell r="D1223" t="str">
            <v xml:space="preserve">STAR SOGOD </v>
          </cell>
          <cell r="E1223">
            <v>3</v>
          </cell>
          <cell r="H1223" t="str">
            <v>SAFISCOR</v>
          </cell>
          <cell r="N1223">
            <v>1000</v>
          </cell>
          <cell r="Y1223">
            <v>46201</v>
          </cell>
          <cell r="Z1223">
            <v>1</v>
          </cell>
          <cell r="AA1223">
            <v>1000</v>
          </cell>
        </row>
        <row r="1224">
          <cell r="A1224">
            <v>46200</v>
          </cell>
          <cell r="D1224" t="str">
            <v>PHILIP MARK</v>
          </cell>
          <cell r="E1224">
            <v>1</v>
          </cell>
          <cell r="H1224" t="str">
            <v>SAFISCOR</v>
          </cell>
          <cell r="N1224">
            <v>1000</v>
          </cell>
          <cell r="Y1224">
            <v>46201</v>
          </cell>
          <cell r="Z1224">
            <v>1</v>
          </cell>
          <cell r="AA1224">
            <v>1000</v>
          </cell>
        </row>
        <row r="1225">
          <cell r="A1225">
            <v>46200</v>
          </cell>
          <cell r="D1225" t="str">
            <v>PHILIP MARK</v>
          </cell>
          <cell r="E1225">
            <v>1</v>
          </cell>
          <cell r="H1225" t="str">
            <v>LAPU-LAPU</v>
          </cell>
          <cell r="N1225">
            <v>800</v>
          </cell>
          <cell r="Y1225">
            <v>46201</v>
          </cell>
          <cell r="Z1225">
            <v>1</v>
          </cell>
          <cell r="AA1225">
            <v>800</v>
          </cell>
        </row>
        <row r="1226">
          <cell r="A1226">
            <v>46200</v>
          </cell>
          <cell r="D1226" t="str">
            <v>QUEEN CAROLYN</v>
          </cell>
          <cell r="E1226">
            <v>2</v>
          </cell>
          <cell r="H1226" t="str">
            <v>SAFISCOR</v>
          </cell>
          <cell r="N1226">
            <v>1000</v>
          </cell>
          <cell r="Y1226">
            <v>46201</v>
          </cell>
          <cell r="Z1226">
            <v>1</v>
          </cell>
          <cell r="AA1226">
            <v>1000</v>
          </cell>
        </row>
        <row r="1227">
          <cell r="A1227">
            <v>46201</v>
          </cell>
          <cell r="D1227" t="str">
            <v>QUEEN CAROLYN</v>
          </cell>
          <cell r="E1227">
            <v>2</v>
          </cell>
          <cell r="H1227" t="str">
            <v>SAFISCOR</v>
          </cell>
          <cell r="N1227">
            <v>1000</v>
          </cell>
          <cell r="Y1227">
            <v>46201</v>
          </cell>
          <cell r="Z1227">
            <v>1</v>
          </cell>
          <cell r="AA1227">
            <v>800</v>
          </cell>
        </row>
        <row r="1228">
          <cell r="A1228">
            <v>46201</v>
          </cell>
          <cell r="D1228" t="str">
            <v>JOHANNAH 7</v>
          </cell>
          <cell r="E1228">
            <v>2</v>
          </cell>
          <cell r="H1228" t="str">
            <v>SAFISCOR</v>
          </cell>
          <cell r="N1228">
            <v>1000</v>
          </cell>
          <cell r="Y1228">
            <v>46202</v>
          </cell>
          <cell r="Z1228">
            <v>2</v>
          </cell>
          <cell r="AA1228">
            <v>1000</v>
          </cell>
        </row>
        <row r="1229">
          <cell r="A1229">
            <v>46201</v>
          </cell>
          <cell r="D1229" t="str">
            <v>QUEEN CAROLYN</v>
          </cell>
          <cell r="E1229">
            <v>2</v>
          </cell>
          <cell r="H1229" t="str">
            <v>SAFISCOR</v>
          </cell>
          <cell r="N1229">
            <v>1000</v>
          </cell>
          <cell r="Y1229">
            <v>46201</v>
          </cell>
          <cell r="Z1229">
            <v>1</v>
          </cell>
          <cell r="AA1229">
            <v>1000</v>
          </cell>
        </row>
        <row r="1230">
          <cell r="D1230" t="str">
            <v xml:space="preserve"> </v>
          </cell>
          <cell r="E1230" t="str">
            <v xml:space="preserve"> </v>
          </cell>
        </row>
        <row r="1231">
          <cell r="A1231">
            <v>46201</v>
          </cell>
          <cell r="D1231" t="str">
            <v>PHILIP MARK</v>
          </cell>
          <cell r="E1231">
            <v>1</v>
          </cell>
          <cell r="H1231" t="str">
            <v>SAFISCOR</v>
          </cell>
          <cell r="N1231">
            <v>1000</v>
          </cell>
          <cell r="Y1231">
            <v>46201</v>
          </cell>
          <cell r="Z1231">
            <v>2</v>
          </cell>
          <cell r="AA1231">
            <v>1000</v>
          </cell>
        </row>
        <row r="1232">
          <cell r="A1232">
            <v>46201</v>
          </cell>
          <cell r="D1232" t="str">
            <v>LADY OF REMEDY</v>
          </cell>
          <cell r="E1232">
            <v>3</v>
          </cell>
          <cell r="H1232" t="str">
            <v>SAFISCOR</v>
          </cell>
          <cell r="N1232">
            <v>1000</v>
          </cell>
          <cell r="Y1232">
            <v>46201</v>
          </cell>
          <cell r="Z1232">
            <v>1</v>
          </cell>
          <cell r="AA1232">
            <v>1000</v>
          </cell>
        </row>
        <row r="1233">
          <cell r="A1233">
            <v>46201</v>
          </cell>
          <cell r="D1233" t="str">
            <v>LADY OF REMEDY</v>
          </cell>
          <cell r="E1233">
            <v>3</v>
          </cell>
          <cell r="H1233" t="str">
            <v>GEO</v>
          </cell>
          <cell r="N1233">
            <v>1000</v>
          </cell>
          <cell r="Y1233">
            <v>46201</v>
          </cell>
          <cell r="Z1233">
            <v>1</v>
          </cell>
          <cell r="AA1233">
            <v>1000</v>
          </cell>
        </row>
        <row r="1234">
          <cell r="A1234">
            <v>46201</v>
          </cell>
          <cell r="D1234" t="str">
            <v>JOHANNAH 7</v>
          </cell>
          <cell r="E1234">
            <v>2</v>
          </cell>
          <cell r="H1234" t="str">
            <v>LAPU-LAPU</v>
          </cell>
          <cell r="N1234">
            <v>1000</v>
          </cell>
          <cell r="Y1234">
            <v>46201</v>
          </cell>
          <cell r="Z1234">
            <v>1</v>
          </cell>
          <cell r="AA1234">
            <v>1000</v>
          </cell>
        </row>
        <row r="1235">
          <cell r="A1235">
            <v>46201</v>
          </cell>
          <cell r="D1235" t="str">
            <v>JOHANNAH 7</v>
          </cell>
          <cell r="E1235">
            <v>2</v>
          </cell>
          <cell r="H1235" t="str">
            <v>SAFISCOR</v>
          </cell>
          <cell r="N1235">
            <v>1000</v>
          </cell>
          <cell r="Y1235">
            <v>46201</v>
          </cell>
          <cell r="Z1235">
            <v>2</v>
          </cell>
          <cell r="AA1235">
            <v>1000</v>
          </cell>
        </row>
        <row r="1236">
          <cell r="A1236">
            <v>46201</v>
          </cell>
          <cell r="D1236" t="str">
            <v>JOHANNAH 7</v>
          </cell>
          <cell r="E1236">
            <v>2</v>
          </cell>
          <cell r="H1236" t="str">
            <v>SAFISCOR</v>
          </cell>
          <cell r="N1236">
            <v>1000</v>
          </cell>
          <cell r="Y1236">
            <v>46202</v>
          </cell>
          <cell r="Z1236">
            <v>2</v>
          </cell>
          <cell r="AA1236">
            <v>1000</v>
          </cell>
        </row>
        <row r="1237">
          <cell r="A1237">
            <v>46201</v>
          </cell>
          <cell r="D1237" t="str">
            <v>JOHANNAH 7</v>
          </cell>
          <cell r="E1237">
            <v>2</v>
          </cell>
          <cell r="H1237" t="str">
            <v>SAFISCOR</v>
          </cell>
          <cell r="N1237">
            <v>1000</v>
          </cell>
          <cell r="Y1237">
            <v>46202</v>
          </cell>
          <cell r="Z1237">
            <v>2</v>
          </cell>
          <cell r="AA1237">
            <v>1000</v>
          </cell>
        </row>
        <row r="1238">
          <cell r="A1238">
            <v>46201</v>
          </cell>
          <cell r="D1238" t="str">
            <v>JOHANNAH 7</v>
          </cell>
          <cell r="E1238">
            <v>2</v>
          </cell>
          <cell r="H1238" t="str">
            <v>SAFISCOR</v>
          </cell>
          <cell r="N1238">
            <v>1000</v>
          </cell>
          <cell r="Y1238">
            <v>46202</v>
          </cell>
          <cell r="Z1238">
            <v>2</v>
          </cell>
          <cell r="AA1238">
            <v>1000</v>
          </cell>
        </row>
        <row r="1239">
          <cell r="A1239">
            <v>46201</v>
          </cell>
          <cell r="D1239" t="str">
            <v>JOHANNAH 7</v>
          </cell>
          <cell r="E1239">
            <v>2</v>
          </cell>
          <cell r="H1239" t="str">
            <v>SAFISCOR</v>
          </cell>
          <cell r="N1239">
            <v>1000</v>
          </cell>
          <cell r="Y1239">
            <v>46202</v>
          </cell>
          <cell r="Z1239">
            <v>1</v>
          </cell>
          <cell r="AA1239">
            <v>1000</v>
          </cell>
        </row>
        <row r="1240">
          <cell r="A1240">
            <v>46201</v>
          </cell>
          <cell r="D1240" t="str">
            <v>JOHANNAH 7</v>
          </cell>
          <cell r="E1240">
            <v>2</v>
          </cell>
          <cell r="H1240" t="str">
            <v>SAFISCOR</v>
          </cell>
          <cell r="N1240">
            <v>1000</v>
          </cell>
          <cell r="Y1240">
            <v>46202</v>
          </cell>
          <cell r="Z1240">
            <v>1</v>
          </cell>
          <cell r="AA1240">
            <v>1000</v>
          </cell>
        </row>
        <row r="1241">
          <cell r="A1241">
            <v>46201</v>
          </cell>
          <cell r="D1241" t="str">
            <v>JOHANNAH 7</v>
          </cell>
          <cell r="E1241">
            <v>2</v>
          </cell>
          <cell r="H1241" t="str">
            <v>BADIE</v>
          </cell>
          <cell r="N1241">
            <v>1000</v>
          </cell>
          <cell r="Y1241">
            <v>46201</v>
          </cell>
          <cell r="Z1241">
            <v>1</v>
          </cell>
          <cell r="AA1241">
            <v>1000</v>
          </cell>
        </row>
        <row r="1242">
          <cell r="A1242">
            <v>46201</v>
          </cell>
          <cell r="D1242" t="str">
            <v>JOHANNAH 7</v>
          </cell>
          <cell r="E1242">
            <v>2</v>
          </cell>
          <cell r="H1242" t="str">
            <v>SAFISCOR</v>
          </cell>
          <cell r="N1242">
            <v>1000</v>
          </cell>
          <cell r="Y1242">
            <v>46202</v>
          </cell>
          <cell r="Z1242">
            <v>2</v>
          </cell>
          <cell r="AA1242">
            <v>1000</v>
          </cell>
        </row>
        <row r="1243">
          <cell r="A1243">
            <v>46201</v>
          </cell>
          <cell r="D1243" t="str">
            <v>JOHANNAH 7</v>
          </cell>
          <cell r="E1243">
            <v>2</v>
          </cell>
          <cell r="H1243" t="str">
            <v>SAFISCOR</v>
          </cell>
          <cell r="N1243">
            <v>1000</v>
          </cell>
          <cell r="Y1243">
            <v>46201</v>
          </cell>
          <cell r="Z1243">
            <v>2</v>
          </cell>
          <cell r="AA1243">
            <v>1000</v>
          </cell>
        </row>
        <row r="1244">
          <cell r="A1244">
            <v>46201</v>
          </cell>
          <cell r="D1244" t="str">
            <v>JOHANNAH 7</v>
          </cell>
          <cell r="E1244">
            <v>2</v>
          </cell>
          <cell r="H1244" t="str">
            <v>GEO</v>
          </cell>
          <cell r="N1244">
            <v>1000</v>
          </cell>
          <cell r="Y1244">
            <v>46201</v>
          </cell>
          <cell r="Z1244">
            <v>1</v>
          </cell>
          <cell r="AA1244">
            <v>1000</v>
          </cell>
        </row>
        <row r="1245">
          <cell r="A1245">
            <v>46201</v>
          </cell>
          <cell r="D1245" t="str">
            <v>JOHANNAH 7</v>
          </cell>
          <cell r="E1245">
            <v>2</v>
          </cell>
          <cell r="H1245" t="str">
            <v>SAFISCOR</v>
          </cell>
          <cell r="N1245">
            <v>1000</v>
          </cell>
          <cell r="Y1245">
            <v>46201</v>
          </cell>
          <cell r="Z1245">
            <v>1</v>
          </cell>
          <cell r="AA1245">
            <v>1000</v>
          </cell>
        </row>
        <row r="1246">
          <cell r="A1246">
            <v>46201</v>
          </cell>
          <cell r="D1246" t="str">
            <v xml:space="preserve">STAR SOGOD </v>
          </cell>
          <cell r="E1246">
            <v>3</v>
          </cell>
          <cell r="H1246" t="str">
            <v>SAFISCOR</v>
          </cell>
          <cell r="N1246">
            <v>1000</v>
          </cell>
          <cell r="Y1246">
            <v>46201</v>
          </cell>
          <cell r="Z1246">
            <v>2</v>
          </cell>
          <cell r="AA1246">
            <v>1000</v>
          </cell>
        </row>
        <row r="1247">
          <cell r="A1247">
            <v>46201</v>
          </cell>
          <cell r="H1247" t="str">
            <v>SAFISCOR</v>
          </cell>
          <cell r="N1247">
            <v>1000</v>
          </cell>
        </row>
        <row r="1248">
          <cell r="A1248">
            <v>46201</v>
          </cell>
          <cell r="D1248" t="str">
            <v>PHILIP MARK</v>
          </cell>
          <cell r="E1248">
            <v>1</v>
          </cell>
          <cell r="H1248" t="str">
            <v>SAFISCOR</v>
          </cell>
          <cell r="N1248">
            <v>1000</v>
          </cell>
          <cell r="Y1248">
            <v>46201</v>
          </cell>
          <cell r="Z1248">
            <v>2</v>
          </cell>
          <cell r="AA1248">
            <v>1000</v>
          </cell>
        </row>
        <row r="1249">
          <cell r="A1249">
            <v>46201</v>
          </cell>
          <cell r="D1249" t="str">
            <v>PHILIP MARK</v>
          </cell>
          <cell r="E1249">
            <v>1</v>
          </cell>
          <cell r="H1249" t="str">
            <v>SAFISCOR</v>
          </cell>
          <cell r="N1249">
            <v>1000</v>
          </cell>
          <cell r="Y1249">
            <v>46201</v>
          </cell>
          <cell r="Z1249">
            <v>2</v>
          </cell>
          <cell r="AA1249">
            <v>1000</v>
          </cell>
        </row>
        <row r="1250">
          <cell r="A1250">
            <v>46201</v>
          </cell>
          <cell r="D1250" t="str">
            <v>LADY OF REMEDY</v>
          </cell>
          <cell r="E1250">
            <v>3</v>
          </cell>
          <cell r="H1250" t="str">
            <v>SAFISCOR</v>
          </cell>
          <cell r="N1250">
            <v>500</v>
          </cell>
          <cell r="Y1250">
            <v>46201</v>
          </cell>
          <cell r="Z1250">
            <v>1</v>
          </cell>
          <cell r="AA1250">
            <v>500</v>
          </cell>
        </row>
        <row r="1251">
          <cell r="A1251">
            <v>46201</v>
          </cell>
          <cell r="D1251" t="str">
            <v>LADY OF REMEDY</v>
          </cell>
          <cell r="E1251">
            <v>3</v>
          </cell>
          <cell r="H1251" t="str">
            <v>SAFISCOR</v>
          </cell>
          <cell r="N1251">
            <v>500</v>
          </cell>
          <cell r="Y1251">
            <v>46201</v>
          </cell>
          <cell r="Z1251">
            <v>1</v>
          </cell>
          <cell r="AA1251">
            <v>500</v>
          </cell>
        </row>
        <row r="1252">
          <cell r="A1252">
            <v>46201</v>
          </cell>
          <cell r="D1252" t="str">
            <v>LADY OF REMEDY</v>
          </cell>
          <cell r="E1252">
            <v>3</v>
          </cell>
          <cell r="H1252" t="str">
            <v>SAFISCOR</v>
          </cell>
          <cell r="N1252">
            <v>1000</v>
          </cell>
          <cell r="Y1252">
            <v>46203</v>
          </cell>
          <cell r="Z1252">
            <v>2</v>
          </cell>
          <cell r="AA1252">
            <v>1000</v>
          </cell>
        </row>
        <row r="1253">
          <cell r="A1253">
            <v>46201</v>
          </cell>
          <cell r="D1253" t="str">
            <v>LADY OF REMEDY</v>
          </cell>
          <cell r="E1253">
            <v>3</v>
          </cell>
          <cell r="H1253" t="str">
            <v>SAFISCOR</v>
          </cell>
          <cell r="N1253">
            <v>1000</v>
          </cell>
          <cell r="Y1253">
            <v>46201</v>
          </cell>
          <cell r="Z1253">
            <v>2</v>
          </cell>
          <cell r="AA1253">
            <v>1000</v>
          </cell>
        </row>
        <row r="1254">
          <cell r="A1254">
            <v>46201</v>
          </cell>
          <cell r="D1254" t="str">
            <v>PHILIP MARK</v>
          </cell>
          <cell r="E1254">
            <v>1</v>
          </cell>
          <cell r="H1254" t="str">
            <v>SAFISCOR</v>
          </cell>
          <cell r="N1254">
            <v>1000</v>
          </cell>
          <cell r="Y1254">
            <v>46201</v>
          </cell>
          <cell r="Z1254">
            <v>1</v>
          </cell>
          <cell r="AA1254">
            <v>1000</v>
          </cell>
        </row>
        <row r="1255">
          <cell r="A1255">
            <v>46201</v>
          </cell>
          <cell r="D1255" t="str">
            <v>LADY OF REMEDY</v>
          </cell>
          <cell r="E1255">
            <v>3</v>
          </cell>
          <cell r="H1255" t="str">
            <v>SAFISCOR</v>
          </cell>
          <cell r="N1255">
            <v>1000</v>
          </cell>
          <cell r="Y1255">
            <v>46202</v>
          </cell>
          <cell r="Z1255">
            <v>1</v>
          </cell>
          <cell r="AA1255">
            <v>1000</v>
          </cell>
        </row>
        <row r="1256">
          <cell r="A1256">
            <v>46202</v>
          </cell>
          <cell r="D1256" t="str">
            <v xml:space="preserve">STAR SOGOD </v>
          </cell>
          <cell r="E1256">
            <v>3</v>
          </cell>
          <cell r="H1256" t="str">
            <v>LAPU-LAPU</v>
          </cell>
          <cell r="N1256">
            <v>1000</v>
          </cell>
          <cell r="Y1256">
            <v>46202</v>
          </cell>
          <cell r="Z1256">
            <v>1</v>
          </cell>
          <cell r="AA1256">
            <v>1000</v>
          </cell>
        </row>
        <row r="1257">
          <cell r="A1257">
            <v>46202</v>
          </cell>
          <cell r="D1257" t="str">
            <v>LADY OF REMEDY</v>
          </cell>
          <cell r="E1257">
            <v>3</v>
          </cell>
          <cell r="H1257" t="str">
            <v>SAFISCOR</v>
          </cell>
          <cell r="N1257">
            <v>1000</v>
          </cell>
          <cell r="Y1257">
            <v>46202</v>
          </cell>
          <cell r="Z1257">
            <v>1</v>
          </cell>
          <cell r="AA1257">
            <v>1000</v>
          </cell>
        </row>
        <row r="1258">
          <cell r="A1258">
            <v>46202</v>
          </cell>
          <cell r="D1258" t="str">
            <v>PHILIP MARK</v>
          </cell>
          <cell r="E1258">
            <v>1</v>
          </cell>
          <cell r="H1258" t="str">
            <v>APLUS</v>
          </cell>
          <cell r="N1258">
            <v>1000</v>
          </cell>
          <cell r="Y1258">
            <v>46202</v>
          </cell>
          <cell r="Z1258">
            <v>1</v>
          </cell>
          <cell r="AA1258">
            <v>1000</v>
          </cell>
        </row>
        <row r="1259">
          <cell r="A1259">
            <v>46202</v>
          </cell>
          <cell r="D1259" t="str">
            <v>LADY OF REMEDY</v>
          </cell>
          <cell r="E1259">
            <v>3</v>
          </cell>
          <cell r="H1259" t="str">
            <v>SAFISCOR</v>
          </cell>
          <cell r="N1259">
            <v>1000</v>
          </cell>
          <cell r="Y1259">
            <v>46202</v>
          </cell>
          <cell r="Z1259">
            <v>1</v>
          </cell>
          <cell r="AA1259">
            <v>1000</v>
          </cell>
        </row>
        <row r="1260">
          <cell r="A1260">
            <v>46202</v>
          </cell>
          <cell r="D1260" t="str">
            <v xml:space="preserve">STAR SOGOD </v>
          </cell>
          <cell r="E1260">
            <v>3</v>
          </cell>
          <cell r="H1260" t="str">
            <v>SAFISCOR</v>
          </cell>
          <cell r="N1260">
            <v>1000</v>
          </cell>
          <cell r="Y1260">
            <v>46202</v>
          </cell>
          <cell r="Z1260">
            <v>2</v>
          </cell>
          <cell r="AA1260">
            <v>1000</v>
          </cell>
        </row>
        <row r="1261">
          <cell r="A1261">
            <v>46202</v>
          </cell>
          <cell r="D1261" t="str">
            <v>CESAR ESTER</v>
          </cell>
          <cell r="E1261">
            <v>2</v>
          </cell>
          <cell r="H1261" t="str">
            <v>SAFISCOR</v>
          </cell>
          <cell r="N1261">
            <v>1000</v>
          </cell>
          <cell r="Y1261">
            <v>46202</v>
          </cell>
          <cell r="Z1261">
            <v>2</v>
          </cell>
          <cell r="AA1261">
            <v>1000</v>
          </cell>
        </row>
        <row r="1262">
          <cell r="A1262">
            <v>46202</v>
          </cell>
          <cell r="D1262" t="str">
            <v xml:space="preserve">STAR SOGOD </v>
          </cell>
          <cell r="E1262">
            <v>3</v>
          </cell>
          <cell r="H1262" t="str">
            <v>LAPU-LAPU</v>
          </cell>
          <cell r="N1262">
            <v>1000</v>
          </cell>
          <cell r="Y1262">
            <v>46202</v>
          </cell>
          <cell r="Z1262">
            <v>2</v>
          </cell>
          <cell r="AA1262">
            <v>1000</v>
          </cell>
        </row>
        <row r="1263">
          <cell r="A1263">
            <v>46202</v>
          </cell>
          <cell r="D1263" t="str">
            <v>LADY OF REMEDY</v>
          </cell>
          <cell r="E1263">
            <v>3</v>
          </cell>
          <cell r="H1263" t="str">
            <v>SAFISCOR</v>
          </cell>
          <cell r="N1263">
            <v>1000</v>
          </cell>
          <cell r="Y1263">
            <v>46202</v>
          </cell>
          <cell r="Z1263">
            <v>1</v>
          </cell>
          <cell r="AA1263">
            <v>1000</v>
          </cell>
        </row>
        <row r="1264">
          <cell r="A1264">
            <v>46202</v>
          </cell>
          <cell r="D1264" t="str">
            <v>LADY OF REMEDY</v>
          </cell>
          <cell r="E1264">
            <v>3</v>
          </cell>
          <cell r="H1264" t="str">
            <v>SAFISCOR</v>
          </cell>
          <cell r="N1264">
            <v>1000</v>
          </cell>
          <cell r="Y1264">
            <v>46203</v>
          </cell>
          <cell r="Z1264">
            <v>1</v>
          </cell>
          <cell r="AA1264">
            <v>1000</v>
          </cell>
        </row>
        <row r="1265">
          <cell r="A1265">
            <v>46202</v>
          </cell>
          <cell r="D1265" t="str">
            <v xml:space="preserve">STAR SOGOD </v>
          </cell>
          <cell r="E1265">
            <v>3</v>
          </cell>
          <cell r="H1265" t="str">
            <v>SAFISCOR</v>
          </cell>
          <cell r="N1265">
            <v>1000</v>
          </cell>
          <cell r="Y1265">
            <v>46202</v>
          </cell>
          <cell r="Z1265">
            <v>2</v>
          </cell>
          <cell r="AA1265">
            <v>1000</v>
          </cell>
        </row>
        <row r="1266">
          <cell r="A1266">
            <v>46202</v>
          </cell>
          <cell r="D1266" t="str">
            <v xml:space="preserve">STAR SOGOD </v>
          </cell>
          <cell r="E1266">
            <v>3</v>
          </cell>
          <cell r="H1266" t="str">
            <v>SAFISCOR</v>
          </cell>
          <cell r="N1266">
            <v>1000</v>
          </cell>
          <cell r="Y1266">
            <v>46202</v>
          </cell>
          <cell r="Z1266">
            <v>2</v>
          </cell>
          <cell r="AA1266">
            <v>1000</v>
          </cell>
        </row>
        <row r="1267">
          <cell r="A1267">
            <v>46202</v>
          </cell>
          <cell r="D1267" t="str">
            <v>CESAR ESTER</v>
          </cell>
          <cell r="E1267">
            <v>3</v>
          </cell>
          <cell r="H1267" t="str">
            <v>SAFISCOR</v>
          </cell>
          <cell r="N1267">
            <v>1000</v>
          </cell>
          <cell r="Y1267">
            <v>46203</v>
          </cell>
          <cell r="Z1267">
            <v>1</v>
          </cell>
          <cell r="AA1267">
            <v>1000</v>
          </cell>
        </row>
        <row r="1268">
          <cell r="A1268">
            <v>46202</v>
          </cell>
          <cell r="D1268" t="str">
            <v>PHILIP MARK</v>
          </cell>
          <cell r="E1268">
            <v>1</v>
          </cell>
          <cell r="H1268" t="str">
            <v>SAFISCOR</v>
          </cell>
          <cell r="N1268">
            <v>1000</v>
          </cell>
          <cell r="Y1268">
            <v>46202</v>
          </cell>
          <cell r="Z1268">
            <v>1</v>
          </cell>
          <cell r="AA1268">
            <v>1000</v>
          </cell>
        </row>
        <row r="1269">
          <cell r="A1269">
            <v>46202</v>
          </cell>
          <cell r="D1269" t="str">
            <v>STAR FREEDOM</v>
          </cell>
          <cell r="E1269">
            <v>3</v>
          </cell>
          <cell r="H1269" t="str">
            <v>SAFISCOR</v>
          </cell>
          <cell r="N1269">
            <v>1000</v>
          </cell>
          <cell r="Y1269">
            <v>46202</v>
          </cell>
          <cell r="Z1269">
            <v>1</v>
          </cell>
          <cell r="AA1269">
            <v>1000</v>
          </cell>
        </row>
        <row r="1270">
          <cell r="A1270">
            <v>46202</v>
          </cell>
          <cell r="D1270" t="str">
            <v>NAPOLI</v>
          </cell>
          <cell r="E1270">
            <v>2</v>
          </cell>
          <cell r="H1270" t="str">
            <v>APLUS</v>
          </cell>
          <cell r="N1270">
            <v>1000</v>
          </cell>
          <cell r="Y1270">
            <v>46202</v>
          </cell>
          <cell r="Z1270">
            <v>1</v>
          </cell>
          <cell r="AA1270">
            <v>1000</v>
          </cell>
        </row>
        <row r="1271">
          <cell r="A1271">
            <v>46202</v>
          </cell>
          <cell r="D1271" t="str">
            <v>STAR FREEDOM</v>
          </cell>
          <cell r="E1271">
            <v>3</v>
          </cell>
          <cell r="H1271" t="str">
            <v>SAFISCOR</v>
          </cell>
          <cell r="N1271">
            <v>1000</v>
          </cell>
          <cell r="Y1271">
            <v>46202</v>
          </cell>
          <cell r="Z1271">
            <v>1</v>
          </cell>
          <cell r="AA1271">
            <v>1000</v>
          </cell>
        </row>
        <row r="1272">
          <cell r="A1272">
            <v>46202</v>
          </cell>
          <cell r="D1272" t="str">
            <v xml:space="preserve">STAR SOGOD </v>
          </cell>
          <cell r="E1272">
            <v>3</v>
          </cell>
          <cell r="H1272" t="str">
            <v>SAFISCOR</v>
          </cell>
          <cell r="N1272">
            <v>1000</v>
          </cell>
          <cell r="Y1272">
            <v>46202</v>
          </cell>
          <cell r="Z1272">
            <v>2</v>
          </cell>
          <cell r="AA1272">
            <v>1000</v>
          </cell>
        </row>
        <row r="1273">
          <cell r="A1273">
            <v>46202</v>
          </cell>
          <cell r="D1273" t="str">
            <v>PHILIP MARK</v>
          </cell>
          <cell r="E1273">
            <v>1</v>
          </cell>
          <cell r="H1273" t="str">
            <v>LAPU-LAPU</v>
          </cell>
          <cell r="N1273">
            <v>1000</v>
          </cell>
          <cell r="Y1273">
            <v>46202</v>
          </cell>
          <cell r="Z1273">
            <v>1</v>
          </cell>
          <cell r="AA1273">
            <v>1000</v>
          </cell>
        </row>
        <row r="1274">
          <cell r="A1274">
            <v>46202</v>
          </cell>
          <cell r="D1274" t="str">
            <v>CESAR ESTER</v>
          </cell>
          <cell r="E1274">
            <v>3</v>
          </cell>
          <cell r="H1274" t="str">
            <v>SAFISCOR</v>
          </cell>
          <cell r="N1274">
            <v>1000</v>
          </cell>
          <cell r="Y1274">
            <v>46202</v>
          </cell>
          <cell r="Z1274">
            <v>1</v>
          </cell>
          <cell r="AA1274">
            <v>1000</v>
          </cell>
        </row>
        <row r="1275">
          <cell r="A1275">
            <v>46202</v>
          </cell>
          <cell r="D1275" t="str">
            <v>STAR FREEDOM</v>
          </cell>
          <cell r="E1275">
            <v>3</v>
          </cell>
          <cell r="H1275" t="str">
            <v>UCES</v>
          </cell>
          <cell r="N1275">
            <v>1000</v>
          </cell>
          <cell r="Y1275">
            <v>46202</v>
          </cell>
          <cell r="Z1275">
            <v>2</v>
          </cell>
          <cell r="AA1275">
            <v>1000</v>
          </cell>
        </row>
        <row r="1276">
          <cell r="A1276">
            <v>46202</v>
          </cell>
          <cell r="D1276" t="str">
            <v>CESAR ESTER</v>
          </cell>
          <cell r="E1276">
            <v>3</v>
          </cell>
          <cell r="H1276" t="str">
            <v>SAFISCOR</v>
          </cell>
          <cell r="N1276">
            <v>1000</v>
          </cell>
          <cell r="Y1276">
            <v>46202</v>
          </cell>
          <cell r="Z1276">
            <v>2</v>
          </cell>
          <cell r="AA1276">
            <v>1000</v>
          </cell>
        </row>
        <row r="1277">
          <cell r="A1277">
            <v>46202</v>
          </cell>
          <cell r="D1277" t="str">
            <v>PHILIP MARK</v>
          </cell>
          <cell r="E1277">
            <v>1</v>
          </cell>
          <cell r="H1277" t="str">
            <v>LAPU-LAPU</v>
          </cell>
          <cell r="N1277">
            <v>1000</v>
          </cell>
          <cell r="Y1277">
            <v>46202</v>
          </cell>
          <cell r="Z1277">
            <v>2</v>
          </cell>
          <cell r="AA1277">
            <v>1000</v>
          </cell>
        </row>
        <row r="1278">
          <cell r="A1278">
            <v>46202</v>
          </cell>
          <cell r="D1278" t="str">
            <v>LADY OF REMEDY</v>
          </cell>
          <cell r="E1278">
            <v>3</v>
          </cell>
          <cell r="H1278" t="str">
            <v>SAFISCOR</v>
          </cell>
          <cell r="N1278">
            <v>1000</v>
          </cell>
          <cell r="Y1278">
            <v>46202</v>
          </cell>
          <cell r="Z1278">
            <v>1</v>
          </cell>
          <cell r="AA1278">
            <v>1000</v>
          </cell>
        </row>
        <row r="1279">
          <cell r="A1279">
            <v>46202</v>
          </cell>
          <cell r="D1279" t="str">
            <v>NAPOLI</v>
          </cell>
          <cell r="E1279">
            <v>2</v>
          </cell>
          <cell r="H1279" t="str">
            <v>SAFISCOR</v>
          </cell>
          <cell r="N1279">
            <v>1000</v>
          </cell>
          <cell r="Y1279">
            <v>46202</v>
          </cell>
          <cell r="Z1279">
            <v>2</v>
          </cell>
          <cell r="AA1279">
            <v>1000</v>
          </cell>
        </row>
        <row r="1280">
          <cell r="A1280">
            <v>46202</v>
          </cell>
          <cell r="D1280" t="str">
            <v>STAR FREEDOM</v>
          </cell>
          <cell r="E1280">
            <v>3</v>
          </cell>
          <cell r="H1280" t="str">
            <v>SAFISCOR</v>
          </cell>
          <cell r="N1280">
            <v>1000</v>
          </cell>
          <cell r="Y1280">
            <v>46202</v>
          </cell>
          <cell r="Z1280">
            <v>1</v>
          </cell>
          <cell r="AA1280">
            <v>1000</v>
          </cell>
        </row>
        <row r="1281">
          <cell r="A1281">
            <v>46202</v>
          </cell>
          <cell r="D1281" t="str">
            <v xml:space="preserve">STAR SOGOD </v>
          </cell>
          <cell r="E1281">
            <v>3</v>
          </cell>
          <cell r="H1281" t="str">
            <v>SAFISCOR</v>
          </cell>
          <cell r="N1281">
            <v>1000</v>
          </cell>
          <cell r="Y1281">
            <v>46202</v>
          </cell>
          <cell r="Z1281">
            <v>2</v>
          </cell>
          <cell r="AA1281">
            <v>1000</v>
          </cell>
        </row>
        <row r="1282">
          <cell r="A1282">
            <v>46202</v>
          </cell>
          <cell r="D1282" t="str">
            <v>CESAR ESTER</v>
          </cell>
          <cell r="E1282">
            <v>3</v>
          </cell>
          <cell r="H1282" t="str">
            <v>SAFISCOR</v>
          </cell>
          <cell r="N1282">
            <v>1000</v>
          </cell>
          <cell r="Y1282">
            <v>46203</v>
          </cell>
          <cell r="Z1282">
            <v>2</v>
          </cell>
          <cell r="AA1282">
            <v>1000</v>
          </cell>
        </row>
        <row r="1283">
          <cell r="A1283">
            <v>46202</v>
          </cell>
          <cell r="D1283" t="str">
            <v>PHILIP MARK</v>
          </cell>
          <cell r="E1283">
            <v>1</v>
          </cell>
          <cell r="H1283" t="str">
            <v>GEO</v>
          </cell>
          <cell r="N1283">
            <v>1000</v>
          </cell>
          <cell r="Y1283">
            <v>46202</v>
          </cell>
          <cell r="Z1283">
            <v>2</v>
          </cell>
          <cell r="AA1283">
            <v>1000</v>
          </cell>
        </row>
        <row r="1284">
          <cell r="A1284">
            <v>46202</v>
          </cell>
          <cell r="D1284" t="str">
            <v xml:space="preserve">STAR SOGOD </v>
          </cell>
          <cell r="E1284">
            <v>3</v>
          </cell>
          <cell r="H1284" t="str">
            <v>GEO</v>
          </cell>
          <cell r="N1284">
            <v>1080</v>
          </cell>
          <cell r="Y1284">
            <v>46203</v>
          </cell>
          <cell r="Z1284">
            <v>2</v>
          </cell>
          <cell r="AA1284">
            <v>1080</v>
          </cell>
        </row>
        <row r="1285">
          <cell r="A1285">
            <v>46202</v>
          </cell>
          <cell r="D1285" t="str">
            <v xml:space="preserve">STAR SOGOD </v>
          </cell>
          <cell r="E1285">
            <v>3</v>
          </cell>
          <cell r="H1285" t="str">
            <v>GEO</v>
          </cell>
          <cell r="N1285">
            <v>1080</v>
          </cell>
          <cell r="Y1285">
            <v>46203</v>
          </cell>
          <cell r="Z1285">
            <v>2</v>
          </cell>
          <cell r="AA1285">
            <v>1080</v>
          </cell>
        </row>
        <row r="1286">
          <cell r="A1286">
            <v>46202</v>
          </cell>
          <cell r="D1286" t="str">
            <v xml:space="preserve">STAR SOGOD </v>
          </cell>
          <cell r="E1286">
            <v>3</v>
          </cell>
          <cell r="H1286" t="str">
            <v>LAPU-LAPU</v>
          </cell>
          <cell r="N1286">
            <v>1080</v>
          </cell>
          <cell r="Y1286">
            <v>46203</v>
          </cell>
          <cell r="Z1286">
            <v>2</v>
          </cell>
          <cell r="AA1286">
            <v>1080</v>
          </cell>
        </row>
        <row r="1287">
          <cell r="A1287">
            <v>46202</v>
          </cell>
          <cell r="D1287" t="str">
            <v>LADY OF REMEDY</v>
          </cell>
          <cell r="E1287">
            <v>3</v>
          </cell>
          <cell r="H1287" t="str">
            <v>LAPU-LAPU</v>
          </cell>
          <cell r="N1287">
            <v>1000</v>
          </cell>
          <cell r="Y1287">
            <v>46202</v>
          </cell>
          <cell r="Z1287">
            <v>1</v>
          </cell>
          <cell r="AA1287">
            <v>1000</v>
          </cell>
        </row>
        <row r="1288">
          <cell r="A1288">
            <v>46202</v>
          </cell>
          <cell r="D1288" t="str">
            <v>LADY OF REMEDY</v>
          </cell>
          <cell r="E1288">
            <v>3</v>
          </cell>
          <cell r="H1288" t="str">
            <v>SAFISCOR</v>
          </cell>
          <cell r="N1288">
            <v>1000</v>
          </cell>
          <cell r="Y1288">
            <v>46203</v>
          </cell>
          <cell r="Z1288">
            <v>1</v>
          </cell>
          <cell r="AA1288">
            <v>1000</v>
          </cell>
        </row>
        <row r="1289">
          <cell r="A1289">
            <v>46202</v>
          </cell>
          <cell r="D1289" t="str">
            <v>NAPOLI</v>
          </cell>
          <cell r="E1289">
            <v>2</v>
          </cell>
          <cell r="H1289" t="str">
            <v>SAFISCOR</v>
          </cell>
          <cell r="N1289">
            <v>1000</v>
          </cell>
          <cell r="Y1289">
            <v>46202</v>
          </cell>
          <cell r="Z1289">
            <v>2</v>
          </cell>
          <cell r="AA1289">
            <v>1000</v>
          </cell>
        </row>
        <row r="1290">
          <cell r="A1290">
            <v>46202</v>
          </cell>
          <cell r="D1290" t="str">
            <v>STAR FREEDOM</v>
          </cell>
          <cell r="E1290">
            <v>3</v>
          </cell>
          <cell r="H1290" t="str">
            <v>SAFISCOR</v>
          </cell>
          <cell r="N1290">
            <v>1000</v>
          </cell>
          <cell r="Y1290">
            <v>46202</v>
          </cell>
          <cell r="Z1290">
            <v>2</v>
          </cell>
          <cell r="AA1290">
            <v>1000</v>
          </cell>
        </row>
        <row r="1291">
          <cell r="A1291">
            <v>46202</v>
          </cell>
          <cell r="D1291" t="str">
            <v>PHILIP MARK</v>
          </cell>
          <cell r="E1291">
            <v>1</v>
          </cell>
          <cell r="H1291" t="str">
            <v>LAPU-LAPU</v>
          </cell>
          <cell r="N1291">
            <v>1000</v>
          </cell>
          <cell r="Y1291">
            <v>46202</v>
          </cell>
          <cell r="Z1291">
            <v>2</v>
          </cell>
          <cell r="AA1291">
            <v>1000</v>
          </cell>
        </row>
        <row r="1292">
          <cell r="A1292">
            <v>46202</v>
          </cell>
          <cell r="D1292" t="str">
            <v>NAPOLI</v>
          </cell>
          <cell r="E1292">
            <v>2</v>
          </cell>
          <cell r="H1292" t="str">
            <v>SAFISCOR</v>
          </cell>
          <cell r="N1292">
            <v>1000</v>
          </cell>
          <cell r="Y1292">
            <v>46202</v>
          </cell>
          <cell r="Z1292">
            <v>2</v>
          </cell>
          <cell r="AA1292">
            <v>1000</v>
          </cell>
        </row>
        <row r="1293">
          <cell r="A1293">
            <v>46202</v>
          </cell>
          <cell r="D1293" t="str">
            <v>LADY OF REMEDY</v>
          </cell>
          <cell r="E1293">
            <v>3</v>
          </cell>
          <cell r="H1293" t="str">
            <v>SAFISCOR</v>
          </cell>
          <cell r="N1293">
            <v>1000</v>
          </cell>
          <cell r="Y1293">
            <v>46203</v>
          </cell>
          <cell r="Z1293">
            <v>1</v>
          </cell>
          <cell r="AA1293">
            <v>1000</v>
          </cell>
        </row>
        <row r="1294">
          <cell r="A1294">
            <v>46202</v>
          </cell>
          <cell r="D1294" t="str">
            <v>CESAR ESTER</v>
          </cell>
          <cell r="E1294">
            <v>3</v>
          </cell>
          <cell r="H1294" t="str">
            <v>SAFISCOR</v>
          </cell>
          <cell r="N1294">
            <v>1000</v>
          </cell>
          <cell r="Y1294">
            <v>46203</v>
          </cell>
          <cell r="Z1294">
            <v>1</v>
          </cell>
          <cell r="AA1294">
            <v>1000</v>
          </cell>
        </row>
        <row r="1295">
          <cell r="A1295">
            <v>46202</v>
          </cell>
          <cell r="D1295" t="str">
            <v>STAR FREEDOM</v>
          </cell>
          <cell r="E1295">
            <v>3</v>
          </cell>
          <cell r="H1295" t="str">
            <v>SAFISCOR</v>
          </cell>
          <cell r="N1295">
            <v>1000</v>
          </cell>
          <cell r="Y1295">
            <v>46202</v>
          </cell>
          <cell r="Z1295">
            <v>2</v>
          </cell>
          <cell r="AA1295">
            <v>1000</v>
          </cell>
        </row>
        <row r="1296">
          <cell r="A1296">
            <v>46202</v>
          </cell>
          <cell r="D1296" t="str">
            <v>PHILIP MARK</v>
          </cell>
          <cell r="E1296">
            <v>1</v>
          </cell>
          <cell r="H1296" t="str">
            <v>LAPU-LAPU</v>
          </cell>
          <cell r="N1296">
            <v>1000</v>
          </cell>
          <cell r="Y1296">
            <v>46202</v>
          </cell>
          <cell r="Z1296">
            <v>2</v>
          </cell>
          <cell r="AA1296">
            <v>1000</v>
          </cell>
        </row>
        <row r="1297">
          <cell r="A1297">
            <v>46202</v>
          </cell>
          <cell r="D1297" t="str">
            <v xml:space="preserve">STAR SOGOD </v>
          </cell>
          <cell r="E1297">
            <v>3</v>
          </cell>
          <cell r="H1297" t="str">
            <v>SAFISCOR</v>
          </cell>
          <cell r="N1297">
            <v>1000</v>
          </cell>
          <cell r="Y1297">
            <v>46203</v>
          </cell>
          <cell r="Z1297">
            <v>2</v>
          </cell>
          <cell r="AA1297">
            <v>1000</v>
          </cell>
        </row>
        <row r="1298">
          <cell r="A1298">
            <v>46202</v>
          </cell>
          <cell r="D1298" t="str">
            <v>PHILIP MARK</v>
          </cell>
          <cell r="E1298">
            <v>1</v>
          </cell>
          <cell r="H1298" t="str">
            <v>SAFISCOR</v>
          </cell>
          <cell r="N1298">
            <v>1000</v>
          </cell>
          <cell r="Y1298">
            <v>46202</v>
          </cell>
          <cell r="Z1298">
            <v>2</v>
          </cell>
          <cell r="AA1298">
            <v>1000</v>
          </cell>
        </row>
        <row r="1299">
          <cell r="A1299">
            <v>46202</v>
          </cell>
          <cell r="D1299" t="str">
            <v>STAR FREEDOM</v>
          </cell>
          <cell r="E1299">
            <v>3</v>
          </cell>
          <cell r="H1299" t="str">
            <v>LAPU-LAPU</v>
          </cell>
          <cell r="N1299">
            <v>1000</v>
          </cell>
          <cell r="Y1299">
            <v>46202</v>
          </cell>
          <cell r="Z1299">
            <v>2</v>
          </cell>
          <cell r="AA1299">
            <v>1000</v>
          </cell>
        </row>
        <row r="1300">
          <cell r="A1300">
            <v>46202</v>
          </cell>
          <cell r="D1300" t="str">
            <v>STAR FREEDOM</v>
          </cell>
          <cell r="E1300">
            <v>3</v>
          </cell>
          <cell r="H1300" t="str">
            <v>SAFISCOR</v>
          </cell>
          <cell r="N1300">
            <v>1000</v>
          </cell>
          <cell r="Y1300">
            <v>46202</v>
          </cell>
          <cell r="Z1300">
            <v>2</v>
          </cell>
          <cell r="AA1300">
            <v>1000</v>
          </cell>
        </row>
        <row r="1301">
          <cell r="A1301">
            <v>46202</v>
          </cell>
          <cell r="D1301" t="str">
            <v>STAR FREEDOM</v>
          </cell>
          <cell r="E1301">
            <v>3</v>
          </cell>
          <cell r="H1301" t="str">
            <v>SAFISCOR</v>
          </cell>
          <cell r="N1301">
            <v>1000</v>
          </cell>
          <cell r="Y1301">
            <v>46202</v>
          </cell>
          <cell r="Z1301">
            <v>2</v>
          </cell>
          <cell r="AA1301">
            <v>1000</v>
          </cell>
        </row>
        <row r="1302">
          <cell r="A1302">
            <v>46202</v>
          </cell>
          <cell r="D1302" t="str">
            <v>LADY OF REMEDY</v>
          </cell>
          <cell r="E1302">
            <v>3</v>
          </cell>
          <cell r="H1302" t="str">
            <v>LAPU-LAPU</v>
          </cell>
          <cell r="N1302">
            <v>1000</v>
          </cell>
          <cell r="Y1302">
            <v>46203</v>
          </cell>
          <cell r="Z1302">
            <v>1</v>
          </cell>
          <cell r="AA1302">
            <v>1000</v>
          </cell>
        </row>
        <row r="1303">
          <cell r="A1303">
            <v>46202</v>
          </cell>
          <cell r="D1303" t="str">
            <v>PHILIP MARK</v>
          </cell>
          <cell r="E1303">
            <v>1</v>
          </cell>
          <cell r="H1303" t="str">
            <v>SAFISCOR</v>
          </cell>
          <cell r="N1303">
            <v>1000</v>
          </cell>
          <cell r="Y1303">
            <v>46202</v>
          </cell>
          <cell r="Z1303">
            <v>2</v>
          </cell>
          <cell r="AA1303">
            <v>1000</v>
          </cell>
        </row>
        <row r="1304">
          <cell r="A1304">
            <v>46202</v>
          </cell>
          <cell r="D1304" t="str">
            <v xml:space="preserve">STAR SOGOD </v>
          </cell>
          <cell r="E1304">
            <v>3</v>
          </cell>
          <cell r="H1304" t="str">
            <v>SAFISCOR</v>
          </cell>
          <cell r="N1304">
            <v>1000</v>
          </cell>
          <cell r="Y1304">
            <v>46202</v>
          </cell>
          <cell r="Z1304">
            <v>2</v>
          </cell>
          <cell r="AA1304">
            <v>1000</v>
          </cell>
        </row>
        <row r="1305">
          <cell r="A1305">
            <v>46202</v>
          </cell>
          <cell r="D1305" t="str">
            <v>CESAR ESTER</v>
          </cell>
          <cell r="E1305">
            <v>2</v>
          </cell>
          <cell r="H1305" t="str">
            <v>SAFISCOR</v>
          </cell>
          <cell r="N1305">
            <v>1000</v>
          </cell>
          <cell r="Y1305">
            <v>46203</v>
          </cell>
          <cell r="Z1305">
            <v>1</v>
          </cell>
          <cell r="AA1305">
            <v>1000</v>
          </cell>
        </row>
        <row r="1306">
          <cell r="A1306">
            <v>46202</v>
          </cell>
          <cell r="D1306" t="str">
            <v>NAPOLI</v>
          </cell>
          <cell r="E1306">
            <v>2</v>
          </cell>
          <cell r="H1306" t="str">
            <v>APLUS</v>
          </cell>
          <cell r="N1306">
            <v>1000</v>
          </cell>
          <cell r="Y1306">
            <v>46202</v>
          </cell>
          <cell r="Z1306">
            <v>2</v>
          </cell>
          <cell r="AA1306">
            <v>1000</v>
          </cell>
        </row>
        <row r="1307">
          <cell r="A1307">
            <v>46202</v>
          </cell>
          <cell r="D1307" t="str">
            <v>LADY OF REMEDY</v>
          </cell>
          <cell r="E1307">
            <v>3</v>
          </cell>
          <cell r="H1307" t="str">
            <v>SAFISCOR</v>
          </cell>
          <cell r="N1307">
            <v>1000</v>
          </cell>
          <cell r="Y1307">
            <v>46203</v>
          </cell>
          <cell r="Z1307">
            <v>1</v>
          </cell>
          <cell r="AA1307">
            <v>1000</v>
          </cell>
        </row>
        <row r="1308">
          <cell r="A1308">
            <v>46202</v>
          </cell>
          <cell r="D1308" t="str">
            <v>NAPOLI</v>
          </cell>
          <cell r="E1308">
            <v>2</v>
          </cell>
          <cell r="H1308" t="str">
            <v>SAFISCOR</v>
          </cell>
          <cell r="N1308">
            <v>1000</v>
          </cell>
          <cell r="Y1308">
            <v>46203</v>
          </cell>
          <cell r="Z1308">
            <v>2</v>
          </cell>
          <cell r="AA1308">
            <v>1000</v>
          </cell>
        </row>
        <row r="1309">
          <cell r="A1309">
            <v>46202</v>
          </cell>
          <cell r="D1309" t="str">
            <v>PHILIP MARK</v>
          </cell>
          <cell r="E1309">
            <v>1</v>
          </cell>
          <cell r="H1309" t="str">
            <v>SAFISCOR</v>
          </cell>
          <cell r="N1309">
            <v>1000</v>
          </cell>
          <cell r="Y1309">
            <v>46202</v>
          </cell>
          <cell r="Z1309">
            <v>2</v>
          </cell>
          <cell r="AA1309">
            <v>1000</v>
          </cell>
        </row>
        <row r="1310">
          <cell r="A1310">
            <v>46202</v>
          </cell>
          <cell r="D1310" t="str">
            <v>STAR FREEDOM</v>
          </cell>
          <cell r="E1310">
            <v>3</v>
          </cell>
          <cell r="H1310" t="str">
            <v>SAFISCOR</v>
          </cell>
          <cell r="N1310">
            <v>1000</v>
          </cell>
          <cell r="Y1310">
            <v>46202</v>
          </cell>
          <cell r="Z1310">
            <v>2</v>
          </cell>
          <cell r="AA1310">
            <v>1000</v>
          </cell>
        </row>
        <row r="1311">
          <cell r="A1311">
            <v>46202</v>
          </cell>
          <cell r="D1311" t="str">
            <v>NAPOLI</v>
          </cell>
          <cell r="E1311">
            <v>2</v>
          </cell>
          <cell r="H1311" t="str">
            <v>SAFISCOR</v>
          </cell>
          <cell r="N1311">
            <v>1000</v>
          </cell>
          <cell r="Y1311">
            <v>46203</v>
          </cell>
          <cell r="Z1311">
            <v>1</v>
          </cell>
          <cell r="AA1311">
            <v>1000</v>
          </cell>
        </row>
        <row r="1312">
          <cell r="A1312">
            <v>46202</v>
          </cell>
          <cell r="D1312" t="str">
            <v>CESAR ESTER</v>
          </cell>
          <cell r="E1312">
            <v>2</v>
          </cell>
          <cell r="H1312" t="str">
            <v>SAFISCOR</v>
          </cell>
          <cell r="N1312">
            <v>1000</v>
          </cell>
          <cell r="Y1312">
            <v>46204</v>
          </cell>
          <cell r="Z1312">
            <v>1</v>
          </cell>
          <cell r="AA1312">
            <v>1000</v>
          </cell>
        </row>
        <row r="1313">
          <cell r="A1313">
            <v>46202</v>
          </cell>
          <cell r="D1313" t="str">
            <v>JOHANNAH 7</v>
          </cell>
          <cell r="E1313">
            <v>2</v>
          </cell>
          <cell r="H1313" t="str">
            <v>SAFISCOR</v>
          </cell>
          <cell r="N1313">
            <v>1000</v>
          </cell>
          <cell r="Y1313">
            <v>46202</v>
          </cell>
          <cell r="Z1313">
            <v>2</v>
          </cell>
          <cell r="AA1313">
            <v>1000</v>
          </cell>
        </row>
        <row r="1314">
          <cell r="A1314">
            <v>46202</v>
          </cell>
          <cell r="D1314" t="str">
            <v>JOHANNAH 7</v>
          </cell>
          <cell r="E1314">
            <v>2</v>
          </cell>
          <cell r="H1314" t="str">
            <v>SAFISCOR</v>
          </cell>
          <cell r="N1314">
            <v>1000</v>
          </cell>
          <cell r="Y1314">
            <v>46202</v>
          </cell>
          <cell r="Z1314">
            <v>2</v>
          </cell>
          <cell r="AA1314">
            <v>1000</v>
          </cell>
        </row>
        <row r="1315">
          <cell r="A1315">
            <v>46202</v>
          </cell>
          <cell r="D1315" t="str">
            <v>JOHANNAH 7</v>
          </cell>
          <cell r="E1315">
            <v>2</v>
          </cell>
          <cell r="H1315" t="str">
            <v>SAFISCOR</v>
          </cell>
          <cell r="N1315">
            <v>1000</v>
          </cell>
          <cell r="Y1315">
            <v>46202</v>
          </cell>
          <cell r="Z1315">
            <v>2</v>
          </cell>
          <cell r="AA1315">
            <v>1000</v>
          </cell>
        </row>
        <row r="1316">
          <cell r="A1316">
            <v>46202</v>
          </cell>
          <cell r="D1316" t="str">
            <v>PHILIP MARK</v>
          </cell>
          <cell r="E1316">
            <v>1</v>
          </cell>
          <cell r="H1316" t="str">
            <v>SAFISCOR</v>
          </cell>
          <cell r="N1316">
            <v>1000</v>
          </cell>
          <cell r="Y1316">
            <v>46203</v>
          </cell>
          <cell r="Z1316">
            <v>1</v>
          </cell>
          <cell r="AA1316">
            <v>1000</v>
          </cell>
        </row>
        <row r="1317">
          <cell r="A1317">
            <v>46202</v>
          </cell>
          <cell r="D1317" t="str">
            <v>STAR FREEDOM</v>
          </cell>
          <cell r="E1317">
            <v>3</v>
          </cell>
          <cell r="H1317" t="str">
            <v>GEO</v>
          </cell>
          <cell r="N1317">
            <v>1000</v>
          </cell>
          <cell r="Y1317">
            <v>46202</v>
          </cell>
          <cell r="Z1317">
            <v>2</v>
          </cell>
          <cell r="AA1317">
            <v>1000</v>
          </cell>
        </row>
        <row r="1318">
          <cell r="A1318">
            <v>46202</v>
          </cell>
          <cell r="D1318" t="str">
            <v xml:space="preserve"> </v>
          </cell>
          <cell r="E1318" t="str">
            <v xml:space="preserve"> </v>
          </cell>
        </row>
        <row r="1319">
          <cell r="A1319">
            <v>46202</v>
          </cell>
          <cell r="D1319" t="str">
            <v>NAPOLI</v>
          </cell>
          <cell r="E1319">
            <v>2</v>
          </cell>
          <cell r="H1319" t="str">
            <v>SAFISCOR</v>
          </cell>
          <cell r="N1319">
            <v>1000</v>
          </cell>
          <cell r="Y1319">
            <v>46203</v>
          </cell>
          <cell r="Z1319">
            <v>2</v>
          </cell>
          <cell r="AA1319">
            <v>1000</v>
          </cell>
        </row>
        <row r="1320">
          <cell r="A1320">
            <v>46203</v>
          </cell>
          <cell r="D1320" t="str">
            <v>LADY OF REMEDY</v>
          </cell>
          <cell r="E1320">
            <v>3</v>
          </cell>
          <cell r="H1320" t="str">
            <v>SAFISCOR</v>
          </cell>
          <cell r="N1320">
            <v>1000</v>
          </cell>
          <cell r="Y1320">
            <v>46203</v>
          </cell>
          <cell r="Z1320">
            <v>2</v>
          </cell>
          <cell r="AA1320">
            <v>1000</v>
          </cell>
        </row>
        <row r="1321">
          <cell r="A1321">
            <v>46203</v>
          </cell>
          <cell r="D1321" t="str">
            <v>JOHANNAH 7</v>
          </cell>
          <cell r="E1321">
            <v>2</v>
          </cell>
          <cell r="H1321" t="str">
            <v>LAPU-LAPU</v>
          </cell>
          <cell r="N1321">
            <v>1000</v>
          </cell>
          <cell r="Y1321">
            <v>46203</v>
          </cell>
          <cell r="Z1321">
            <v>1</v>
          </cell>
          <cell r="AA1321">
            <v>1000</v>
          </cell>
        </row>
        <row r="1322">
          <cell r="A1322">
            <v>46203</v>
          </cell>
          <cell r="D1322" t="str">
            <v>STAR FREEDOM</v>
          </cell>
          <cell r="E1322">
            <v>3</v>
          </cell>
          <cell r="H1322" t="str">
            <v>SAFISCOR</v>
          </cell>
          <cell r="N1322">
            <v>1000</v>
          </cell>
          <cell r="Y1322">
            <v>46203</v>
          </cell>
          <cell r="Z1322">
            <v>2</v>
          </cell>
          <cell r="AA1322">
            <v>1000</v>
          </cell>
        </row>
        <row r="1323">
          <cell r="A1323">
            <v>46203</v>
          </cell>
          <cell r="D1323" t="str">
            <v>STAR FREEDOM</v>
          </cell>
          <cell r="E1323">
            <v>3</v>
          </cell>
          <cell r="H1323" t="str">
            <v>SAFISCOR</v>
          </cell>
          <cell r="N1323">
            <v>1000</v>
          </cell>
          <cell r="Y1323">
            <v>46203</v>
          </cell>
          <cell r="Z1323">
            <v>1</v>
          </cell>
          <cell r="AA1323">
            <v>1000</v>
          </cell>
        </row>
        <row r="1324">
          <cell r="A1324">
            <v>46203</v>
          </cell>
          <cell r="D1324" t="str">
            <v>STAR FREEDOM</v>
          </cell>
          <cell r="E1324">
            <v>3</v>
          </cell>
          <cell r="H1324" t="str">
            <v>SAFISCOR</v>
          </cell>
          <cell r="N1324">
            <v>1000</v>
          </cell>
          <cell r="Y1324">
            <v>46203</v>
          </cell>
          <cell r="Z1324">
            <v>1</v>
          </cell>
          <cell r="AA1324">
            <v>1000</v>
          </cell>
        </row>
        <row r="1325">
          <cell r="A1325">
            <v>46203</v>
          </cell>
          <cell r="D1325" t="str">
            <v>JOHANNAH 7</v>
          </cell>
          <cell r="E1325">
            <v>2</v>
          </cell>
          <cell r="H1325" t="str">
            <v>SAFISCOR</v>
          </cell>
          <cell r="N1325">
            <v>1000</v>
          </cell>
          <cell r="Y1325">
            <v>46203</v>
          </cell>
          <cell r="Z1325">
            <v>1</v>
          </cell>
          <cell r="AA1325">
            <v>1000</v>
          </cell>
        </row>
        <row r="1326">
          <cell r="A1326">
            <v>46203</v>
          </cell>
          <cell r="D1326" t="str">
            <v>LADY OF ROSARY</v>
          </cell>
          <cell r="E1326">
            <v>2</v>
          </cell>
          <cell r="H1326" t="str">
            <v>SAFISCOR</v>
          </cell>
          <cell r="N1326">
            <v>1000</v>
          </cell>
          <cell r="Y1326">
            <v>46203</v>
          </cell>
          <cell r="Z1326">
            <v>1</v>
          </cell>
          <cell r="AA1326">
            <v>1000</v>
          </cell>
        </row>
        <row r="1327">
          <cell r="A1327">
            <v>46203</v>
          </cell>
          <cell r="D1327" t="str">
            <v>CESAR ESTER</v>
          </cell>
          <cell r="E1327">
            <v>2</v>
          </cell>
          <cell r="H1327" t="str">
            <v>GEO</v>
          </cell>
          <cell r="N1327">
            <v>1000</v>
          </cell>
          <cell r="Y1327">
            <v>46203</v>
          </cell>
          <cell r="Z1327">
            <v>1</v>
          </cell>
          <cell r="AA1327">
            <v>1000</v>
          </cell>
        </row>
        <row r="1328">
          <cell r="A1328">
            <v>46203</v>
          </cell>
          <cell r="D1328" t="str">
            <v>PHILIP MARK</v>
          </cell>
          <cell r="E1328">
            <v>1</v>
          </cell>
          <cell r="H1328" t="str">
            <v>SAFISCOR</v>
          </cell>
          <cell r="N1328">
            <v>1000</v>
          </cell>
          <cell r="Y1328">
            <v>46203</v>
          </cell>
          <cell r="Z1328">
            <v>1</v>
          </cell>
          <cell r="AA1328">
            <v>1000</v>
          </cell>
        </row>
        <row r="1329">
          <cell r="A1329">
            <v>46203</v>
          </cell>
          <cell r="D1329" t="str">
            <v>PHILIP MARK</v>
          </cell>
          <cell r="E1329">
            <v>1</v>
          </cell>
          <cell r="H1329" t="str">
            <v>APLUS</v>
          </cell>
          <cell r="N1329">
            <v>1000</v>
          </cell>
          <cell r="Y1329">
            <v>46203</v>
          </cell>
          <cell r="Z1329">
            <v>1</v>
          </cell>
          <cell r="AA1329">
            <v>1000</v>
          </cell>
        </row>
        <row r="1330">
          <cell r="A1330">
            <v>46203</v>
          </cell>
          <cell r="D1330" t="str">
            <v>JOHANNAH 7</v>
          </cell>
          <cell r="E1330">
            <v>2</v>
          </cell>
          <cell r="H1330" t="str">
            <v>SAFISCOR</v>
          </cell>
          <cell r="N1330">
            <v>1000</v>
          </cell>
          <cell r="Y1330">
            <v>46203</v>
          </cell>
          <cell r="Z1330">
            <v>1</v>
          </cell>
          <cell r="AA1330">
            <v>1000</v>
          </cell>
        </row>
        <row r="1331">
          <cell r="A1331">
            <v>46203</v>
          </cell>
          <cell r="D1331" t="str">
            <v>CESAR ESTER</v>
          </cell>
          <cell r="E1331">
            <v>2</v>
          </cell>
          <cell r="H1331" t="str">
            <v>SAFISCOR</v>
          </cell>
          <cell r="N1331">
            <v>1000</v>
          </cell>
          <cell r="Y1331">
            <v>46203</v>
          </cell>
          <cell r="Z1331">
            <v>2</v>
          </cell>
          <cell r="AA1331">
            <v>1000</v>
          </cell>
        </row>
        <row r="1332">
          <cell r="A1332">
            <v>46203</v>
          </cell>
          <cell r="D1332" t="str">
            <v>STAR FREEDOM</v>
          </cell>
          <cell r="E1332">
            <v>3</v>
          </cell>
          <cell r="H1332" t="str">
            <v>LAPU-LAPU</v>
          </cell>
          <cell r="N1332">
            <v>1000</v>
          </cell>
          <cell r="Y1332">
            <v>46203</v>
          </cell>
          <cell r="Z1332">
            <v>2</v>
          </cell>
          <cell r="AA1332">
            <v>1000</v>
          </cell>
        </row>
        <row r="1333">
          <cell r="A1333">
            <v>46203</v>
          </cell>
          <cell r="D1333" t="str">
            <v>STAR FREEDOM</v>
          </cell>
          <cell r="E1333">
            <v>3</v>
          </cell>
          <cell r="H1333" t="str">
            <v>UCES</v>
          </cell>
          <cell r="N1333">
            <v>1000</v>
          </cell>
          <cell r="Y1333">
            <v>46203</v>
          </cell>
          <cell r="Z1333">
            <v>2</v>
          </cell>
          <cell r="AA1333">
            <v>1000</v>
          </cell>
        </row>
        <row r="1334">
          <cell r="A1334">
            <v>46203</v>
          </cell>
          <cell r="D1334" t="str">
            <v>NAPOLI</v>
          </cell>
          <cell r="E1334">
            <v>2</v>
          </cell>
          <cell r="H1334" t="str">
            <v>SAFISCOR</v>
          </cell>
          <cell r="N1334">
            <v>1000</v>
          </cell>
          <cell r="Y1334">
            <v>46204</v>
          </cell>
          <cell r="Z1334">
            <v>1</v>
          </cell>
          <cell r="AA1334">
            <v>1000</v>
          </cell>
        </row>
        <row r="1335">
          <cell r="A1335">
            <v>46203</v>
          </cell>
          <cell r="D1335" t="str">
            <v>PHILIP MARK</v>
          </cell>
          <cell r="E1335">
            <v>1</v>
          </cell>
          <cell r="H1335" t="str">
            <v>LAPU-LAPU</v>
          </cell>
          <cell r="N1335">
            <v>800</v>
          </cell>
          <cell r="Y1335">
            <v>46204</v>
          </cell>
          <cell r="Z1335">
            <v>1</v>
          </cell>
          <cell r="AA1335">
            <v>800</v>
          </cell>
        </row>
        <row r="1336">
          <cell r="A1336">
            <v>46203</v>
          </cell>
          <cell r="D1336" t="str">
            <v>CESAR ESTER</v>
          </cell>
          <cell r="E1336">
            <v>2</v>
          </cell>
          <cell r="H1336" t="str">
            <v>LAPU-LAPU</v>
          </cell>
          <cell r="N1336">
            <v>200</v>
          </cell>
          <cell r="Y1336">
            <v>46204</v>
          </cell>
          <cell r="Z1336">
            <v>1</v>
          </cell>
          <cell r="AA1336">
            <v>200</v>
          </cell>
        </row>
        <row r="1337">
          <cell r="A1337">
            <v>46203</v>
          </cell>
          <cell r="D1337" t="str">
            <v>STAR FREEDOM</v>
          </cell>
          <cell r="E1337">
            <v>3</v>
          </cell>
          <cell r="H1337" t="str">
            <v>APLUS</v>
          </cell>
          <cell r="N1337">
            <v>1000</v>
          </cell>
        </row>
        <row r="1338">
          <cell r="A1338">
            <v>46203</v>
          </cell>
          <cell r="D1338" t="str">
            <v>PHILIP MARK</v>
          </cell>
          <cell r="E1338">
            <v>1</v>
          </cell>
          <cell r="H1338" t="str">
            <v>SAFISCOR</v>
          </cell>
          <cell r="N1338">
            <v>1000</v>
          </cell>
          <cell r="Y1338">
            <v>46203</v>
          </cell>
          <cell r="Z1338">
            <v>1</v>
          </cell>
          <cell r="AA1338">
            <v>1000</v>
          </cell>
        </row>
        <row r="1339">
          <cell r="A1339">
            <v>46203</v>
          </cell>
          <cell r="D1339" t="str">
            <v>CESAR ESTER</v>
          </cell>
          <cell r="E1339">
            <v>2</v>
          </cell>
          <cell r="H1339" t="str">
            <v>SAFISCOR</v>
          </cell>
          <cell r="N1339">
            <v>1000</v>
          </cell>
          <cell r="Y1339">
            <v>46203</v>
          </cell>
          <cell r="Z1339">
            <v>2</v>
          </cell>
          <cell r="AA1339">
            <v>1000</v>
          </cell>
        </row>
        <row r="1340">
          <cell r="A1340">
            <v>46203</v>
          </cell>
          <cell r="D1340" t="str">
            <v>STAR FREEDOM</v>
          </cell>
          <cell r="E1340">
            <v>3</v>
          </cell>
          <cell r="H1340" t="str">
            <v>SAFISCOR</v>
          </cell>
          <cell r="N1340">
            <v>700</v>
          </cell>
          <cell r="Y1340">
            <v>46203</v>
          </cell>
          <cell r="Z1340">
            <v>2</v>
          </cell>
          <cell r="AA1340">
            <v>700</v>
          </cell>
        </row>
        <row r="1341">
          <cell r="A1341">
            <v>46203</v>
          </cell>
          <cell r="D1341" t="str">
            <v>JOHANNAH 7</v>
          </cell>
          <cell r="E1341">
            <v>2</v>
          </cell>
          <cell r="H1341" t="str">
            <v>SAFISCOR</v>
          </cell>
          <cell r="N1341">
            <v>300</v>
          </cell>
          <cell r="Y1341">
            <v>46203</v>
          </cell>
          <cell r="Z1341">
            <v>1</v>
          </cell>
          <cell r="AA1341">
            <v>300</v>
          </cell>
        </row>
        <row r="1342">
          <cell r="A1342">
            <v>46203</v>
          </cell>
          <cell r="D1342" t="str">
            <v>STAR FREEDOM</v>
          </cell>
          <cell r="E1342">
            <v>3</v>
          </cell>
          <cell r="H1342" t="str">
            <v>LAPU-LAPU</v>
          </cell>
          <cell r="N1342">
            <v>1000</v>
          </cell>
          <cell r="Y1342">
            <v>46203</v>
          </cell>
          <cell r="Z1342">
            <v>2</v>
          </cell>
          <cell r="AA1342">
            <v>1000</v>
          </cell>
        </row>
        <row r="1343">
          <cell r="A1343">
            <v>46203</v>
          </cell>
          <cell r="D1343" t="str">
            <v>LADY OF ROSARY</v>
          </cell>
          <cell r="E1343">
            <v>2</v>
          </cell>
          <cell r="H1343" t="str">
            <v>SAFISCOR</v>
          </cell>
          <cell r="N1343">
            <v>1000</v>
          </cell>
          <cell r="Y1343">
            <v>46203</v>
          </cell>
          <cell r="Z1343">
            <v>2</v>
          </cell>
          <cell r="AA1343">
            <v>1000</v>
          </cell>
        </row>
        <row r="1344">
          <cell r="A1344">
            <v>46203</v>
          </cell>
          <cell r="D1344" t="str">
            <v>CESAR ESTER</v>
          </cell>
          <cell r="E1344">
            <v>2</v>
          </cell>
          <cell r="H1344" t="str">
            <v>SAFISCOR</v>
          </cell>
          <cell r="N1344">
            <v>1000</v>
          </cell>
          <cell r="Y1344">
            <v>46203</v>
          </cell>
          <cell r="Z1344">
            <v>2</v>
          </cell>
          <cell r="AA1344">
            <v>1000</v>
          </cell>
        </row>
        <row r="1345">
          <cell r="A1345">
            <v>46203</v>
          </cell>
          <cell r="D1345" t="str">
            <v>LADY OF ROSARY</v>
          </cell>
          <cell r="E1345">
            <v>2</v>
          </cell>
          <cell r="H1345" t="str">
            <v>SAFISCOR</v>
          </cell>
          <cell r="N1345">
            <v>1000</v>
          </cell>
          <cell r="Y1345">
            <v>46203</v>
          </cell>
          <cell r="Z1345">
            <v>1</v>
          </cell>
          <cell r="AA1345">
            <v>1000</v>
          </cell>
        </row>
        <row r="1346">
          <cell r="A1346">
            <v>46203</v>
          </cell>
          <cell r="D1346" t="str">
            <v>LADY OF ROSARY</v>
          </cell>
          <cell r="E1346">
            <v>2</v>
          </cell>
          <cell r="H1346" t="str">
            <v>SAFISCOR</v>
          </cell>
          <cell r="N1346">
            <v>1000</v>
          </cell>
          <cell r="Y1346">
            <v>46204</v>
          </cell>
          <cell r="Z1346">
            <v>1</v>
          </cell>
          <cell r="AA1346">
            <v>1000</v>
          </cell>
        </row>
        <row r="1347">
          <cell r="A1347">
            <v>46203</v>
          </cell>
          <cell r="D1347" t="str">
            <v>LADY OF ROSARY</v>
          </cell>
          <cell r="E1347">
            <v>2</v>
          </cell>
          <cell r="H1347" t="str">
            <v>SAFISCOR</v>
          </cell>
          <cell r="N1347">
            <v>1000</v>
          </cell>
          <cell r="Y1347">
            <v>46203</v>
          </cell>
          <cell r="Z1347">
            <v>2</v>
          </cell>
          <cell r="AA1347">
            <v>1000</v>
          </cell>
        </row>
        <row r="1348">
          <cell r="A1348">
            <v>46203</v>
          </cell>
          <cell r="D1348" t="str">
            <v>PHILIP MARK</v>
          </cell>
          <cell r="E1348">
            <v>1</v>
          </cell>
          <cell r="H1348" t="str">
            <v>SAFISCOR</v>
          </cell>
          <cell r="N1348">
            <v>1000</v>
          </cell>
          <cell r="Y1348">
            <v>46203</v>
          </cell>
          <cell r="Z1348">
            <v>2</v>
          </cell>
          <cell r="AA1348">
            <v>1000</v>
          </cell>
        </row>
        <row r="1349">
          <cell r="A1349">
            <v>46203</v>
          </cell>
          <cell r="D1349" t="str">
            <v>NAPOLI</v>
          </cell>
          <cell r="E1349">
            <v>2</v>
          </cell>
          <cell r="H1349" t="str">
            <v>LAPU-LAPU</v>
          </cell>
          <cell r="N1349">
            <v>1000</v>
          </cell>
          <cell r="Y1349">
            <v>46203</v>
          </cell>
          <cell r="Z1349">
            <v>2</v>
          </cell>
          <cell r="AA1349">
            <v>1000</v>
          </cell>
        </row>
        <row r="1350">
          <cell r="A1350">
            <v>46203</v>
          </cell>
          <cell r="D1350" t="str">
            <v>LADY OF ROSARY</v>
          </cell>
          <cell r="E1350">
            <v>2</v>
          </cell>
          <cell r="H1350" t="str">
            <v>SAFISCOR</v>
          </cell>
          <cell r="N1350">
            <v>1000</v>
          </cell>
          <cell r="Y1350">
            <v>46204</v>
          </cell>
          <cell r="Z1350">
            <v>1</v>
          </cell>
          <cell r="AA1350">
            <v>1000</v>
          </cell>
        </row>
        <row r="1351">
          <cell r="A1351">
            <v>46203</v>
          </cell>
          <cell r="D1351" t="str">
            <v>LADY OF ROSARY</v>
          </cell>
          <cell r="E1351">
            <v>2</v>
          </cell>
          <cell r="H1351" t="str">
            <v>APLUS</v>
          </cell>
          <cell r="N1351">
            <v>1000</v>
          </cell>
          <cell r="Y1351">
            <v>46203</v>
          </cell>
          <cell r="Z1351">
            <v>1</v>
          </cell>
          <cell r="AA1351">
            <v>1000</v>
          </cell>
        </row>
        <row r="1352">
          <cell r="A1352">
            <v>46203</v>
          </cell>
          <cell r="D1352" t="str">
            <v>LADY OF ROSARY</v>
          </cell>
          <cell r="E1352">
            <v>2</v>
          </cell>
          <cell r="H1352" t="str">
            <v>APLUS</v>
          </cell>
          <cell r="N1352">
            <v>1000</v>
          </cell>
          <cell r="Y1352">
            <v>46203</v>
          </cell>
          <cell r="Z1352">
            <v>1</v>
          </cell>
          <cell r="AA1352">
            <v>1000</v>
          </cell>
        </row>
        <row r="1353">
          <cell r="A1353">
            <v>46203</v>
          </cell>
          <cell r="D1353" t="str">
            <v>LADY OF REMEDY</v>
          </cell>
          <cell r="E1353">
            <v>3</v>
          </cell>
          <cell r="H1353" t="str">
            <v>SAFISCOR</v>
          </cell>
          <cell r="N1353">
            <v>1000</v>
          </cell>
          <cell r="Y1353">
            <v>46204</v>
          </cell>
          <cell r="Z1353">
            <v>1</v>
          </cell>
          <cell r="AA1353">
            <v>1000</v>
          </cell>
        </row>
        <row r="1354">
          <cell r="A1354">
            <v>46203</v>
          </cell>
          <cell r="D1354" t="str">
            <v>NAPOLI</v>
          </cell>
          <cell r="E1354">
            <v>2</v>
          </cell>
          <cell r="H1354" t="str">
            <v>SAFISCOR</v>
          </cell>
          <cell r="N1354">
            <v>1000</v>
          </cell>
          <cell r="Y1354">
            <v>46204</v>
          </cell>
          <cell r="Z1354">
            <v>1</v>
          </cell>
          <cell r="AA1354">
            <v>1000</v>
          </cell>
        </row>
        <row r="1355">
          <cell r="A1355">
            <v>46203</v>
          </cell>
          <cell r="D1355" t="str">
            <v xml:space="preserve">STAR SOGOD </v>
          </cell>
          <cell r="E1355">
            <v>3</v>
          </cell>
          <cell r="H1355" t="str">
            <v>SAFISCOR</v>
          </cell>
          <cell r="N1355">
            <v>1080</v>
          </cell>
          <cell r="Y1355">
            <v>46203</v>
          </cell>
          <cell r="Z1355">
            <v>2</v>
          </cell>
          <cell r="AA1355">
            <v>1080</v>
          </cell>
        </row>
        <row r="1356">
          <cell r="A1356">
            <v>46203</v>
          </cell>
          <cell r="D1356" t="str">
            <v xml:space="preserve">STAR SOGOD </v>
          </cell>
          <cell r="E1356">
            <v>3</v>
          </cell>
          <cell r="H1356" t="str">
            <v>LAPU-LAPU</v>
          </cell>
          <cell r="N1356">
            <v>1080</v>
          </cell>
          <cell r="Y1356">
            <v>46203</v>
          </cell>
          <cell r="Z1356">
            <v>2</v>
          </cell>
          <cell r="AA1356">
            <v>1080</v>
          </cell>
        </row>
        <row r="1357">
          <cell r="A1357">
            <v>46203</v>
          </cell>
          <cell r="D1357" t="str">
            <v>STAR FREEDOM</v>
          </cell>
          <cell r="E1357">
            <v>3</v>
          </cell>
          <cell r="H1357" t="str">
            <v>SAFISCOR</v>
          </cell>
          <cell r="N1357">
            <v>1000</v>
          </cell>
          <cell r="Y1357">
            <v>46203</v>
          </cell>
          <cell r="Z1357">
            <v>2</v>
          </cell>
          <cell r="AA1357">
            <v>1000</v>
          </cell>
        </row>
        <row r="1358">
          <cell r="A1358">
            <v>46203</v>
          </cell>
          <cell r="D1358" t="str">
            <v>STAR FREEDOM</v>
          </cell>
          <cell r="E1358">
            <v>3</v>
          </cell>
          <cell r="H1358" t="str">
            <v>LAPU-LAPU</v>
          </cell>
          <cell r="N1358">
            <v>1000</v>
          </cell>
          <cell r="Y1358">
            <v>46203</v>
          </cell>
          <cell r="Z1358">
            <v>2</v>
          </cell>
          <cell r="AA1358">
            <v>1000</v>
          </cell>
        </row>
        <row r="1359">
          <cell r="A1359">
            <v>46203</v>
          </cell>
          <cell r="D1359" t="str">
            <v>STAR FREEDOM</v>
          </cell>
          <cell r="E1359">
            <v>3</v>
          </cell>
          <cell r="H1359" t="str">
            <v>LAPU-LAPU</v>
          </cell>
          <cell r="N1359">
            <v>1000</v>
          </cell>
          <cell r="Y1359">
            <v>46203</v>
          </cell>
          <cell r="Z1359">
            <v>2</v>
          </cell>
          <cell r="AA1359">
            <v>1000</v>
          </cell>
        </row>
        <row r="1360">
          <cell r="A1360">
            <v>46203</v>
          </cell>
          <cell r="D1360" t="str">
            <v>LADY OF REMEDY</v>
          </cell>
          <cell r="E1360">
            <v>3</v>
          </cell>
          <cell r="H1360" t="str">
            <v>LAPU-LAPU</v>
          </cell>
          <cell r="N1360">
            <v>1000</v>
          </cell>
          <cell r="Y1360">
            <v>46204</v>
          </cell>
          <cell r="Z1360">
            <v>1</v>
          </cell>
          <cell r="AA1360">
            <v>1000</v>
          </cell>
        </row>
        <row r="1361">
          <cell r="A1361">
            <v>46203</v>
          </cell>
          <cell r="D1361" t="str">
            <v>PHILIP MARK</v>
          </cell>
          <cell r="E1361">
            <v>1</v>
          </cell>
          <cell r="H1361" t="str">
            <v>SAFISCOR</v>
          </cell>
          <cell r="N1361">
            <v>1000</v>
          </cell>
          <cell r="Y1361">
            <v>46203</v>
          </cell>
          <cell r="Z1361">
            <v>2</v>
          </cell>
          <cell r="AA1361">
            <v>1000</v>
          </cell>
        </row>
        <row r="1362">
          <cell r="A1362">
            <v>46203</v>
          </cell>
          <cell r="D1362" t="str">
            <v>STAR FREEDOM</v>
          </cell>
          <cell r="E1362">
            <v>3</v>
          </cell>
          <cell r="H1362" t="str">
            <v>SAFISCOR</v>
          </cell>
          <cell r="N1362">
            <v>1000</v>
          </cell>
          <cell r="Y1362">
            <v>46203</v>
          </cell>
          <cell r="Z1362">
            <v>2</v>
          </cell>
          <cell r="AA1362">
            <v>1000</v>
          </cell>
        </row>
        <row r="1363">
          <cell r="A1363">
            <v>46203</v>
          </cell>
          <cell r="D1363" t="str">
            <v>STAR FREEDOM</v>
          </cell>
          <cell r="E1363">
            <v>3</v>
          </cell>
          <cell r="H1363" t="str">
            <v>SAFISCOR</v>
          </cell>
          <cell r="N1363">
            <v>300</v>
          </cell>
          <cell r="Y1363">
            <v>46203</v>
          </cell>
          <cell r="Z1363">
            <v>2</v>
          </cell>
          <cell r="AA1363">
            <v>300</v>
          </cell>
        </row>
        <row r="1364">
          <cell r="A1364">
            <v>46203</v>
          </cell>
          <cell r="D1364" t="str">
            <v>LADY OF ROSARY</v>
          </cell>
          <cell r="E1364">
            <v>2</v>
          </cell>
          <cell r="H1364" t="str">
            <v>SAFISCOR</v>
          </cell>
          <cell r="N1364">
            <v>700</v>
          </cell>
          <cell r="Y1364">
            <v>46204</v>
          </cell>
          <cell r="Z1364">
            <v>1</v>
          </cell>
          <cell r="AA1364">
            <v>700</v>
          </cell>
        </row>
        <row r="1365">
          <cell r="A1365">
            <v>46203</v>
          </cell>
          <cell r="D1365" t="str">
            <v>LADY OF ROSARY</v>
          </cell>
          <cell r="E1365">
            <v>2</v>
          </cell>
          <cell r="H1365" t="str">
            <v>SAFISCOR</v>
          </cell>
          <cell r="N1365">
            <v>1000</v>
          </cell>
          <cell r="Y1365">
            <v>46204</v>
          </cell>
          <cell r="Z1365">
            <v>2</v>
          </cell>
          <cell r="AA1365">
            <v>1000</v>
          </cell>
        </row>
        <row r="1366">
          <cell r="A1366">
            <v>46203</v>
          </cell>
          <cell r="D1366" t="str">
            <v>LADY OF ROSARY</v>
          </cell>
          <cell r="E1366">
            <v>2</v>
          </cell>
          <cell r="H1366" t="str">
            <v>SAFISCOR</v>
          </cell>
          <cell r="N1366">
            <v>1000</v>
          </cell>
          <cell r="Y1366">
            <v>46204</v>
          </cell>
          <cell r="Z1366">
            <v>1</v>
          </cell>
          <cell r="AA1366">
            <v>1000</v>
          </cell>
        </row>
        <row r="1367">
          <cell r="A1367">
            <v>46203</v>
          </cell>
          <cell r="D1367" t="str">
            <v>LADY OF ROSARY</v>
          </cell>
          <cell r="E1367">
            <v>2</v>
          </cell>
          <cell r="H1367" t="str">
            <v>SAFISCOR</v>
          </cell>
          <cell r="N1367">
            <v>1000</v>
          </cell>
          <cell r="Y1367">
            <v>46204</v>
          </cell>
          <cell r="Z1367">
            <v>2</v>
          </cell>
          <cell r="AA1367">
            <v>1000</v>
          </cell>
        </row>
        <row r="1368">
          <cell r="A1368">
            <v>46203</v>
          </cell>
          <cell r="D1368" t="str">
            <v>LADY OF ROSARY</v>
          </cell>
          <cell r="E1368">
            <v>2</v>
          </cell>
          <cell r="H1368" t="str">
            <v>LAPU-LAPU</v>
          </cell>
          <cell r="N1368">
            <v>1000</v>
          </cell>
          <cell r="Y1368">
            <v>46204</v>
          </cell>
          <cell r="Z1368">
            <v>1</v>
          </cell>
          <cell r="AA1368">
            <v>1000</v>
          </cell>
        </row>
        <row r="1369">
          <cell r="A1369">
            <v>46203</v>
          </cell>
          <cell r="D1369" t="str">
            <v>PHILIP MARK</v>
          </cell>
          <cell r="E1369">
            <v>1</v>
          </cell>
          <cell r="H1369" t="str">
            <v>GEO</v>
          </cell>
          <cell r="N1369">
            <v>1000</v>
          </cell>
          <cell r="Y1369">
            <v>46203</v>
          </cell>
          <cell r="Z1369">
            <v>2</v>
          </cell>
          <cell r="AA1369">
            <v>1000</v>
          </cell>
        </row>
        <row r="1370">
          <cell r="A1370">
            <v>46203</v>
          </cell>
          <cell r="D1370" t="str">
            <v>LADY OF ROSARY</v>
          </cell>
          <cell r="E1370">
            <v>2</v>
          </cell>
          <cell r="H1370" t="str">
            <v>SAFISCOR</v>
          </cell>
          <cell r="N1370">
            <v>300</v>
          </cell>
          <cell r="Y1370">
            <v>46204</v>
          </cell>
          <cell r="Z1370">
            <v>1</v>
          </cell>
          <cell r="AA1370">
            <v>300</v>
          </cell>
        </row>
        <row r="1371">
          <cell r="A1371">
            <v>46203</v>
          </cell>
          <cell r="D1371" t="str">
            <v xml:space="preserve">STAR SOGOD </v>
          </cell>
          <cell r="E1371">
            <v>3</v>
          </cell>
          <cell r="H1371" t="str">
            <v>SAFISCOR</v>
          </cell>
          <cell r="N1371">
            <v>600</v>
          </cell>
          <cell r="Y1371">
            <v>46203</v>
          </cell>
          <cell r="Z1371">
            <v>2</v>
          </cell>
          <cell r="AA1371">
            <v>600</v>
          </cell>
        </row>
        <row r="1372">
          <cell r="A1372">
            <v>46203</v>
          </cell>
          <cell r="D1372" t="str">
            <v>LADY OF REMEDY</v>
          </cell>
          <cell r="E1372">
            <v>3</v>
          </cell>
          <cell r="H1372" t="str">
            <v>SAFISCOR</v>
          </cell>
          <cell r="N1372">
            <v>1000</v>
          </cell>
          <cell r="Y1372">
            <v>46204</v>
          </cell>
          <cell r="Z1372">
            <v>1</v>
          </cell>
          <cell r="AA1372">
            <v>1000</v>
          </cell>
        </row>
        <row r="1373">
          <cell r="A1373">
            <v>46203</v>
          </cell>
          <cell r="D1373" t="str">
            <v>CESAR ESTER</v>
          </cell>
          <cell r="E1373">
            <v>2</v>
          </cell>
          <cell r="H1373" t="str">
            <v>SAFISCOR</v>
          </cell>
          <cell r="N1373">
            <v>400</v>
          </cell>
          <cell r="Y1373">
            <v>46204</v>
          </cell>
          <cell r="Z1373">
            <v>1</v>
          </cell>
          <cell r="AA1373">
            <v>400</v>
          </cell>
        </row>
        <row r="1374">
          <cell r="A1374">
            <v>46203</v>
          </cell>
          <cell r="D1374" t="str">
            <v>CESAR ESTER</v>
          </cell>
          <cell r="E1374">
            <v>2</v>
          </cell>
          <cell r="H1374" t="str">
            <v>SAFISCOR</v>
          </cell>
          <cell r="N1374">
            <v>700</v>
          </cell>
          <cell r="Y1374">
            <v>46204</v>
          </cell>
          <cell r="Z1374">
            <v>1</v>
          </cell>
          <cell r="AA1374">
            <v>700</v>
          </cell>
        </row>
        <row r="1375">
          <cell r="A1375">
            <v>46203</v>
          </cell>
          <cell r="D1375" t="str">
            <v>NAPOLI</v>
          </cell>
          <cell r="E1375">
            <v>2</v>
          </cell>
          <cell r="H1375" t="str">
            <v>SAFISCOR</v>
          </cell>
          <cell r="N1375">
            <v>1000</v>
          </cell>
          <cell r="Y1375">
            <v>46204</v>
          </cell>
          <cell r="Z1375">
            <v>1</v>
          </cell>
          <cell r="AA1375">
            <v>1000</v>
          </cell>
        </row>
        <row r="1376">
          <cell r="A1376">
            <v>46203</v>
          </cell>
          <cell r="D1376" t="str">
            <v>PHILIP MARK</v>
          </cell>
          <cell r="E1376">
            <v>1</v>
          </cell>
          <cell r="H1376" t="str">
            <v>LAPU-LAPU</v>
          </cell>
          <cell r="N1376">
            <v>1000</v>
          </cell>
          <cell r="Y1376">
            <v>46203</v>
          </cell>
          <cell r="Z1376">
            <v>2</v>
          </cell>
          <cell r="AA1376">
            <v>1000</v>
          </cell>
        </row>
        <row r="1377">
          <cell r="A1377">
            <v>46203</v>
          </cell>
          <cell r="D1377" t="str">
            <v>LADY OF REMEDY</v>
          </cell>
          <cell r="E1377">
            <v>3</v>
          </cell>
          <cell r="H1377" t="str">
            <v>SAFISCOR</v>
          </cell>
          <cell r="N1377">
            <v>1000</v>
          </cell>
          <cell r="Y1377">
            <v>46204</v>
          </cell>
          <cell r="Z1377">
            <v>1</v>
          </cell>
          <cell r="AA1377">
            <v>1000</v>
          </cell>
        </row>
        <row r="1378">
          <cell r="A1378">
            <v>46203</v>
          </cell>
          <cell r="D1378" t="str">
            <v>CESAR ESTER</v>
          </cell>
          <cell r="E1378">
            <v>2</v>
          </cell>
          <cell r="H1378" t="str">
            <v>SAFISCOR</v>
          </cell>
          <cell r="N1378">
            <v>1000</v>
          </cell>
          <cell r="Y1378">
            <v>46204</v>
          </cell>
          <cell r="Z1378">
            <v>1</v>
          </cell>
          <cell r="AA1378">
            <v>1000</v>
          </cell>
        </row>
        <row r="1379">
          <cell r="A1379">
            <v>46203</v>
          </cell>
          <cell r="D1379" t="str">
            <v>PHILIP MARK</v>
          </cell>
          <cell r="E1379">
            <v>1</v>
          </cell>
          <cell r="H1379" t="str">
            <v>SAFISCOR</v>
          </cell>
          <cell r="N1379">
            <v>1000</v>
          </cell>
          <cell r="Y1379">
            <v>46203</v>
          </cell>
          <cell r="Z1379">
            <v>2</v>
          </cell>
          <cell r="AA1379">
            <v>1000</v>
          </cell>
        </row>
        <row r="1380">
          <cell r="A1380">
            <v>46203</v>
          </cell>
          <cell r="D1380" t="str">
            <v>NAPOLI</v>
          </cell>
          <cell r="E1380">
            <v>2</v>
          </cell>
          <cell r="H1380" t="str">
            <v>SAFISCOR</v>
          </cell>
          <cell r="N1380">
            <v>1000</v>
          </cell>
          <cell r="Y1380">
            <v>46204</v>
          </cell>
          <cell r="Z1380">
            <v>1</v>
          </cell>
          <cell r="AA1380">
            <v>1000</v>
          </cell>
        </row>
        <row r="1381">
          <cell r="A1381">
            <v>46203</v>
          </cell>
          <cell r="D1381" t="str">
            <v>PHILIP MARK</v>
          </cell>
          <cell r="E1381">
            <v>1</v>
          </cell>
          <cell r="H1381" t="str">
            <v>SAFISCOR</v>
          </cell>
          <cell r="N1381">
            <v>1000</v>
          </cell>
          <cell r="Y1381">
            <v>46204</v>
          </cell>
          <cell r="Z1381">
            <v>1</v>
          </cell>
          <cell r="AA1381">
            <v>1000</v>
          </cell>
        </row>
        <row r="1382">
          <cell r="A1382">
            <v>46204</v>
          </cell>
          <cell r="D1382" t="str">
            <v>LADY OF REMEDY</v>
          </cell>
          <cell r="E1382">
            <v>3</v>
          </cell>
          <cell r="H1382" t="str">
            <v>LAPU-LAPU</v>
          </cell>
          <cell r="N1382">
            <v>1000</v>
          </cell>
        </row>
        <row r="1383">
          <cell r="A1383">
            <v>46204</v>
          </cell>
          <cell r="D1383" t="str">
            <v>LADY OF REMEDY</v>
          </cell>
          <cell r="E1383">
            <v>3</v>
          </cell>
          <cell r="H1383" t="str">
            <v>GEO</v>
          </cell>
          <cell r="N1383">
            <v>1000</v>
          </cell>
          <cell r="Y1383">
            <v>46204</v>
          </cell>
          <cell r="Z1383">
            <v>1</v>
          </cell>
          <cell r="AA1383">
            <v>1000</v>
          </cell>
        </row>
        <row r="1384">
          <cell r="A1384">
            <v>46204</v>
          </cell>
          <cell r="D1384" t="str">
            <v>CESAR ESTER</v>
          </cell>
          <cell r="E1384">
            <v>2</v>
          </cell>
          <cell r="H1384" t="str">
            <v>SAFISCOR</v>
          </cell>
          <cell r="N1384">
            <v>1000</v>
          </cell>
          <cell r="Y1384">
            <v>46204</v>
          </cell>
          <cell r="Z1384">
            <v>1</v>
          </cell>
          <cell r="AA1384">
            <v>1000</v>
          </cell>
        </row>
        <row r="1385">
          <cell r="A1385">
            <v>46204</v>
          </cell>
          <cell r="D1385" t="str">
            <v>CESAR ESTER</v>
          </cell>
          <cell r="E1385">
            <v>2</v>
          </cell>
          <cell r="H1385" t="str">
            <v>LAPU-LAPU</v>
          </cell>
          <cell r="N1385">
            <v>1000</v>
          </cell>
          <cell r="Y1385">
            <v>46205</v>
          </cell>
          <cell r="Z1385">
            <v>1</v>
          </cell>
          <cell r="AA1385">
            <v>1000</v>
          </cell>
        </row>
        <row r="1386">
          <cell r="A1386">
            <v>46204</v>
          </cell>
          <cell r="D1386" t="str">
            <v>STAR FREEDOM</v>
          </cell>
          <cell r="E1386">
            <v>3</v>
          </cell>
          <cell r="H1386" t="str">
            <v>SAFISCOR</v>
          </cell>
          <cell r="N1386">
            <v>1000</v>
          </cell>
          <cell r="Y1386">
            <v>46204</v>
          </cell>
          <cell r="Z1386">
            <v>1</v>
          </cell>
          <cell r="AA1386">
            <v>1000</v>
          </cell>
        </row>
        <row r="1387">
          <cell r="A1387">
            <v>46204</v>
          </cell>
          <cell r="D1387" t="str">
            <v>PHILIP MARK</v>
          </cell>
          <cell r="E1387">
            <v>1</v>
          </cell>
          <cell r="H1387" t="str">
            <v>SAFISCOR</v>
          </cell>
          <cell r="N1387">
            <v>1000</v>
          </cell>
          <cell r="Y1387">
            <v>46204</v>
          </cell>
          <cell r="Z1387">
            <v>1</v>
          </cell>
          <cell r="AA1387">
            <v>1000</v>
          </cell>
        </row>
        <row r="1388">
          <cell r="A1388">
            <v>46204</v>
          </cell>
          <cell r="D1388" t="str">
            <v>CESAR ESTER</v>
          </cell>
          <cell r="E1388">
            <v>2</v>
          </cell>
          <cell r="H1388" t="str">
            <v>LAPU-LAPU</v>
          </cell>
          <cell r="N1388">
            <v>1000</v>
          </cell>
          <cell r="Y1388">
            <v>46205</v>
          </cell>
          <cell r="Z1388">
            <v>1</v>
          </cell>
          <cell r="AA1388">
            <v>1000</v>
          </cell>
        </row>
        <row r="1389">
          <cell r="A1389">
            <v>46204</v>
          </cell>
          <cell r="D1389" t="str">
            <v>LADY OF REMEDY</v>
          </cell>
          <cell r="E1389">
            <v>3</v>
          </cell>
          <cell r="H1389" t="str">
            <v>SAFISCOR</v>
          </cell>
          <cell r="N1389">
            <v>1000</v>
          </cell>
          <cell r="Y1389">
            <v>46204</v>
          </cell>
          <cell r="Z1389">
            <v>1</v>
          </cell>
          <cell r="AA1389">
            <v>1000</v>
          </cell>
        </row>
        <row r="1390">
          <cell r="A1390">
            <v>46204</v>
          </cell>
          <cell r="D1390" t="str">
            <v>PHILIP MARK</v>
          </cell>
          <cell r="E1390">
            <v>1</v>
          </cell>
          <cell r="H1390" t="str">
            <v>SAFISCOR</v>
          </cell>
          <cell r="N1390">
            <v>1000</v>
          </cell>
          <cell r="Y1390">
            <v>46204</v>
          </cell>
          <cell r="Z1390">
            <v>1</v>
          </cell>
          <cell r="AA1390">
            <v>1000</v>
          </cell>
        </row>
        <row r="1391">
          <cell r="A1391">
            <v>46204</v>
          </cell>
          <cell r="D1391" t="str">
            <v>NAPOLI</v>
          </cell>
          <cell r="E1391">
            <v>2</v>
          </cell>
          <cell r="H1391" t="str">
            <v>SAFISCOR</v>
          </cell>
          <cell r="N1391">
            <v>1000</v>
          </cell>
          <cell r="Y1391">
            <v>46204</v>
          </cell>
          <cell r="Z1391">
            <v>1</v>
          </cell>
          <cell r="AA1391">
            <v>1000</v>
          </cell>
        </row>
        <row r="1392">
          <cell r="A1392">
            <v>46204</v>
          </cell>
          <cell r="D1392" t="str">
            <v>PHILIP MARK</v>
          </cell>
          <cell r="E1392">
            <v>1</v>
          </cell>
          <cell r="H1392" t="str">
            <v>SAFISCOR</v>
          </cell>
          <cell r="N1392">
            <v>1000</v>
          </cell>
          <cell r="Y1392">
            <v>46204</v>
          </cell>
          <cell r="Z1392">
            <v>1</v>
          </cell>
          <cell r="AA1392">
            <v>1000</v>
          </cell>
        </row>
        <row r="1393">
          <cell r="A1393">
            <v>46204</v>
          </cell>
          <cell r="D1393" t="str">
            <v>STAR FREEDOM</v>
          </cell>
          <cell r="E1393">
            <v>3</v>
          </cell>
          <cell r="H1393" t="str">
            <v>SAFISCOR</v>
          </cell>
          <cell r="N1393">
            <v>1000</v>
          </cell>
          <cell r="Y1393">
            <v>46204</v>
          </cell>
          <cell r="Z1393">
            <v>1</v>
          </cell>
          <cell r="AA1393">
            <v>1000</v>
          </cell>
        </row>
        <row r="1394">
          <cell r="A1394">
            <v>46204</v>
          </cell>
          <cell r="D1394" t="str">
            <v>NAPOLI</v>
          </cell>
          <cell r="E1394">
            <v>2</v>
          </cell>
          <cell r="H1394" t="str">
            <v>SAFISCOR</v>
          </cell>
          <cell r="N1394">
            <v>1000</v>
          </cell>
          <cell r="Y1394">
            <v>46204</v>
          </cell>
          <cell r="Z1394">
            <v>1</v>
          </cell>
          <cell r="AA1394">
            <v>1000</v>
          </cell>
        </row>
        <row r="1395">
          <cell r="A1395">
            <v>46204</v>
          </cell>
          <cell r="D1395" t="str">
            <v>STAR FREEDOM</v>
          </cell>
          <cell r="E1395">
            <v>3</v>
          </cell>
          <cell r="H1395" t="str">
            <v>SAFISCOR</v>
          </cell>
          <cell r="N1395">
            <v>1000</v>
          </cell>
          <cell r="Y1395">
            <v>46204</v>
          </cell>
          <cell r="Z1395">
            <v>1</v>
          </cell>
          <cell r="AA1395">
            <v>1000</v>
          </cell>
        </row>
        <row r="1396">
          <cell r="A1396">
            <v>46204</v>
          </cell>
          <cell r="D1396" t="str">
            <v>CESAR ESTER</v>
          </cell>
          <cell r="E1396">
            <v>2</v>
          </cell>
          <cell r="H1396" t="str">
            <v>SAFISCOR</v>
          </cell>
          <cell r="N1396">
            <v>1000</v>
          </cell>
          <cell r="Y1396">
            <v>46204</v>
          </cell>
          <cell r="Z1396">
            <v>1</v>
          </cell>
          <cell r="AA1396">
            <v>1000</v>
          </cell>
        </row>
        <row r="1397">
          <cell r="A1397">
            <v>46204</v>
          </cell>
          <cell r="D1397" t="str">
            <v>NAPOLI</v>
          </cell>
          <cell r="E1397">
            <v>2</v>
          </cell>
          <cell r="H1397" t="str">
            <v>LAPU-LAPU</v>
          </cell>
          <cell r="N1397">
            <v>1000</v>
          </cell>
          <cell r="Y1397">
            <v>46204</v>
          </cell>
          <cell r="Z1397">
            <v>1</v>
          </cell>
          <cell r="AA1397">
            <v>1000</v>
          </cell>
        </row>
        <row r="1398">
          <cell r="A1398">
            <v>46204</v>
          </cell>
          <cell r="D1398" t="str">
            <v>LADY OF REMEDY</v>
          </cell>
          <cell r="E1398">
            <v>3</v>
          </cell>
          <cell r="H1398" t="str">
            <v>GEO</v>
          </cell>
          <cell r="N1398">
            <v>1000</v>
          </cell>
          <cell r="Y1398">
            <v>46204</v>
          </cell>
          <cell r="Z1398">
            <v>1</v>
          </cell>
          <cell r="AA1398">
            <v>1000</v>
          </cell>
        </row>
        <row r="1399">
          <cell r="A1399">
            <v>46204</v>
          </cell>
          <cell r="D1399" t="str">
            <v>CESAR ESTER</v>
          </cell>
          <cell r="E1399">
            <v>2</v>
          </cell>
          <cell r="H1399" t="str">
            <v>SAFISCOR</v>
          </cell>
          <cell r="N1399">
            <v>1000</v>
          </cell>
          <cell r="Y1399">
            <v>46204</v>
          </cell>
          <cell r="Z1399">
            <v>1</v>
          </cell>
          <cell r="AA1399">
            <v>1000</v>
          </cell>
        </row>
        <row r="1400">
          <cell r="A1400">
            <v>46204</v>
          </cell>
          <cell r="D1400" t="str">
            <v>CESAR ESTER</v>
          </cell>
          <cell r="E1400">
            <v>2</v>
          </cell>
          <cell r="H1400" t="str">
            <v>SAFISCOR</v>
          </cell>
          <cell r="N1400">
            <v>200</v>
          </cell>
          <cell r="Y1400">
            <v>46205</v>
          </cell>
          <cell r="Z1400">
            <v>1</v>
          </cell>
          <cell r="AA1400">
            <v>200</v>
          </cell>
        </row>
        <row r="1401">
          <cell r="A1401">
            <v>46204</v>
          </cell>
          <cell r="D1401" t="str">
            <v>CESAR ESTER</v>
          </cell>
          <cell r="E1401">
            <v>2</v>
          </cell>
          <cell r="H1401" t="str">
            <v>SAFISCOR</v>
          </cell>
          <cell r="N1401">
            <v>700</v>
          </cell>
          <cell r="Y1401">
            <v>46205</v>
          </cell>
          <cell r="Z1401">
            <v>1</v>
          </cell>
          <cell r="AA1401">
            <v>700</v>
          </cell>
        </row>
        <row r="1402">
          <cell r="A1402">
            <v>46204</v>
          </cell>
          <cell r="D1402" t="str">
            <v>NAPOLI</v>
          </cell>
          <cell r="E1402">
            <v>2</v>
          </cell>
          <cell r="H1402" t="str">
            <v>GEO</v>
          </cell>
          <cell r="N1402">
            <v>1000</v>
          </cell>
          <cell r="Y1402">
            <v>46204</v>
          </cell>
          <cell r="Z1402">
            <v>2</v>
          </cell>
          <cell r="AA1402">
            <v>1000</v>
          </cell>
        </row>
        <row r="1403">
          <cell r="A1403">
            <v>46204</v>
          </cell>
          <cell r="D1403" t="str">
            <v>NAPOLI</v>
          </cell>
          <cell r="E1403">
            <v>2</v>
          </cell>
          <cell r="H1403" t="str">
            <v>SAFISCOR</v>
          </cell>
          <cell r="N1403">
            <v>1000</v>
          </cell>
          <cell r="Y1403">
            <v>46205</v>
          </cell>
          <cell r="Z1403">
            <v>1</v>
          </cell>
          <cell r="AA1403">
            <v>1000</v>
          </cell>
        </row>
        <row r="1404">
          <cell r="A1404">
            <v>46204</v>
          </cell>
          <cell r="D1404" t="str">
            <v>NAPOLI</v>
          </cell>
          <cell r="E1404">
            <v>2</v>
          </cell>
          <cell r="H1404" t="str">
            <v>SAFISCOR</v>
          </cell>
          <cell r="N1404">
            <v>1000</v>
          </cell>
          <cell r="Y1404">
            <v>46204</v>
          </cell>
          <cell r="Z1404">
            <v>2</v>
          </cell>
          <cell r="AA1404">
            <v>1000</v>
          </cell>
        </row>
        <row r="1405">
          <cell r="A1405">
            <v>46204</v>
          </cell>
          <cell r="D1405" t="str">
            <v>NAPOLI</v>
          </cell>
          <cell r="E1405">
            <v>2</v>
          </cell>
          <cell r="H1405" t="str">
            <v>SAFISCOR</v>
          </cell>
          <cell r="N1405">
            <v>1000</v>
          </cell>
          <cell r="Y1405">
            <v>46205</v>
          </cell>
          <cell r="Z1405">
            <v>1</v>
          </cell>
          <cell r="AA1405">
            <v>1000</v>
          </cell>
        </row>
        <row r="1406">
          <cell r="A1406">
            <v>46204</v>
          </cell>
          <cell r="D1406" t="str">
            <v>NAPOLI</v>
          </cell>
          <cell r="E1406">
            <v>2</v>
          </cell>
          <cell r="H1406" t="str">
            <v>SAFISCOR</v>
          </cell>
          <cell r="N1406">
            <v>1000</v>
          </cell>
          <cell r="Y1406">
            <v>46205</v>
          </cell>
          <cell r="Z1406">
            <v>1</v>
          </cell>
          <cell r="AA1406">
            <v>1000</v>
          </cell>
        </row>
        <row r="1407">
          <cell r="A1407">
            <v>46204</v>
          </cell>
          <cell r="D1407" t="str">
            <v>NAPOLI</v>
          </cell>
          <cell r="E1407">
            <v>2</v>
          </cell>
          <cell r="H1407" t="str">
            <v>SAFISCOR</v>
          </cell>
          <cell r="N1407">
            <v>1000</v>
          </cell>
          <cell r="Y1407">
            <v>46205</v>
          </cell>
          <cell r="Z1407">
            <v>1</v>
          </cell>
          <cell r="AA1407">
            <v>1000</v>
          </cell>
        </row>
        <row r="1408">
          <cell r="A1408">
            <v>46204</v>
          </cell>
          <cell r="D1408" t="str">
            <v>NAPOLI</v>
          </cell>
          <cell r="E1408">
            <v>2</v>
          </cell>
          <cell r="H1408" t="str">
            <v>LAPU-LAPU</v>
          </cell>
          <cell r="N1408">
            <v>1000</v>
          </cell>
          <cell r="Y1408">
            <v>46205</v>
          </cell>
          <cell r="Z1408">
            <v>1</v>
          </cell>
          <cell r="AA1408">
            <v>1000</v>
          </cell>
        </row>
        <row r="1409">
          <cell r="A1409">
            <v>46204</v>
          </cell>
          <cell r="D1409" t="str">
            <v>LADY OF ROSARY</v>
          </cell>
          <cell r="E1409">
            <v>2</v>
          </cell>
          <cell r="H1409" t="str">
            <v>GEO</v>
          </cell>
          <cell r="N1409">
            <v>1000</v>
          </cell>
          <cell r="Y1409">
            <v>46204</v>
          </cell>
          <cell r="Z1409">
            <v>2</v>
          </cell>
          <cell r="AA1409">
            <v>1000</v>
          </cell>
        </row>
        <row r="1410">
          <cell r="A1410">
            <v>46204</v>
          </cell>
          <cell r="D1410" t="str">
            <v>LADY OF ROSARY</v>
          </cell>
          <cell r="E1410">
            <v>2</v>
          </cell>
          <cell r="H1410" t="str">
            <v>SAFISCOR</v>
          </cell>
          <cell r="N1410">
            <v>1000</v>
          </cell>
          <cell r="Y1410">
            <v>46204</v>
          </cell>
          <cell r="Z1410">
            <v>2</v>
          </cell>
          <cell r="AA1410">
            <v>1000</v>
          </cell>
        </row>
        <row r="1411">
          <cell r="A1411">
            <v>46204</v>
          </cell>
          <cell r="D1411" t="str">
            <v>NAPOLI</v>
          </cell>
          <cell r="E1411">
            <v>2</v>
          </cell>
          <cell r="H1411" t="str">
            <v>SAFISCOR</v>
          </cell>
          <cell r="N1411">
            <v>1000</v>
          </cell>
          <cell r="Y1411">
            <v>46204</v>
          </cell>
          <cell r="Z1411">
            <v>2</v>
          </cell>
          <cell r="AA1411">
            <v>1000</v>
          </cell>
        </row>
        <row r="1412">
          <cell r="A1412">
            <v>46204</v>
          </cell>
          <cell r="D1412" t="str">
            <v>LADY OF ROSARY</v>
          </cell>
          <cell r="E1412">
            <v>2</v>
          </cell>
          <cell r="H1412" t="str">
            <v>SAFISCOR</v>
          </cell>
          <cell r="N1412">
            <v>1000</v>
          </cell>
          <cell r="Y1412">
            <v>46204</v>
          </cell>
          <cell r="Z1412">
            <v>2</v>
          </cell>
          <cell r="AA1412">
            <v>1000</v>
          </cell>
        </row>
        <row r="1413">
          <cell r="A1413">
            <v>46205</v>
          </cell>
          <cell r="D1413" t="str">
            <v>EASTERN CEBU</v>
          </cell>
          <cell r="E1413">
            <v>3</v>
          </cell>
          <cell r="H1413" t="str">
            <v>SAFISCOR</v>
          </cell>
          <cell r="N1413">
            <v>1000</v>
          </cell>
          <cell r="Y1413">
            <v>46205</v>
          </cell>
          <cell r="Z1413">
            <v>1</v>
          </cell>
          <cell r="AA1413">
            <v>1000</v>
          </cell>
        </row>
        <row r="1414">
          <cell r="A1414">
            <v>46205</v>
          </cell>
          <cell r="D1414" t="str">
            <v>LADY OF ROSARY</v>
          </cell>
          <cell r="E1414">
            <v>2</v>
          </cell>
          <cell r="H1414" t="str">
            <v>SAFISCOR</v>
          </cell>
          <cell r="N1414">
            <v>1000</v>
          </cell>
          <cell r="Y1414">
            <v>46205</v>
          </cell>
          <cell r="Z1414">
            <v>1</v>
          </cell>
          <cell r="AA1414">
            <v>1000</v>
          </cell>
        </row>
        <row r="1415">
          <cell r="A1415">
            <v>46205</v>
          </cell>
          <cell r="D1415" t="str">
            <v>NAPOLI</v>
          </cell>
          <cell r="E1415">
            <v>2</v>
          </cell>
          <cell r="H1415" t="str">
            <v>SAFISCOR</v>
          </cell>
          <cell r="N1415">
            <v>1000</v>
          </cell>
          <cell r="Y1415">
            <v>46205</v>
          </cell>
          <cell r="Z1415">
            <v>1</v>
          </cell>
          <cell r="AA1415">
            <v>1000</v>
          </cell>
        </row>
        <row r="1416">
          <cell r="A1416">
            <v>46205</v>
          </cell>
          <cell r="D1416" t="str">
            <v>EASTERN CEBU</v>
          </cell>
          <cell r="E1416">
            <v>3</v>
          </cell>
          <cell r="H1416" t="str">
            <v>SAFISCOR</v>
          </cell>
          <cell r="N1416">
            <v>1000</v>
          </cell>
          <cell r="Y1416">
            <v>46205</v>
          </cell>
          <cell r="Z1416">
            <v>1</v>
          </cell>
          <cell r="AA1416">
            <v>1000</v>
          </cell>
        </row>
        <row r="1417">
          <cell r="A1417">
            <v>46205</v>
          </cell>
          <cell r="D1417" t="str">
            <v>EASTERN CEBU</v>
          </cell>
          <cell r="E1417">
            <v>3</v>
          </cell>
          <cell r="H1417" t="str">
            <v>SAFISCOR</v>
          </cell>
          <cell r="N1417">
            <v>1000</v>
          </cell>
          <cell r="Y1417">
            <v>46205</v>
          </cell>
          <cell r="Z1417">
            <v>1</v>
          </cell>
          <cell r="AA1417">
            <v>1000</v>
          </cell>
        </row>
        <row r="1418">
          <cell r="A1418">
            <v>46205</v>
          </cell>
          <cell r="D1418" t="str">
            <v>EASTERN CEBU</v>
          </cell>
          <cell r="E1418">
            <v>3</v>
          </cell>
          <cell r="H1418" t="str">
            <v>LAPU-LAPU</v>
          </cell>
          <cell r="N1418">
            <v>1000</v>
          </cell>
          <cell r="Y1418">
            <v>46205</v>
          </cell>
          <cell r="Z1418">
            <v>1</v>
          </cell>
          <cell r="AA1418">
            <v>1000</v>
          </cell>
        </row>
        <row r="1419">
          <cell r="A1419">
            <v>46205</v>
          </cell>
          <cell r="D1419" t="str">
            <v>LADY OF ROSARY</v>
          </cell>
          <cell r="E1419">
            <v>2</v>
          </cell>
          <cell r="H1419" t="str">
            <v>SAFISCOR</v>
          </cell>
          <cell r="N1419">
            <v>1000</v>
          </cell>
          <cell r="Y1419">
            <v>46205</v>
          </cell>
          <cell r="Z1419">
            <v>1</v>
          </cell>
          <cell r="AA1419">
            <v>1000</v>
          </cell>
        </row>
        <row r="1420">
          <cell r="A1420">
            <v>46205</v>
          </cell>
          <cell r="D1420" t="str">
            <v>LADY OF ROSARY</v>
          </cell>
          <cell r="E1420">
            <v>2</v>
          </cell>
          <cell r="H1420" t="str">
            <v>LAPU-LAPU</v>
          </cell>
          <cell r="N1420">
            <v>1000</v>
          </cell>
          <cell r="Y1420">
            <v>46205</v>
          </cell>
          <cell r="Z1420">
            <v>1</v>
          </cell>
          <cell r="AA1420">
            <v>1000</v>
          </cell>
        </row>
        <row r="1421">
          <cell r="A1421">
            <v>46205</v>
          </cell>
          <cell r="D1421" t="str">
            <v>NAPOLI</v>
          </cell>
          <cell r="E1421">
            <v>2</v>
          </cell>
          <cell r="H1421" t="str">
            <v>LAPU-LAPU</v>
          </cell>
          <cell r="N1421">
            <v>1000</v>
          </cell>
          <cell r="Y1421">
            <v>46205</v>
          </cell>
          <cell r="Z1421">
            <v>1</v>
          </cell>
          <cell r="AA1421">
            <v>1000</v>
          </cell>
        </row>
        <row r="1422">
          <cell r="A1422">
            <v>46205</v>
          </cell>
          <cell r="D1422" t="str">
            <v>NAPOLI</v>
          </cell>
          <cell r="E1422">
            <v>2</v>
          </cell>
          <cell r="H1422" t="str">
            <v>BADIE</v>
          </cell>
          <cell r="N1422">
            <v>1000</v>
          </cell>
          <cell r="Y1422">
            <v>46205</v>
          </cell>
          <cell r="Z1422">
            <v>1</v>
          </cell>
          <cell r="AA1422">
            <v>1000</v>
          </cell>
        </row>
        <row r="1423">
          <cell r="A1423">
            <v>46205</v>
          </cell>
          <cell r="D1423" t="str">
            <v>EASTERN CEBU</v>
          </cell>
          <cell r="E1423">
            <v>3</v>
          </cell>
          <cell r="H1423" t="str">
            <v>SAFISCOR</v>
          </cell>
          <cell r="N1423">
            <v>1000</v>
          </cell>
          <cell r="Y1423">
            <v>46205</v>
          </cell>
          <cell r="Z1423">
            <v>1</v>
          </cell>
          <cell r="AA1423">
            <v>1000</v>
          </cell>
        </row>
        <row r="1424">
          <cell r="A1424">
            <v>46205</v>
          </cell>
          <cell r="D1424" t="str">
            <v>EASTERN CEBU</v>
          </cell>
          <cell r="E1424">
            <v>3</v>
          </cell>
          <cell r="H1424" t="str">
            <v>SAFISCOR</v>
          </cell>
          <cell r="N1424">
            <v>1000</v>
          </cell>
          <cell r="Y1424">
            <v>46205</v>
          </cell>
          <cell r="Z1424">
            <v>2</v>
          </cell>
          <cell r="AA1424">
            <v>1000</v>
          </cell>
        </row>
        <row r="1425">
          <cell r="A1425">
            <v>46205</v>
          </cell>
          <cell r="D1425" t="str">
            <v>EASTERN CEBU</v>
          </cell>
          <cell r="E1425">
            <v>3</v>
          </cell>
          <cell r="H1425" t="str">
            <v>LAPU-LAPU</v>
          </cell>
          <cell r="N1425">
            <v>1000</v>
          </cell>
          <cell r="Y1425">
            <v>46206</v>
          </cell>
          <cell r="Z1425">
            <v>1</v>
          </cell>
          <cell r="AA1425">
            <v>1000</v>
          </cell>
        </row>
        <row r="1426">
          <cell r="A1426">
            <v>46205</v>
          </cell>
          <cell r="D1426" t="str">
            <v>EASTERN CEBU</v>
          </cell>
          <cell r="E1426">
            <v>3</v>
          </cell>
          <cell r="H1426" t="str">
            <v>SAFISCOR</v>
          </cell>
          <cell r="N1426">
            <v>1000</v>
          </cell>
          <cell r="Y1426">
            <v>46205</v>
          </cell>
          <cell r="Z1426">
            <v>1</v>
          </cell>
          <cell r="AA1426">
            <v>1000</v>
          </cell>
        </row>
        <row r="1427">
          <cell r="A1427">
            <v>46205</v>
          </cell>
          <cell r="D1427" t="str">
            <v>LADY OF ROSARY</v>
          </cell>
          <cell r="E1427">
            <v>2</v>
          </cell>
          <cell r="H1427" t="str">
            <v>SAFISCOR</v>
          </cell>
          <cell r="N1427">
            <v>1000</v>
          </cell>
          <cell r="Y1427">
            <v>46205</v>
          </cell>
          <cell r="Z1427">
            <v>1</v>
          </cell>
          <cell r="AA1427">
            <v>1000</v>
          </cell>
        </row>
        <row r="1428">
          <cell r="A1428">
            <v>46205</v>
          </cell>
          <cell r="D1428" t="str">
            <v>LADY OF ROSARY</v>
          </cell>
          <cell r="E1428">
            <v>2</v>
          </cell>
          <cell r="H1428" t="str">
            <v>GEO</v>
          </cell>
          <cell r="N1428">
            <v>1000</v>
          </cell>
          <cell r="Y1428">
            <v>46205</v>
          </cell>
          <cell r="Z1428">
            <v>1</v>
          </cell>
          <cell r="AA1428">
            <v>1000</v>
          </cell>
        </row>
        <row r="1429">
          <cell r="A1429">
            <v>46205</v>
          </cell>
          <cell r="D1429" t="str">
            <v>LADY OF ROSARY</v>
          </cell>
          <cell r="E1429">
            <v>2</v>
          </cell>
          <cell r="H1429" t="str">
            <v>APLUS</v>
          </cell>
          <cell r="N1429">
            <v>1000</v>
          </cell>
          <cell r="Y1429">
            <v>46205</v>
          </cell>
          <cell r="Z1429">
            <v>1</v>
          </cell>
          <cell r="AA1429">
            <v>1000</v>
          </cell>
        </row>
        <row r="1430">
          <cell r="A1430">
            <v>46205</v>
          </cell>
          <cell r="D1430" t="str">
            <v>LADY OF COURAGE</v>
          </cell>
          <cell r="E1430">
            <v>3</v>
          </cell>
          <cell r="H1430" t="str">
            <v>LAPU-LAPU</v>
          </cell>
          <cell r="N1430">
            <v>1000</v>
          </cell>
          <cell r="Y1430">
            <v>46205</v>
          </cell>
          <cell r="Z1430">
            <v>1</v>
          </cell>
          <cell r="AA1430">
            <v>1000</v>
          </cell>
        </row>
        <row r="1431">
          <cell r="A1431">
            <v>46205</v>
          </cell>
          <cell r="D1431" t="str">
            <v>LADY OF COURAGE</v>
          </cell>
          <cell r="E1431">
            <v>3</v>
          </cell>
          <cell r="H1431" t="str">
            <v>SAFISCOR</v>
          </cell>
          <cell r="N1431">
            <v>1000</v>
          </cell>
          <cell r="Y1431">
            <v>46205</v>
          </cell>
          <cell r="Z1431">
            <v>1</v>
          </cell>
          <cell r="AA1431">
            <v>1000</v>
          </cell>
        </row>
        <row r="1432">
          <cell r="A1432">
            <v>46205</v>
          </cell>
          <cell r="D1432" t="str">
            <v>LADY OF COURAGE</v>
          </cell>
          <cell r="E1432">
            <v>3</v>
          </cell>
          <cell r="H1432" t="str">
            <v>SAFISCOR</v>
          </cell>
          <cell r="N1432">
            <v>1000</v>
          </cell>
          <cell r="Y1432">
            <v>46205</v>
          </cell>
          <cell r="Z1432">
            <v>2</v>
          </cell>
          <cell r="AA1432">
            <v>1000</v>
          </cell>
        </row>
        <row r="1433">
          <cell r="A1433">
            <v>46205</v>
          </cell>
          <cell r="D1433" t="str">
            <v>LADY OF COURAGE</v>
          </cell>
          <cell r="E1433">
            <v>3</v>
          </cell>
          <cell r="H1433" t="str">
            <v>SAFISCOR</v>
          </cell>
          <cell r="N1433">
            <v>1000</v>
          </cell>
          <cell r="Y1433">
            <v>46206</v>
          </cell>
          <cell r="Z1433">
            <v>1</v>
          </cell>
          <cell r="AA1433">
            <v>1000</v>
          </cell>
        </row>
        <row r="1434">
          <cell r="A1434">
            <v>46205</v>
          </cell>
          <cell r="D1434" t="str">
            <v>EASTERN CEBU</v>
          </cell>
          <cell r="E1434">
            <v>3</v>
          </cell>
          <cell r="H1434" t="str">
            <v>SAFISCOR</v>
          </cell>
          <cell r="N1434">
            <v>1000</v>
          </cell>
          <cell r="Y1434">
            <v>46205</v>
          </cell>
          <cell r="Z1434">
            <v>2</v>
          </cell>
          <cell r="AA1434">
            <v>1000</v>
          </cell>
        </row>
        <row r="1435">
          <cell r="A1435">
            <v>46205</v>
          </cell>
          <cell r="D1435" t="str">
            <v>LADY OF COURAGE</v>
          </cell>
          <cell r="E1435">
            <v>3</v>
          </cell>
          <cell r="H1435" t="str">
            <v>LAPU-LAPU</v>
          </cell>
          <cell r="N1435">
            <v>1000</v>
          </cell>
          <cell r="Y1435">
            <v>46205</v>
          </cell>
          <cell r="Z1435">
            <v>2</v>
          </cell>
          <cell r="AA1435">
            <v>1000</v>
          </cell>
        </row>
        <row r="1436">
          <cell r="A1436">
            <v>46205</v>
          </cell>
          <cell r="D1436" t="str">
            <v>LADY OF COURAGE</v>
          </cell>
          <cell r="E1436">
            <v>3</v>
          </cell>
          <cell r="H1436" t="str">
            <v>LAPU-LAPU</v>
          </cell>
          <cell r="N1436">
            <v>1000</v>
          </cell>
          <cell r="Y1436">
            <v>46205</v>
          </cell>
          <cell r="Z1436">
            <v>1</v>
          </cell>
          <cell r="AA1436">
            <v>1000</v>
          </cell>
        </row>
        <row r="1437">
          <cell r="A1437">
            <v>46205</v>
          </cell>
          <cell r="D1437" t="str">
            <v>LADY OF COURAGE</v>
          </cell>
          <cell r="E1437">
            <v>3</v>
          </cell>
          <cell r="H1437" t="str">
            <v>SAFISCOR</v>
          </cell>
          <cell r="N1437">
            <v>1000</v>
          </cell>
          <cell r="Y1437">
            <v>46205</v>
          </cell>
          <cell r="Z1437">
            <v>2</v>
          </cell>
          <cell r="AA1437">
            <v>1000</v>
          </cell>
        </row>
        <row r="1438">
          <cell r="A1438">
            <v>46205</v>
          </cell>
          <cell r="D1438" t="str">
            <v>LADY OF COURAGE</v>
          </cell>
          <cell r="E1438">
            <v>3</v>
          </cell>
          <cell r="H1438" t="str">
            <v>BADIE</v>
          </cell>
          <cell r="N1438">
            <v>1000</v>
          </cell>
          <cell r="Y1438">
            <v>46205</v>
          </cell>
          <cell r="Z1438">
            <v>1</v>
          </cell>
          <cell r="AA1438">
            <v>1000</v>
          </cell>
        </row>
        <row r="1439">
          <cell r="A1439">
            <v>46205</v>
          </cell>
          <cell r="D1439" t="str">
            <v>EASTERN CEBU</v>
          </cell>
          <cell r="E1439">
            <v>3</v>
          </cell>
          <cell r="H1439" t="str">
            <v>SAFISCOR</v>
          </cell>
          <cell r="N1439">
            <v>1000</v>
          </cell>
          <cell r="Y1439">
            <v>46205</v>
          </cell>
          <cell r="Z1439">
            <v>2</v>
          </cell>
          <cell r="AA1439">
            <v>1000</v>
          </cell>
        </row>
        <row r="1440">
          <cell r="A1440">
            <v>46205</v>
          </cell>
          <cell r="D1440" t="str">
            <v>EASTERN CEBU</v>
          </cell>
          <cell r="E1440">
            <v>3</v>
          </cell>
          <cell r="H1440" t="str">
            <v>SAFISCOR</v>
          </cell>
          <cell r="N1440">
            <v>1000</v>
          </cell>
          <cell r="Y1440">
            <v>46205</v>
          </cell>
          <cell r="Z1440">
            <v>2</v>
          </cell>
          <cell r="AA1440">
            <v>1000</v>
          </cell>
        </row>
        <row r="1441">
          <cell r="A1441">
            <v>46205</v>
          </cell>
          <cell r="D1441" t="str">
            <v>LADY OF COURAGE</v>
          </cell>
          <cell r="E1441">
            <v>3</v>
          </cell>
          <cell r="H1441" t="str">
            <v>SAFISCOR</v>
          </cell>
          <cell r="N1441">
            <v>1000</v>
          </cell>
          <cell r="Y1441" t="str">
            <v>7/2/20206</v>
          </cell>
          <cell r="Z1441">
            <v>2</v>
          </cell>
          <cell r="AA1441">
            <v>1000</v>
          </cell>
        </row>
        <row r="1442">
          <cell r="A1442">
            <v>46205</v>
          </cell>
          <cell r="D1442" t="str">
            <v>LADY OF COURAGE</v>
          </cell>
          <cell r="E1442">
            <v>3</v>
          </cell>
          <cell r="H1442" t="str">
            <v>SAFISCOR</v>
          </cell>
          <cell r="N1442">
            <v>1000</v>
          </cell>
          <cell r="Y1442">
            <v>46205</v>
          </cell>
          <cell r="Z1442">
            <v>1</v>
          </cell>
          <cell r="AA1442">
            <v>1000</v>
          </cell>
        </row>
        <row r="1443">
          <cell r="A1443">
            <v>46205</v>
          </cell>
          <cell r="D1443" t="str">
            <v>LADY OF ROSARY</v>
          </cell>
          <cell r="E1443">
            <v>2</v>
          </cell>
          <cell r="H1443" t="str">
            <v>GEO</v>
          </cell>
          <cell r="N1443">
            <v>1000</v>
          </cell>
          <cell r="Y1443">
            <v>46205</v>
          </cell>
          <cell r="Z1443">
            <v>1</v>
          </cell>
          <cell r="AA1443">
            <v>1000</v>
          </cell>
        </row>
        <row r="1444">
          <cell r="A1444">
            <v>46205</v>
          </cell>
          <cell r="D1444" t="str">
            <v>EASTERN CEBU</v>
          </cell>
          <cell r="E1444">
            <v>3</v>
          </cell>
          <cell r="H1444" t="str">
            <v>SAFISCOR</v>
          </cell>
          <cell r="N1444">
            <v>1000</v>
          </cell>
          <cell r="Y1444">
            <v>46205</v>
          </cell>
          <cell r="Z1444">
            <v>2</v>
          </cell>
          <cell r="AA1444">
            <v>1000</v>
          </cell>
        </row>
        <row r="1445">
          <cell r="A1445">
            <v>46205</v>
          </cell>
          <cell r="D1445" t="str">
            <v>EASTERN CEBU</v>
          </cell>
          <cell r="E1445">
            <v>3</v>
          </cell>
          <cell r="H1445" t="str">
            <v>SAFISCOR</v>
          </cell>
          <cell r="N1445">
            <v>1000</v>
          </cell>
          <cell r="Y1445">
            <v>46206</v>
          </cell>
          <cell r="Z1445">
            <v>1</v>
          </cell>
          <cell r="AA1445">
            <v>1000</v>
          </cell>
        </row>
        <row r="1446">
          <cell r="A1446">
            <v>46205</v>
          </cell>
          <cell r="D1446" t="str">
            <v>EASTERN CEBU</v>
          </cell>
          <cell r="E1446">
            <v>3</v>
          </cell>
          <cell r="H1446" t="str">
            <v>SAFISCOR</v>
          </cell>
          <cell r="N1446">
            <v>1000</v>
          </cell>
          <cell r="Y1446">
            <v>46205</v>
          </cell>
          <cell r="Z1446">
            <v>2</v>
          </cell>
          <cell r="AA1446">
            <v>1000</v>
          </cell>
        </row>
        <row r="1447">
          <cell r="A1447">
            <v>46205</v>
          </cell>
          <cell r="D1447" t="str">
            <v>LADY OF COURAGE</v>
          </cell>
          <cell r="E1447">
            <v>3</v>
          </cell>
          <cell r="H1447" t="str">
            <v>BADIE</v>
          </cell>
          <cell r="N1447">
            <v>1000</v>
          </cell>
          <cell r="Y1447">
            <v>46205</v>
          </cell>
          <cell r="Z1447">
            <v>2</v>
          </cell>
          <cell r="AA1447">
            <v>1000</v>
          </cell>
        </row>
        <row r="1448">
          <cell r="A1448">
            <v>46205</v>
          </cell>
          <cell r="D1448" t="str">
            <v>EASTERN CEBU</v>
          </cell>
          <cell r="E1448">
            <v>3</v>
          </cell>
          <cell r="H1448" t="str">
            <v>SAFISCOR</v>
          </cell>
          <cell r="N1448">
            <v>1000</v>
          </cell>
          <cell r="Y1448">
            <v>46205</v>
          </cell>
          <cell r="Z1448">
            <v>2</v>
          </cell>
          <cell r="AA1448">
            <v>1000</v>
          </cell>
        </row>
        <row r="1449">
          <cell r="A1449">
            <v>46205</v>
          </cell>
          <cell r="D1449" t="str">
            <v>LADY OF COURAGE</v>
          </cell>
          <cell r="E1449">
            <v>3</v>
          </cell>
          <cell r="H1449" t="str">
            <v>LAPU-LAPU</v>
          </cell>
          <cell r="N1449">
            <v>1000</v>
          </cell>
          <cell r="Y1449">
            <v>45840</v>
          </cell>
          <cell r="Z1449">
            <v>2</v>
          </cell>
          <cell r="AA1449">
            <v>1000</v>
          </cell>
        </row>
        <row r="1450">
          <cell r="A1450">
            <v>46205</v>
          </cell>
          <cell r="D1450" t="str">
            <v>LADY OF COURAGE</v>
          </cell>
          <cell r="E1450">
            <v>3</v>
          </cell>
          <cell r="H1450" t="str">
            <v>APLUS</v>
          </cell>
          <cell r="N1450">
            <v>1000</v>
          </cell>
          <cell r="Y1450">
            <v>46205</v>
          </cell>
          <cell r="Z1450">
            <v>2</v>
          </cell>
          <cell r="AA1450">
            <v>1000</v>
          </cell>
        </row>
        <row r="1451">
          <cell r="A1451">
            <v>46205</v>
          </cell>
          <cell r="D1451" t="str">
            <v>LADY OF COURAGE</v>
          </cell>
          <cell r="E1451">
            <v>3</v>
          </cell>
          <cell r="H1451" t="str">
            <v>LAPU-LAPU</v>
          </cell>
          <cell r="N1451">
            <v>1000</v>
          </cell>
          <cell r="Y1451">
            <v>46205</v>
          </cell>
          <cell r="Z1451">
            <v>2</v>
          </cell>
          <cell r="AA1451">
            <v>1000</v>
          </cell>
        </row>
        <row r="1452">
          <cell r="A1452">
            <v>46205</v>
          </cell>
          <cell r="D1452" t="str">
            <v>EASTERN CEBU</v>
          </cell>
          <cell r="E1452">
            <v>3</v>
          </cell>
          <cell r="H1452" t="str">
            <v>SAFISCOR</v>
          </cell>
          <cell r="N1452">
            <v>1000</v>
          </cell>
          <cell r="Y1452">
            <v>46205</v>
          </cell>
          <cell r="Z1452">
            <v>2</v>
          </cell>
          <cell r="AA1452">
            <v>1000</v>
          </cell>
        </row>
        <row r="1453">
          <cell r="A1453">
            <v>46205</v>
          </cell>
          <cell r="D1453" t="str">
            <v>EASTERN CEBU</v>
          </cell>
          <cell r="E1453">
            <v>3</v>
          </cell>
          <cell r="H1453" t="str">
            <v>SAFISCOR</v>
          </cell>
          <cell r="N1453">
            <v>1000</v>
          </cell>
          <cell r="Y1453">
            <v>46205</v>
          </cell>
          <cell r="Z1453">
            <v>2</v>
          </cell>
          <cell r="AA1453">
            <v>1000</v>
          </cell>
        </row>
        <row r="1454">
          <cell r="A1454">
            <v>46205</v>
          </cell>
          <cell r="D1454" t="str">
            <v>EASTERN CEBU</v>
          </cell>
          <cell r="E1454">
            <v>3</v>
          </cell>
          <cell r="H1454" t="str">
            <v>SAFISCOR</v>
          </cell>
          <cell r="N1454">
            <v>1000</v>
          </cell>
          <cell r="Y1454">
            <v>46205</v>
          </cell>
          <cell r="Z1454">
            <v>2</v>
          </cell>
          <cell r="AA1454">
            <v>1000</v>
          </cell>
        </row>
        <row r="1455">
          <cell r="A1455">
            <v>46205</v>
          </cell>
          <cell r="D1455" t="str">
            <v>LADY OF COURAGE</v>
          </cell>
          <cell r="E1455">
            <v>3</v>
          </cell>
          <cell r="H1455" t="str">
            <v>LAPU-LAPU</v>
          </cell>
          <cell r="N1455">
            <v>1000</v>
          </cell>
          <cell r="Y1455">
            <v>46205</v>
          </cell>
          <cell r="Z1455">
            <v>2</v>
          </cell>
          <cell r="AA1455">
            <v>1000</v>
          </cell>
        </row>
        <row r="1456">
          <cell r="A1456">
            <v>46205</v>
          </cell>
          <cell r="D1456" t="str">
            <v>LADY OF COURAGE</v>
          </cell>
          <cell r="E1456">
            <v>3</v>
          </cell>
          <cell r="H1456" t="str">
            <v>SAFISCOR</v>
          </cell>
          <cell r="N1456">
            <v>1000</v>
          </cell>
          <cell r="Y1456">
            <v>46205</v>
          </cell>
          <cell r="Z1456">
            <v>2</v>
          </cell>
          <cell r="AA1456">
            <v>1000</v>
          </cell>
        </row>
        <row r="1457">
          <cell r="A1457">
            <v>46205</v>
          </cell>
          <cell r="D1457" t="str">
            <v>EASTERN CEBU</v>
          </cell>
          <cell r="E1457">
            <v>3</v>
          </cell>
          <cell r="H1457" t="str">
            <v>SAFISCOR</v>
          </cell>
          <cell r="N1457">
            <v>1000</v>
          </cell>
          <cell r="Y1457">
            <v>46205</v>
          </cell>
          <cell r="Z1457">
            <v>2</v>
          </cell>
          <cell r="AA1457">
            <v>1000</v>
          </cell>
        </row>
        <row r="1458">
          <cell r="A1458">
            <v>46205</v>
          </cell>
          <cell r="D1458" t="str">
            <v>EASTERN CEBU</v>
          </cell>
          <cell r="E1458">
            <v>3</v>
          </cell>
          <cell r="H1458" t="str">
            <v>SAFISCOR</v>
          </cell>
          <cell r="N1458">
            <v>1000</v>
          </cell>
          <cell r="Y1458">
            <v>46205</v>
          </cell>
          <cell r="Z1458">
            <v>2</v>
          </cell>
          <cell r="AA1458">
            <v>1000</v>
          </cell>
        </row>
        <row r="1459">
          <cell r="A1459">
            <v>46205</v>
          </cell>
          <cell r="D1459" t="str">
            <v>LADY OF COURAGE</v>
          </cell>
          <cell r="E1459">
            <v>3</v>
          </cell>
          <cell r="H1459" t="str">
            <v>LAPU-LAPU</v>
          </cell>
          <cell r="N1459">
            <v>1000</v>
          </cell>
          <cell r="Y1459">
            <v>46205</v>
          </cell>
          <cell r="Z1459">
            <v>2</v>
          </cell>
          <cell r="AA1459">
            <v>1000</v>
          </cell>
        </row>
        <row r="1460">
          <cell r="A1460">
            <v>46205</v>
          </cell>
          <cell r="D1460" t="str">
            <v>LADY OF COURAGE</v>
          </cell>
          <cell r="E1460">
            <v>3</v>
          </cell>
          <cell r="H1460" t="str">
            <v>SAFISCOR</v>
          </cell>
          <cell r="N1460">
            <v>1000</v>
          </cell>
          <cell r="Y1460">
            <v>46206</v>
          </cell>
          <cell r="Z1460">
            <v>1</v>
          </cell>
          <cell r="AA1460">
            <v>1000</v>
          </cell>
        </row>
        <row r="1461">
          <cell r="A1461">
            <v>46205</v>
          </cell>
          <cell r="D1461" t="str">
            <v>EASTERN CEBU</v>
          </cell>
          <cell r="E1461">
            <v>3</v>
          </cell>
          <cell r="H1461" t="str">
            <v>SAFISCOR</v>
          </cell>
          <cell r="N1461">
            <v>1000</v>
          </cell>
          <cell r="Y1461">
            <v>46205</v>
          </cell>
          <cell r="Z1461">
            <v>2</v>
          </cell>
          <cell r="AA1461">
            <v>1000</v>
          </cell>
        </row>
        <row r="1462">
          <cell r="A1462">
            <v>46205</v>
          </cell>
          <cell r="D1462" t="str">
            <v>LADY OF COURAGE</v>
          </cell>
          <cell r="E1462">
            <v>3</v>
          </cell>
          <cell r="H1462" t="str">
            <v>LAPU-LAPU</v>
          </cell>
          <cell r="N1462">
            <v>1000</v>
          </cell>
          <cell r="Y1462">
            <v>45840</v>
          </cell>
          <cell r="Z1462">
            <v>2</v>
          </cell>
          <cell r="AA1462">
            <v>1000</v>
          </cell>
        </row>
        <row r="1463">
          <cell r="A1463">
            <v>46205</v>
          </cell>
          <cell r="D1463" t="str">
            <v>EASTERN CEBU</v>
          </cell>
          <cell r="E1463">
            <v>3</v>
          </cell>
          <cell r="H1463" t="str">
            <v>GEO</v>
          </cell>
          <cell r="N1463">
            <v>1000</v>
          </cell>
          <cell r="Y1463">
            <v>46205</v>
          </cell>
          <cell r="Z1463">
            <v>2</v>
          </cell>
          <cell r="AA1463">
            <v>1000</v>
          </cell>
        </row>
        <row r="1464">
          <cell r="A1464">
            <v>46205</v>
          </cell>
          <cell r="D1464" t="str">
            <v>ADOLFO SR</v>
          </cell>
          <cell r="E1464">
            <v>3</v>
          </cell>
          <cell r="H1464" t="str">
            <v>SAFISCOR</v>
          </cell>
          <cell r="N1464">
            <v>1000</v>
          </cell>
          <cell r="Y1464">
            <v>46206</v>
          </cell>
          <cell r="Z1464">
            <v>1</v>
          </cell>
          <cell r="AA1464">
            <v>1000</v>
          </cell>
        </row>
        <row r="1465">
          <cell r="A1465">
            <v>46205</v>
          </cell>
          <cell r="D1465" t="str">
            <v>ADOLFO SR</v>
          </cell>
          <cell r="E1465">
            <v>3</v>
          </cell>
          <cell r="H1465" t="str">
            <v>SAFISCOR</v>
          </cell>
          <cell r="N1465">
            <v>1000</v>
          </cell>
          <cell r="Y1465">
            <v>46206</v>
          </cell>
          <cell r="Z1465">
            <v>1</v>
          </cell>
          <cell r="AA1465">
            <v>1000</v>
          </cell>
        </row>
        <row r="1466">
          <cell r="A1466">
            <v>46205</v>
          </cell>
          <cell r="D1466" t="str">
            <v>EFG 5</v>
          </cell>
          <cell r="E1466">
            <v>2</v>
          </cell>
          <cell r="H1466" t="str">
            <v>SAFISCOR</v>
          </cell>
          <cell r="N1466">
            <v>1000</v>
          </cell>
          <cell r="Y1466">
            <v>46206</v>
          </cell>
          <cell r="Z1466">
            <v>2</v>
          </cell>
          <cell r="AA1466">
            <v>1000</v>
          </cell>
        </row>
        <row r="1467">
          <cell r="A1467">
            <v>46205</v>
          </cell>
          <cell r="D1467" t="str">
            <v>EFG 5</v>
          </cell>
          <cell r="E1467">
            <v>2</v>
          </cell>
          <cell r="H1467" t="str">
            <v>SAFISCOR</v>
          </cell>
          <cell r="N1467">
            <v>1000</v>
          </cell>
          <cell r="Y1467">
            <v>46206</v>
          </cell>
          <cell r="Z1467">
            <v>2</v>
          </cell>
          <cell r="AA1467">
            <v>1000</v>
          </cell>
        </row>
        <row r="1468">
          <cell r="A1468">
            <v>46205</v>
          </cell>
          <cell r="D1468" t="str">
            <v>EFG 5</v>
          </cell>
          <cell r="E1468">
            <v>2</v>
          </cell>
          <cell r="H1468" t="str">
            <v>BADIE</v>
          </cell>
          <cell r="N1468">
            <v>1000</v>
          </cell>
          <cell r="Y1468">
            <v>46206</v>
          </cell>
          <cell r="Z1468">
            <v>2</v>
          </cell>
          <cell r="AA1468">
            <v>1000</v>
          </cell>
        </row>
        <row r="1469">
          <cell r="A1469">
            <v>46205</v>
          </cell>
          <cell r="D1469" t="str">
            <v>EFG 5</v>
          </cell>
          <cell r="E1469">
            <v>2</v>
          </cell>
          <cell r="H1469" t="str">
            <v>LAPU-LAPU</v>
          </cell>
          <cell r="N1469">
            <v>1000</v>
          </cell>
          <cell r="Y1469">
            <v>46206</v>
          </cell>
          <cell r="Z1469">
            <v>2</v>
          </cell>
          <cell r="AA1469">
            <v>1000</v>
          </cell>
        </row>
        <row r="1470">
          <cell r="A1470">
            <v>46205</v>
          </cell>
          <cell r="D1470" t="str">
            <v>EASTERN CEBU</v>
          </cell>
          <cell r="E1470">
            <v>3</v>
          </cell>
          <cell r="H1470" t="str">
            <v>SAFISCOR</v>
          </cell>
          <cell r="N1470">
            <v>1000</v>
          </cell>
          <cell r="Y1470">
            <v>46205</v>
          </cell>
          <cell r="Z1470">
            <v>2</v>
          </cell>
          <cell r="AA1470">
            <v>1000</v>
          </cell>
        </row>
        <row r="1471">
          <cell r="A1471">
            <v>46205</v>
          </cell>
          <cell r="D1471" t="str">
            <v>LADY OF COURAGE</v>
          </cell>
          <cell r="E1471">
            <v>3</v>
          </cell>
          <cell r="H1471" t="str">
            <v>LAPU-LAPU</v>
          </cell>
          <cell r="N1471">
            <v>1000</v>
          </cell>
          <cell r="Y1471">
            <v>46205</v>
          </cell>
          <cell r="Z1471">
            <v>2</v>
          </cell>
          <cell r="AA1471">
            <v>1000</v>
          </cell>
        </row>
        <row r="1472">
          <cell r="A1472">
            <v>46205</v>
          </cell>
          <cell r="D1472" t="str">
            <v>LADY OF DIVINE GRACE</v>
          </cell>
          <cell r="E1472">
            <v>3</v>
          </cell>
          <cell r="H1472" t="str">
            <v>SAFISCOR</v>
          </cell>
          <cell r="N1472">
            <v>1000</v>
          </cell>
          <cell r="Y1472">
            <v>46206</v>
          </cell>
          <cell r="Z1472">
            <v>1</v>
          </cell>
          <cell r="AA1472">
            <v>1000</v>
          </cell>
        </row>
        <row r="1473">
          <cell r="A1473">
            <v>46205</v>
          </cell>
          <cell r="D1473" t="str">
            <v>LADY OF DIVINE GRACE</v>
          </cell>
          <cell r="E1473">
            <v>3</v>
          </cell>
          <cell r="H1473" t="str">
            <v>SAFISCOR</v>
          </cell>
          <cell r="N1473">
            <v>1000</v>
          </cell>
          <cell r="Y1473">
            <v>46206</v>
          </cell>
          <cell r="Z1473">
            <v>1</v>
          </cell>
          <cell r="AA1473">
            <v>1000</v>
          </cell>
        </row>
        <row r="1474">
          <cell r="A1474">
            <v>46205</v>
          </cell>
          <cell r="D1474" t="str">
            <v>LADY OF DIVINE GRACE</v>
          </cell>
          <cell r="E1474">
            <v>3</v>
          </cell>
          <cell r="H1474" t="str">
            <v>GEO</v>
          </cell>
          <cell r="N1474">
            <v>1000</v>
          </cell>
          <cell r="Y1474">
            <v>46206</v>
          </cell>
          <cell r="Z1474">
            <v>1</v>
          </cell>
          <cell r="AA1474">
            <v>1000</v>
          </cell>
        </row>
        <row r="1475">
          <cell r="A1475">
            <v>46205</v>
          </cell>
          <cell r="D1475" t="str">
            <v>EASTERN CEBU</v>
          </cell>
          <cell r="E1475">
            <v>3</v>
          </cell>
          <cell r="H1475" t="str">
            <v>SAFISCOR</v>
          </cell>
          <cell r="N1475">
            <v>1000</v>
          </cell>
          <cell r="Y1475">
            <v>46205</v>
          </cell>
          <cell r="Z1475">
            <v>2</v>
          </cell>
          <cell r="AA1475">
            <v>1000</v>
          </cell>
        </row>
        <row r="1476">
          <cell r="A1476">
            <v>46205</v>
          </cell>
          <cell r="D1476" t="str">
            <v>EFG 5</v>
          </cell>
          <cell r="E1476">
            <v>2</v>
          </cell>
          <cell r="H1476" t="str">
            <v>SAFISCOR</v>
          </cell>
          <cell r="N1476">
            <v>1000</v>
          </cell>
          <cell r="Y1476">
            <v>46207</v>
          </cell>
          <cell r="Z1476">
            <v>1</v>
          </cell>
          <cell r="AA1476">
            <v>1000</v>
          </cell>
        </row>
        <row r="1477">
          <cell r="A1477">
            <v>46205</v>
          </cell>
          <cell r="D1477" t="str">
            <v>EFG 5</v>
          </cell>
          <cell r="E1477">
            <v>2</v>
          </cell>
          <cell r="H1477" t="str">
            <v>SAFISCOR</v>
          </cell>
          <cell r="N1477">
            <v>1000</v>
          </cell>
          <cell r="Y1477">
            <v>46207</v>
          </cell>
          <cell r="Z1477">
            <v>1</v>
          </cell>
          <cell r="AA1477">
            <v>1000</v>
          </cell>
        </row>
        <row r="1478">
          <cell r="A1478">
            <v>46205</v>
          </cell>
          <cell r="D1478" t="str">
            <v>EFG 5</v>
          </cell>
          <cell r="E1478">
            <v>2</v>
          </cell>
          <cell r="H1478" t="str">
            <v>LAPU-LAPU</v>
          </cell>
          <cell r="N1478">
            <v>1000</v>
          </cell>
          <cell r="Y1478">
            <v>46206</v>
          </cell>
          <cell r="Z1478">
            <v>2</v>
          </cell>
          <cell r="AA1478">
            <v>1000</v>
          </cell>
        </row>
        <row r="1479">
          <cell r="A1479">
            <v>46205</v>
          </cell>
          <cell r="D1479" t="str">
            <v>ADOLFO SR</v>
          </cell>
          <cell r="E1479">
            <v>3</v>
          </cell>
          <cell r="H1479" t="str">
            <v>SAFISCOR</v>
          </cell>
          <cell r="N1479">
            <v>500</v>
          </cell>
          <cell r="Y1479">
            <v>46206</v>
          </cell>
          <cell r="Z1479">
            <v>1</v>
          </cell>
          <cell r="AA1479">
            <v>500</v>
          </cell>
        </row>
        <row r="1480">
          <cell r="A1480">
            <v>46205</v>
          </cell>
          <cell r="D1480" t="str">
            <v>ADOLFO SR</v>
          </cell>
          <cell r="E1480">
            <v>3</v>
          </cell>
          <cell r="H1480" t="str">
            <v>SAFISCOR</v>
          </cell>
          <cell r="N1480">
            <v>500</v>
          </cell>
          <cell r="Y1480">
            <v>46206</v>
          </cell>
          <cell r="Z1480">
            <v>1</v>
          </cell>
          <cell r="AA1480">
            <v>500</v>
          </cell>
        </row>
        <row r="1481">
          <cell r="A1481">
            <v>46205</v>
          </cell>
          <cell r="D1481" t="str">
            <v>ADOLFO SR</v>
          </cell>
          <cell r="E1481">
            <v>3</v>
          </cell>
          <cell r="H1481" t="str">
            <v>SAFISCOR</v>
          </cell>
          <cell r="N1481">
            <v>700</v>
          </cell>
          <cell r="Y1481">
            <v>46206</v>
          </cell>
          <cell r="Z1481">
            <v>1</v>
          </cell>
          <cell r="AA1481">
            <v>700</v>
          </cell>
        </row>
        <row r="1482">
          <cell r="A1482">
            <v>46205</v>
          </cell>
          <cell r="D1482" t="str">
            <v>ADOLFO SR</v>
          </cell>
          <cell r="E1482">
            <v>3</v>
          </cell>
          <cell r="H1482" t="str">
            <v>SAFISCOR</v>
          </cell>
          <cell r="N1482">
            <v>300</v>
          </cell>
          <cell r="Y1482">
            <v>46206</v>
          </cell>
          <cell r="Z1482">
            <v>2</v>
          </cell>
          <cell r="AA1482">
            <v>300</v>
          </cell>
        </row>
        <row r="1483">
          <cell r="A1483">
            <v>46205</v>
          </cell>
          <cell r="D1483" t="str">
            <v>LADY OF DIVINE GRACE</v>
          </cell>
          <cell r="E1483">
            <v>3</v>
          </cell>
          <cell r="H1483" t="str">
            <v>SAFISCOR</v>
          </cell>
          <cell r="N1483">
            <v>1000</v>
          </cell>
          <cell r="Y1483">
            <v>46206</v>
          </cell>
          <cell r="Z1483">
            <v>2</v>
          </cell>
          <cell r="AA1483">
            <v>1000</v>
          </cell>
        </row>
        <row r="1484">
          <cell r="A1484">
            <v>46205</v>
          </cell>
          <cell r="D1484" t="str">
            <v>ADOLFO SR</v>
          </cell>
          <cell r="E1484">
            <v>3</v>
          </cell>
          <cell r="H1484" t="str">
            <v>SAFISCOR</v>
          </cell>
          <cell r="N1484">
            <v>1000</v>
          </cell>
          <cell r="Y1484">
            <v>46205</v>
          </cell>
          <cell r="Z1484">
            <v>2</v>
          </cell>
          <cell r="AA1484">
            <v>1000</v>
          </cell>
        </row>
        <row r="1485">
          <cell r="A1485">
            <v>46205</v>
          </cell>
          <cell r="D1485" t="str">
            <v>LADY OF DIVINE GRACE</v>
          </cell>
          <cell r="E1485">
            <v>3</v>
          </cell>
          <cell r="H1485" t="str">
            <v>LAPU-LAPU</v>
          </cell>
          <cell r="N1485">
            <v>1000</v>
          </cell>
          <cell r="Y1485">
            <v>46206</v>
          </cell>
          <cell r="Z1485">
            <v>1</v>
          </cell>
          <cell r="AA1485">
            <v>1000</v>
          </cell>
        </row>
        <row r="1486">
          <cell r="A1486">
            <v>46205</v>
          </cell>
          <cell r="D1486" t="str">
            <v>EASTERN CEBU</v>
          </cell>
          <cell r="E1486">
            <v>3</v>
          </cell>
          <cell r="H1486" t="str">
            <v>SAFISCOR</v>
          </cell>
          <cell r="N1486">
            <v>1000</v>
          </cell>
          <cell r="Y1486">
            <v>46205</v>
          </cell>
          <cell r="Z1486">
            <v>2</v>
          </cell>
          <cell r="AA1486">
            <v>1000</v>
          </cell>
        </row>
        <row r="1487">
          <cell r="A1487">
            <v>46205</v>
          </cell>
          <cell r="D1487" t="str">
            <v>EASTERN CEBU</v>
          </cell>
          <cell r="E1487">
            <v>3</v>
          </cell>
          <cell r="H1487" t="str">
            <v>SAFISCOR</v>
          </cell>
          <cell r="N1487">
            <v>1000</v>
          </cell>
          <cell r="Y1487">
            <v>46205</v>
          </cell>
          <cell r="Z1487">
            <v>2</v>
          </cell>
          <cell r="AA1487">
            <v>1000</v>
          </cell>
        </row>
        <row r="1488">
          <cell r="A1488">
            <v>46205</v>
          </cell>
          <cell r="D1488" t="str">
            <v>LADY OF DIVINE GRACE</v>
          </cell>
          <cell r="E1488">
            <v>3</v>
          </cell>
          <cell r="H1488" t="str">
            <v>SAFISCOR</v>
          </cell>
          <cell r="N1488">
            <v>1000</v>
          </cell>
          <cell r="Y1488">
            <v>46206</v>
          </cell>
          <cell r="Z1488">
            <v>2</v>
          </cell>
          <cell r="AA1488">
            <v>1000</v>
          </cell>
        </row>
        <row r="1489">
          <cell r="A1489">
            <v>46205</v>
          </cell>
          <cell r="D1489" t="str">
            <v>LADY OF DIVINE GRACE</v>
          </cell>
          <cell r="E1489">
            <v>3</v>
          </cell>
          <cell r="H1489" t="str">
            <v>SAFISCOR</v>
          </cell>
          <cell r="N1489">
            <v>1000</v>
          </cell>
          <cell r="Y1489">
            <v>46206</v>
          </cell>
          <cell r="Z1489">
            <v>2</v>
          </cell>
          <cell r="AA1489">
            <v>1000</v>
          </cell>
        </row>
        <row r="1490">
          <cell r="A1490">
            <v>46205</v>
          </cell>
          <cell r="D1490" t="str">
            <v>ADOLFO SR</v>
          </cell>
          <cell r="E1490">
            <v>3</v>
          </cell>
          <cell r="H1490" t="str">
            <v>SAFISCOR</v>
          </cell>
          <cell r="N1490">
            <v>1000</v>
          </cell>
          <cell r="Y1490">
            <v>46206</v>
          </cell>
          <cell r="Z1490">
            <v>2</v>
          </cell>
          <cell r="AA1490">
            <v>1000</v>
          </cell>
        </row>
        <row r="1491">
          <cell r="A1491">
            <v>46205</v>
          </cell>
          <cell r="D1491" t="str">
            <v>ADOLFO SR</v>
          </cell>
          <cell r="E1491">
            <v>3</v>
          </cell>
          <cell r="H1491" t="str">
            <v>SAFISCOR</v>
          </cell>
          <cell r="N1491">
            <v>500</v>
          </cell>
          <cell r="Y1491">
            <v>46206</v>
          </cell>
          <cell r="Z1491">
            <v>2</v>
          </cell>
          <cell r="AA1491">
            <v>500</v>
          </cell>
        </row>
        <row r="1492">
          <cell r="A1492">
            <v>46205</v>
          </cell>
          <cell r="D1492" t="str">
            <v>ADOLFO SR</v>
          </cell>
          <cell r="E1492">
            <v>3</v>
          </cell>
          <cell r="H1492" t="str">
            <v>SAFISCOR</v>
          </cell>
          <cell r="N1492">
            <v>500</v>
          </cell>
          <cell r="Y1492">
            <v>46205</v>
          </cell>
          <cell r="Z1492">
            <v>1</v>
          </cell>
          <cell r="AA1492">
            <v>500</v>
          </cell>
        </row>
        <row r="1493">
          <cell r="A1493">
            <v>46205</v>
          </cell>
          <cell r="D1493" t="str">
            <v>EASTERN CEBU</v>
          </cell>
          <cell r="E1493">
            <v>3</v>
          </cell>
          <cell r="H1493" t="str">
            <v>SAFISCOR</v>
          </cell>
          <cell r="N1493">
            <v>1000</v>
          </cell>
          <cell r="Y1493">
            <v>46206</v>
          </cell>
          <cell r="Z1493">
            <v>1</v>
          </cell>
          <cell r="AA1493">
            <v>1000</v>
          </cell>
        </row>
        <row r="1494">
          <cell r="A1494">
            <v>46205</v>
          </cell>
          <cell r="D1494" t="str">
            <v>EASTERN CEBU</v>
          </cell>
          <cell r="E1494">
            <v>3</v>
          </cell>
          <cell r="H1494" t="str">
            <v>SAFISCOR</v>
          </cell>
          <cell r="N1494">
            <v>1000</v>
          </cell>
          <cell r="Y1494">
            <v>46206</v>
          </cell>
          <cell r="Z1494">
            <v>1</v>
          </cell>
          <cell r="AA1494">
            <v>1000</v>
          </cell>
        </row>
        <row r="1495">
          <cell r="A1495">
            <v>46206</v>
          </cell>
          <cell r="D1495" t="str">
            <v>LADY OF COURAGE</v>
          </cell>
          <cell r="E1495">
            <v>3</v>
          </cell>
          <cell r="H1495" t="str">
            <v>LAPU-LAPU</v>
          </cell>
          <cell r="N1495">
            <v>1000</v>
          </cell>
          <cell r="Y1495">
            <v>46206</v>
          </cell>
          <cell r="Z1495">
            <v>1</v>
          </cell>
          <cell r="AA1495">
            <v>1000</v>
          </cell>
        </row>
        <row r="1496">
          <cell r="A1496">
            <v>46206</v>
          </cell>
          <cell r="D1496" t="str">
            <v>EFG 5</v>
          </cell>
          <cell r="E1496">
            <v>2</v>
          </cell>
          <cell r="H1496" t="str">
            <v>SAFISCOR</v>
          </cell>
          <cell r="N1496">
            <v>1000</v>
          </cell>
          <cell r="Y1496">
            <v>46206</v>
          </cell>
          <cell r="Z1496">
            <v>2</v>
          </cell>
          <cell r="AA1496">
            <v>1000</v>
          </cell>
        </row>
        <row r="1497">
          <cell r="A1497">
            <v>46206</v>
          </cell>
          <cell r="D1497" t="str">
            <v>LADY OF COURAGE</v>
          </cell>
          <cell r="E1497">
            <v>3</v>
          </cell>
          <cell r="H1497" t="str">
            <v>SAFISCOR</v>
          </cell>
          <cell r="N1497">
            <v>1000</v>
          </cell>
          <cell r="Y1497">
            <v>46206</v>
          </cell>
          <cell r="Z1497">
            <v>1</v>
          </cell>
          <cell r="AA1497">
            <v>1000</v>
          </cell>
        </row>
        <row r="1498">
          <cell r="A1498">
            <v>46206</v>
          </cell>
          <cell r="D1498" t="str">
            <v>LADY OF COURAGE</v>
          </cell>
          <cell r="E1498">
            <v>3</v>
          </cell>
          <cell r="H1498" t="str">
            <v>SAFISCOR</v>
          </cell>
          <cell r="N1498">
            <v>1000</v>
          </cell>
          <cell r="Y1498">
            <v>46206</v>
          </cell>
          <cell r="Z1498">
            <v>1</v>
          </cell>
          <cell r="AA1498">
            <v>1000</v>
          </cell>
        </row>
        <row r="1499">
          <cell r="A1499">
            <v>46206</v>
          </cell>
          <cell r="D1499" t="str">
            <v>EASTERN CEBU</v>
          </cell>
          <cell r="E1499">
            <v>3</v>
          </cell>
          <cell r="H1499" t="str">
            <v>SAFISCOR</v>
          </cell>
          <cell r="N1499">
            <v>1000</v>
          </cell>
          <cell r="Y1499">
            <v>46206</v>
          </cell>
          <cell r="Z1499">
            <v>1</v>
          </cell>
          <cell r="AA1499">
            <v>1000</v>
          </cell>
        </row>
        <row r="1500">
          <cell r="A1500">
            <v>46206</v>
          </cell>
          <cell r="D1500" t="str">
            <v>LADY OF COURAGE</v>
          </cell>
          <cell r="E1500">
            <v>3</v>
          </cell>
          <cell r="H1500" t="str">
            <v>APLUS</v>
          </cell>
          <cell r="N1500">
            <v>1000</v>
          </cell>
          <cell r="Y1500">
            <v>46206</v>
          </cell>
          <cell r="Z1500">
            <v>1</v>
          </cell>
          <cell r="AA1500">
            <v>1000</v>
          </cell>
        </row>
        <row r="1501">
          <cell r="A1501">
            <v>46206</v>
          </cell>
          <cell r="D1501" t="str">
            <v>LADY OF COURAGE</v>
          </cell>
          <cell r="E1501">
            <v>3</v>
          </cell>
          <cell r="H1501" t="str">
            <v>GEO</v>
          </cell>
          <cell r="N1501">
            <v>1000</v>
          </cell>
          <cell r="Y1501">
            <v>46206</v>
          </cell>
          <cell r="Z1501">
            <v>1</v>
          </cell>
          <cell r="AA1501">
            <v>1000</v>
          </cell>
        </row>
        <row r="1502">
          <cell r="A1502">
            <v>46206</v>
          </cell>
          <cell r="D1502" t="str">
            <v>EFG 5</v>
          </cell>
          <cell r="E1502">
            <v>2</v>
          </cell>
          <cell r="H1502" t="str">
            <v>SAFISCOR</v>
          </cell>
          <cell r="N1502">
            <v>1000</v>
          </cell>
          <cell r="Y1502">
            <v>46207</v>
          </cell>
          <cell r="Z1502">
            <v>1</v>
          </cell>
          <cell r="AA1502">
            <v>1000</v>
          </cell>
        </row>
        <row r="1503">
          <cell r="A1503">
            <v>46206</v>
          </cell>
          <cell r="D1503" t="str">
            <v>EFG 5</v>
          </cell>
          <cell r="E1503">
            <v>2</v>
          </cell>
          <cell r="H1503" t="str">
            <v>LAPU-LAPU</v>
          </cell>
          <cell r="N1503">
            <v>1000</v>
          </cell>
          <cell r="Y1503">
            <v>46206</v>
          </cell>
          <cell r="Z1503">
            <v>2</v>
          </cell>
          <cell r="AA1503">
            <v>1000</v>
          </cell>
        </row>
        <row r="1504">
          <cell r="A1504">
            <v>46206</v>
          </cell>
          <cell r="D1504" t="str">
            <v>EFG 5</v>
          </cell>
          <cell r="E1504">
            <v>2</v>
          </cell>
          <cell r="H1504" t="str">
            <v>SAFISCOR</v>
          </cell>
          <cell r="N1504">
            <v>1000</v>
          </cell>
          <cell r="Y1504">
            <v>46206</v>
          </cell>
          <cell r="Z1504">
            <v>2</v>
          </cell>
          <cell r="AA1504">
            <v>1000</v>
          </cell>
        </row>
        <row r="1505">
          <cell r="A1505">
            <v>46206</v>
          </cell>
          <cell r="D1505" t="str">
            <v>EFG 5</v>
          </cell>
          <cell r="E1505">
            <v>2</v>
          </cell>
          <cell r="H1505" t="str">
            <v>LAPU-LAPU</v>
          </cell>
          <cell r="N1505">
            <v>1000</v>
          </cell>
          <cell r="Y1505">
            <v>46206</v>
          </cell>
          <cell r="Z1505">
            <v>2</v>
          </cell>
          <cell r="AA1505">
            <v>1000</v>
          </cell>
        </row>
        <row r="1506">
          <cell r="A1506">
            <v>46206</v>
          </cell>
          <cell r="D1506" t="str">
            <v>ADOLFO SR</v>
          </cell>
          <cell r="E1506">
            <v>3</v>
          </cell>
          <cell r="H1506" t="str">
            <v>SAFISCOR</v>
          </cell>
          <cell r="N1506">
            <v>1000</v>
          </cell>
          <cell r="Y1506">
            <v>46206</v>
          </cell>
          <cell r="Z1506">
            <v>2</v>
          </cell>
          <cell r="AA1506">
            <v>1000</v>
          </cell>
        </row>
        <row r="1507">
          <cell r="A1507">
            <v>46206</v>
          </cell>
          <cell r="D1507" t="str">
            <v>LADY OF DIVINE GRACE</v>
          </cell>
          <cell r="E1507">
            <v>3</v>
          </cell>
          <cell r="H1507" t="str">
            <v>SAFISCOR</v>
          </cell>
          <cell r="N1507">
            <v>1000</v>
          </cell>
          <cell r="Y1507">
            <v>46206</v>
          </cell>
          <cell r="Z1507">
            <v>2</v>
          </cell>
          <cell r="AA1507">
            <v>1000</v>
          </cell>
        </row>
        <row r="1508">
          <cell r="A1508">
            <v>46206</v>
          </cell>
          <cell r="D1508" t="str">
            <v>LADY OF DIVINE GRACE</v>
          </cell>
          <cell r="E1508">
            <v>3</v>
          </cell>
          <cell r="H1508" t="str">
            <v>LAPU-LAPU</v>
          </cell>
          <cell r="N1508">
            <v>1000</v>
          </cell>
          <cell r="Y1508">
            <v>46206</v>
          </cell>
          <cell r="Z1508">
            <v>2</v>
          </cell>
          <cell r="AA1508">
            <v>1000</v>
          </cell>
        </row>
        <row r="1509">
          <cell r="A1509">
            <v>46206</v>
          </cell>
          <cell r="D1509" t="str">
            <v>LADY OF DIVINE GRACE</v>
          </cell>
          <cell r="E1509">
            <v>3</v>
          </cell>
          <cell r="H1509" t="str">
            <v>SAFISCOR</v>
          </cell>
          <cell r="N1509">
            <v>1000</v>
          </cell>
          <cell r="Y1509">
            <v>46206</v>
          </cell>
          <cell r="Z1509">
            <v>1</v>
          </cell>
          <cell r="AA1509">
            <v>1000</v>
          </cell>
        </row>
        <row r="1510">
          <cell r="A1510">
            <v>46206</v>
          </cell>
          <cell r="D1510" t="str">
            <v>ADOLFO SR</v>
          </cell>
          <cell r="E1510">
            <v>3</v>
          </cell>
          <cell r="H1510" t="str">
            <v>SAFISCOR</v>
          </cell>
          <cell r="N1510">
            <v>1000</v>
          </cell>
          <cell r="Y1510">
            <v>46206</v>
          </cell>
          <cell r="Z1510">
            <v>2</v>
          </cell>
          <cell r="AA1510">
            <v>1000</v>
          </cell>
        </row>
        <row r="1511">
          <cell r="A1511">
            <v>46206</v>
          </cell>
          <cell r="D1511" t="str">
            <v>EFG 5</v>
          </cell>
          <cell r="E1511">
            <v>2</v>
          </cell>
          <cell r="H1511" t="str">
            <v>SAFISCOR</v>
          </cell>
          <cell r="N1511">
            <v>1000</v>
          </cell>
          <cell r="Y1511">
            <v>46207</v>
          </cell>
          <cell r="Z1511">
            <v>1</v>
          </cell>
          <cell r="AA1511">
            <v>1000</v>
          </cell>
        </row>
        <row r="1512">
          <cell r="A1512">
            <v>46206</v>
          </cell>
          <cell r="D1512" t="str">
            <v>ADOLFO SR</v>
          </cell>
          <cell r="E1512">
            <v>3</v>
          </cell>
          <cell r="H1512" t="str">
            <v>SAFISCOR</v>
          </cell>
          <cell r="N1512">
            <v>1000</v>
          </cell>
          <cell r="Y1512">
            <v>46206</v>
          </cell>
          <cell r="Z1512">
            <v>2</v>
          </cell>
          <cell r="AA1512">
            <v>1000</v>
          </cell>
        </row>
        <row r="1513">
          <cell r="A1513">
            <v>46206</v>
          </cell>
          <cell r="D1513" t="str">
            <v>ADOLFO SR</v>
          </cell>
          <cell r="E1513">
            <v>3</v>
          </cell>
          <cell r="H1513" t="str">
            <v>SAFISCOR</v>
          </cell>
          <cell r="N1513">
            <v>1000</v>
          </cell>
          <cell r="Y1513">
            <v>46206</v>
          </cell>
          <cell r="Z1513">
            <v>2</v>
          </cell>
          <cell r="AA1513">
            <v>1000</v>
          </cell>
        </row>
        <row r="1514">
          <cell r="A1514">
            <v>46206</v>
          </cell>
          <cell r="D1514" t="str">
            <v>EFG 5</v>
          </cell>
          <cell r="E1514">
            <v>2</v>
          </cell>
          <cell r="H1514" t="str">
            <v>SAFISCOR</v>
          </cell>
          <cell r="N1514">
            <v>1000</v>
          </cell>
          <cell r="Y1514">
            <v>46207</v>
          </cell>
          <cell r="Z1514">
            <v>1</v>
          </cell>
          <cell r="AA1514">
            <v>1000</v>
          </cell>
        </row>
        <row r="1515">
          <cell r="A1515">
            <v>46206</v>
          </cell>
          <cell r="D1515" t="str">
            <v>LADY OF DIVINE GRACE</v>
          </cell>
          <cell r="E1515">
            <v>3</v>
          </cell>
          <cell r="H1515" t="str">
            <v>LAPU-LAPU</v>
          </cell>
          <cell r="N1515">
            <v>1000</v>
          </cell>
          <cell r="Y1515">
            <v>46206</v>
          </cell>
          <cell r="Z1515">
            <v>2</v>
          </cell>
          <cell r="AA1515">
            <v>1000</v>
          </cell>
        </row>
        <row r="1516">
          <cell r="A1516">
            <v>46206</v>
          </cell>
          <cell r="D1516" t="str">
            <v>EFG 5</v>
          </cell>
          <cell r="E1516">
            <v>2</v>
          </cell>
          <cell r="H1516" t="str">
            <v>SAFISCOR</v>
          </cell>
          <cell r="N1516">
            <v>1000</v>
          </cell>
          <cell r="Y1516">
            <v>46207</v>
          </cell>
          <cell r="Z1516">
            <v>1</v>
          </cell>
          <cell r="AA1516">
            <v>1000</v>
          </cell>
        </row>
        <row r="1517">
          <cell r="A1517">
            <v>46206</v>
          </cell>
          <cell r="D1517" t="str">
            <v>LADY OF DIVINE GRACE</v>
          </cell>
          <cell r="E1517">
            <v>3</v>
          </cell>
          <cell r="H1517" t="str">
            <v>GEO</v>
          </cell>
          <cell r="N1517">
            <v>1000</v>
          </cell>
          <cell r="Y1517">
            <v>46206</v>
          </cell>
          <cell r="Z1517">
            <v>2</v>
          </cell>
          <cell r="AA1517">
            <v>1000</v>
          </cell>
        </row>
        <row r="1518">
          <cell r="A1518">
            <v>46206</v>
          </cell>
          <cell r="D1518" t="str">
            <v>EFG 5</v>
          </cell>
          <cell r="E1518">
            <v>2</v>
          </cell>
          <cell r="H1518" t="str">
            <v>SAFISCOR</v>
          </cell>
          <cell r="N1518">
            <v>1000</v>
          </cell>
          <cell r="Y1518">
            <v>46206</v>
          </cell>
          <cell r="Z1518">
            <v>2</v>
          </cell>
          <cell r="AA1518">
            <v>1000</v>
          </cell>
        </row>
        <row r="1519">
          <cell r="A1519">
            <v>46206</v>
          </cell>
          <cell r="D1519" t="str">
            <v>EFG 5</v>
          </cell>
          <cell r="E1519">
            <v>2</v>
          </cell>
          <cell r="H1519" t="str">
            <v>SAFISCOR</v>
          </cell>
          <cell r="N1519">
            <v>1000</v>
          </cell>
          <cell r="Y1519">
            <v>46207</v>
          </cell>
          <cell r="Z1519">
            <v>1</v>
          </cell>
          <cell r="AA1519">
            <v>1000</v>
          </cell>
        </row>
        <row r="1520">
          <cell r="A1520">
            <v>46206</v>
          </cell>
          <cell r="D1520" t="str">
            <v>ADOLFO SR</v>
          </cell>
          <cell r="E1520">
            <v>3</v>
          </cell>
          <cell r="H1520" t="str">
            <v>LAPU-LAPU</v>
          </cell>
          <cell r="N1520">
            <v>500</v>
          </cell>
          <cell r="Y1520">
            <v>46206</v>
          </cell>
          <cell r="Z1520">
            <v>2</v>
          </cell>
          <cell r="AA1520">
            <v>500</v>
          </cell>
        </row>
        <row r="1521">
          <cell r="A1521">
            <v>46206</v>
          </cell>
          <cell r="D1521" t="str">
            <v>LADY OF DIVINE GRACE</v>
          </cell>
          <cell r="E1521">
            <v>3</v>
          </cell>
          <cell r="H1521" t="str">
            <v>LAPU-LAPU</v>
          </cell>
          <cell r="N1521">
            <v>500</v>
          </cell>
          <cell r="Y1521">
            <v>46206</v>
          </cell>
          <cell r="Z1521">
            <v>2</v>
          </cell>
          <cell r="AA1521">
            <v>500</v>
          </cell>
        </row>
        <row r="1522">
          <cell r="A1522">
            <v>46206</v>
          </cell>
          <cell r="D1522" t="str">
            <v>EFG 5</v>
          </cell>
          <cell r="E1522">
            <v>2</v>
          </cell>
          <cell r="H1522" t="str">
            <v>SAFISCOR</v>
          </cell>
          <cell r="N1522">
            <v>1000</v>
          </cell>
          <cell r="Y1522">
            <v>46206</v>
          </cell>
          <cell r="Z1522">
            <v>2</v>
          </cell>
          <cell r="AA1522">
            <v>1000</v>
          </cell>
        </row>
        <row r="1523">
          <cell r="A1523">
            <v>46206</v>
          </cell>
          <cell r="D1523" t="str">
            <v>LADY OF DIVINE GRACE</v>
          </cell>
          <cell r="E1523">
            <v>3</v>
          </cell>
          <cell r="H1523" t="str">
            <v>LAPU-LAPU</v>
          </cell>
          <cell r="N1523">
            <v>1000</v>
          </cell>
          <cell r="Y1523">
            <v>46206</v>
          </cell>
          <cell r="Z1523">
            <v>2</v>
          </cell>
          <cell r="AA1523">
            <v>1000</v>
          </cell>
        </row>
        <row r="1524">
          <cell r="A1524">
            <v>46206</v>
          </cell>
          <cell r="D1524" t="str">
            <v>ADOLFO SR</v>
          </cell>
          <cell r="E1524">
            <v>3</v>
          </cell>
          <cell r="H1524" t="str">
            <v>SAFISCOR</v>
          </cell>
          <cell r="N1524">
            <v>1000</v>
          </cell>
          <cell r="Y1524">
            <v>46206</v>
          </cell>
          <cell r="Z1524">
            <v>2</v>
          </cell>
          <cell r="AA1524">
            <v>1000</v>
          </cell>
        </row>
        <row r="1525">
          <cell r="A1525">
            <v>46206</v>
          </cell>
          <cell r="D1525" t="str">
            <v>ADOLFO SR</v>
          </cell>
          <cell r="E1525">
            <v>3</v>
          </cell>
          <cell r="H1525" t="str">
            <v>SAFISCOR</v>
          </cell>
          <cell r="N1525">
            <v>1000</v>
          </cell>
          <cell r="Y1525">
            <v>46206</v>
          </cell>
          <cell r="Z1525">
            <v>2</v>
          </cell>
          <cell r="AA1525">
            <v>1000</v>
          </cell>
        </row>
        <row r="1526">
          <cell r="A1526">
            <v>46206</v>
          </cell>
          <cell r="D1526" t="str">
            <v>EFG 5</v>
          </cell>
          <cell r="E1526">
            <v>2</v>
          </cell>
          <cell r="H1526" t="str">
            <v>SAFISCOR</v>
          </cell>
          <cell r="N1526">
            <v>1000</v>
          </cell>
          <cell r="Y1526">
            <v>46207</v>
          </cell>
          <cell r="Z1526">
            <v>1</v>
          </cell>
          <cell r="AA1526">
            <v>1000</v>
          </cell>
        </row>
        <row r="1527">
          <cell r="A1527">
            <v>46206</v>
          </cell>
          <cell r="D1527" t="str">
            <v>EFG 5</v>
          </cell>
          <cell r="E1527">
            <v>2</v>
          </cell>
          <cell r="H1527" t="str">
            <v>SAFISCOR</v>
          </cell>
          <cell r="N1527">
            <v>1000</v>
          </cell>
          <cell r="Y1527">
            <v>46207</v>
          </cell>
          <cell r="Z1527">
            <v>1</v>
          </cell>
          <cell r="AA1527">
            <v>1000</v>
          </cell>
        </row>
        <row r="1528">
          <cell r="A1528">
            <v>46206</v>
          </cell>
          <cell r="D1528" t="str">
            <v>EFG 5</v>
          </cell>
          <cell r="E1528">
            <v>2</v>
          </cell>
          <cell r="H1528" t="str">
            <v>SAFISCOR</v>
          </cell>
          <cell r="N1528">
            <v>1000</v>
          </cell>
          <cell r="Y1528">
            <v>46207</v>
          </cell>
          <cell r="Z1528">
            <v>1</v>
          </cell>
          <cell r="AA1528">
            <v>1000</v>
          </cell>
        </row>
        <row r="1529">
          <cell r="A1529">
            <v>46206</v>
          </cell>
          <cell r="D1529" t="str">
            <v>EFG 5</v>
          </cell>
          <cell r="E1529">
            <v>2</v>
          </cell>
          <cell r="H1529" t="str">
            <v>SAFISCOR</v>
          </cell>
          <cell r="N1529">
            <v>1000</v>
          </cell>
          <cell r="Y1529">
            <v>46207</v>
          </cell>
          <cell r="Z1529">
            <v>1</v>
          </cell>
          <cell r="AA1529">
            <v>1000</v>
          </cell>
        </row>
        <row r="1530">
          <cell r="A1530">
            <v>46206</v>
          </cell>
          <cell r="D1530" t="str">
            <v>EFG 5</v>
          </cell>
          <cell r="E1530">
            <v>2</v>
          </cell>
          <cell r="H1530" t="str">
            <v>LAPU-LAPU</v>
          </cell>
          <cell r="N1530">
            <v>1000</v>
          </cell>
          <cell r="Y1530">
            <v>46206</v>
          </cell>
          <cell r="Z1530">
            <v>2</v>
          </cell>
          <cell r="AA1530">
            <v>1000</v>
          </cell>
        </row>
        <row r="1531">
          <cell r="A1531">
            <v>46206</v>
          </cell>
          <cell r="D1531" t="str">
            <v>ADOLFO SR</v>
          </cell>
          <cell r="E1531">
            <v>3</v>
          </cell>
          <cell r="H1531" t="str">
            <v>SAFISCOR</v>
          </cell>
          <cell r="N1531">
            <v>1000</v>
          </cell>
          <cell r="Y1531">
            <v>46206</v>
          </cell>
          <cell r="Z1531">
            <v>2</v>
          </cell>
          <cell r="AA1531">
            <v>1000</v>
          </cell>
        </row>
        <row r="1532">
          <cell r="A1532">
            <v>46206</v>
          </cell>
          <cell r="D1532" t="str">
            <v>ADOLFO SR</v>
          </cell>
          <cell r="E1532">
            <v>3</v>
          </cell>
          <cell r="H1532" t="str">
            <v>SAFISCOR</v>
          </cell>
          <cell r="N1532">
            <v>1000</v>
          </cell>
          <cell r="Y1532">
            <v>46206</v>
          </cell>
          <cell r="Z1532">
            <v>2</v>
          </cell>
          <cell r="AA1532">
            <v>1000</v>
          </cell>
        </row>
        <row r="1533">
          <cell r="A1533">
            <v>46206</v>
          </cell>
          <cell r="D1533" t="str">
            <v>LADY OF DIVINE GRACE</v>
          </cell>
          <cell r="E1533">
            <v>3</v>
          </cell>
          <cell r="H1533" t="str">
            <v>LAPU-LAPU</v>
          </cell>
          <cell r="N1533">
            <v>1000</v>
          </cell>
          <cell r="Y1533">
            <v>46206</v>
          </cell>
          <cell r="Z1533">
            <v>2</v>
          </cell>
          <cell r="AA1533">
            <v>1000</v>
          </cell>
        </row>
        <row r="1534">
          <cell r="A1534">
            <v>46206</v>
          </cell>
          <cell r="D1534" t="str">
            <v>LADY OF DIVINE GRACE</v>
          </cell>
          <cell r="E1534">
            <v>3</v>
          </cell>
          <cell r="H1534" t="str">
            <v>LAPU-LAPU</v>
          </cell>
          <cell r="N1534">
            <v>1000</v>
          </cell>
          <cell r="Y1534">
            <v>46206</v>
          </cell>
          <cell r="Z1534">
            <v>2</v>
          </cell>
          <cell r="AA1534">
            <v>1000</v>
          </cell>
        </row>
        <row r="1535">
          <cell r="A1535">
            <v>46206</v>
          </cell>
          <cell r="D1535" t="str">
            <v>EFG 5</v>
          </cell>
          <cell r="E1535">
            <v>2</v>
          </cell>
          <cell r="H1535" t="str">
            <v>SAFISCOR</v>
          </cell>
          <cell r="N1535">
            <v>1000</v>
          </cell>
          <cell r="Y1535">
            <v>46207</v>
          </cell>
          <cell r="Z1535">
            <v>1</v>
          </cell>
          <cell r="AA1535">
            <v>1000</v>
          </cell>
        </row>
        <row r="1536">
          <cell r="A1536">
            <v>46206</v>
          </cell>
          <cell r="D1536" t="str">
            <v>EFG 5</v>
          </cell>
          <cell r="E1536">
            <v>2</v>
          </cell>
          <cell r="H1536" t="str">
            <v>SAFISCOR</v>
          </cell>
          <cell r="N1536">
            <v>1000</v>
          </cell>
          <cell r="Y1536">
            <v>46207</v>
          </cell>
          <cell r="Z1536">
            <v>1</v>
          </cell>
          <cell r="AA1536">
            <v>1000</v>
          </cell>
        </row>
        <row r="1537">
          <cell r="A1537">
            <v>46206</v>
          </cell>
          <cell r="D1537" t="str">
            <v>ADOLFO SR</v>
          </cell>
          <cell r="E1537">
            <v>3</v>
          </cell>
          <cell r="H1537" t="str">
            <v>SAFISCOR</v>
          </cell>
          <cell r="N1537">
            <v>1000</v>
          </cell>
          <cell r="Y1537">
            <v>46207</v>
          </cell>
          <cell r="Z1537">
            <v>1</v>
          </cell>
          <cell r="AA1537">
            <v>1000</v>
          </cell>
        </row>
        <row r="1538">
          <cell r="A1538">
            <v>46206</v>
          </cell>
          <cell r="D1538" t="str">
            <v>LADY OF DIVINE GRACE</v>
          </cell>
          <cell r="E1538">
            <v>3</v>
          </cell>
          <cell r="H1538" t="str">
            <v>GEO</v>
          </cell>
          <cell r="N1538">
            <v>1000</v>
          </cell>
          <cell r="Y1538">
            <v>46206</v>
          </cell>
          <cell r="Z1538">
            <v>2</v>
          </cell>
          <cell r="AA1538">
            <v>1000</v>
          </cell>
        </row>
        <row r="1539">
          <cell r="A1539">
            <v>46206</v>
          </cell>
          <cell r="D1539" t="str">
            <v>EFG 5</v>
          </cell>
          <cell r="E1539">
            <v>2</v>
          </cell>
          <cell r="H1539" t="str">
            <v>LAPU-LAPU</v>
          </cell>
          <cell r="N1539">
            <v>1000</v>
          </cell>
          <cell r="Y1539">
            <v>46206</v>
          </cell>
          <cell r="Z1539">
            <v>2</v>
          </cell>
          <cell r="AA1539">
            <v>1000</v>
          </cell>
        </row>
        <row r="1540">
          <cell r="A1540">
            <v>46206</v>
          </cell>
          <cell r="D1540" t="str">
            <v>LADY OF DIVINE GRACE</v>
          </cell>
          <cell r="E1540">
            <v>3</v>
          </cell>
          <cell r="H1540" t="str">
            <v>SAFISCOR</v>
          </cell>
          <cell r="N1540">
            <v>1000</v>
          </cell>
          <cell r="Y1540">
            <v>46206</v>
          </cell>
          <cell r="Z1540">
            <v>2</v>
          </cell>
          <cell r="AA1540">
            <v>1000</v>
          </cell>
        </row>
        <row r="1541">
          <cell r="A1541">
            <v>46206</v>
          </cell>
          <cell r="D1541" t="str">
            <v>EFG 5</v>
          </cell>
          <cell r="E1541">
            <v>2</v>
          </cell>
          <cell r="H1541" t="str">
            <v>SAFISCOR</v>
          </cell>
          <cell r="N1541">
            <v>1000</v>
          </cell>
          <cell r="Y1541">
            <v>46207</v>
          </cell>
          <cell r="Z1541">
            <v>1</v>
          </cell>
          <cell r="AA1541">
            <v>1000</v>
          </cell>
        </row>
        <row r="1542">
          <cell r="A1542">
            <v>46206</v>
          </cell>
          <cell r="D1542" t="str">
            <v>EFG 5</v>
          </cell>
          <cell r="E1542">
            <v>2</v>
          </cell>
          <cell r="H1542" t="str">
            <v>BADIE</v>
          </cell>
          <cell r="N1542">
            <v>1000</v>
          </cell>
          <cell r="Y1542">
            <v>46206</v>
          </cell>
          <cell r="Z1542">
            <v>2</v>
          </cell>
          <cell r="AA1542">
            <v>1000</v>
          </cell>
        </row>
        <row r="1543">
          <cell r="A1543">
            <v>46206</v>
          </cell>
          <cell r="D1543" t="str">
            <v>EFG 5</v>
          </cell>
          <cell r="E1543">
            <v>2</v>
          </cell>
          <cell r="H1543" t="str">
            <v>SAFISCOR</v>
          </cell>
          <cell r="N1543">
            <v>1000</v>
          </cell>
          <cell r="Y1543">
            <v>46207</v>
          </cell>
          <cell r="Z1543">
            <v>1</v>
          </cell>
          <cell r="AA1543">
            <v>1000</v>
          </cell>
        </row>
        <row r="1544">
          <cell r="A1544">
            <v>46206</v>
          </cell>
          <cell r="D1544" t="str">
            <v>EFG 5</v>
          </cell>
          <cell r="E1544">
            <v>2</v>
          </cell>
          <cell r="H1544" t="str">
            <v>LAPU-LAPU</v>
          </cell>
          <cell r="N1544">
            <v>1000</v>
          </cell>
          <cell r="Y1544">
            <v>46207</v>
          </cell>
          <cell r="Z1544">
            <v>1</v>
          </cell>
          <cell r="AA1544">
            <v>1000</v>
          </cell>
        </row>
        <row r="1545">
          <cell r="A1545">
            <v>46206</v>
          </cell>
          <cell r="D1545" t="str">
            <v>ADOLFO SR</v>
          </cell>
          <cell r="E1545">
            <v>3</v>
          </cell>
          <cell r="H1545" t="str">
            <v>SAFISCOR</v>
          </cell>
          <cell r="N1545">
            <v>500</v>
          </cell>
          <cell r="Y1545">
            <v>46207</v>
          </cell>
          <cell r="Z1545">
            <v>1</v>
          </cell>
          <cell r="AA1545">
            <v>500</v>
          </cell>
        </row>
        <row r="1546">
          <cell r="A1546">
            <v>46206</v>
          </cell>
          <cell r="D1546" t="str">
            <v>ADOLFO SR</v>
          </cell>
          <cell r="E1546">
            <v>3</v>
          </cell>
          <cell r="H1546" t="str">
            <v>SAFISCOR</v>
          </cell>
          <cell r="N1546">
            <v>500</v>
          </cell>
          <cell r="Y1546">
            <v>46207</v>
          </cell>
          <cell r="Z1546">
            <v>1</v>
          </cell>
          <cell r="AA1546">
            <v>500</v>
          </cell>
        </row>
        <row r="1547">
          <cell r="A1547">
            <v>46206</v>
          </cell>
          <cell r="D1547" t="str">
            <v>ADOLFO SR</v>
          </cell>
          <cell r="E1547">
            <v>3</v>
          </cell>
          <cell r="H1547" t="str">
            <v>SAFISCOR</v>
          </cell>
          <cell r="N1547">
            <v>1000</v>
          </cell>
          <cell r="Y1547">
            <v>46207</v>
          </cell>
          <cell r="Z1547">
            <v>1</v>
          </cell>
          <cell r="AA1547">
            <v>1000</v>
          </cell>
        </row>
        <row r="1548">
          <cell r="A1548">
            <v>46206</v>
          </cell>
          <cell r="D1548" t="str">
            <v>ADOLFO SR</v>
          </cell>
          <cell r="E1548">
            <v>3</v>
          </cell>
          <cell r="H1548" t="str">
            <v>SAFISCOR</v>
          </cell>
          <cell r="N1548">
            <v>1000</v>
          </cell>
          <cell r="Y1548">
            <v>46207</v>
          </cell>
          <cell r="Z1548">
            <v>1</v>
          </cell>
          <cell r="AA1548">
            <v>1000</v>
          </cell>
        </row>
        <row r="1549">
          <cell r="A1549">
            <v>46206</v>
          </cell>
          <cell r="D1549" t="str">
            <v>ADOLFO SR</v>
          </cell>
          <cell r="E1549">
            <v>3</v>
          </cell>
          <cell r="H1549" t="str">
            <v>SAFISCOR</v>
          </cell>
          <cell r="N1549">
            <v>1000</v>
          </cell>
          <cell r="Y1549">
            <v>46207</v>
          </cell>
          <cell r="Z1549">
            <v>1</v>
          </cell>
          <cell r="AA1549">
            <v>1000</v>
          </cell>
        </row>
        <row r="1550">
          <cell r="A1550">
            <v>46207</v>
          </cell>
          <cell r="D1550" t="str">
            <v>ADOLFO SR</v>
          </cell>
          <cell r="E1550">
            <v>3</v>
          </cell>
          <cell r="H1550" t="str">
            <v>SAFISCOR</v>
          </cell>
          <cell r="N1550">
            <v>1000</v>
          </cell>
          <cell r="Y1550">
            <v>46207</v>
          </cell>
          <cell r="Z1550">
            <v>1</v>
          </cell>
          <cell r="AA1550">
            <v>1000</v>
          </cell>
        </row>
        <row r="1551">
          <cell r="A1551">
            <v>46207</v>
          </cell>
          <cell r="D1551" t="str">
            <v>ADOLFO SR</v>
          </cell>
          <cell r="E1551">
            <v>3</v>
          </cell>
          <cell r="H1551" t="str">
            <v>SAFISCOR</v>
          </cell>
          <cell r="N1551">
            <v>50</v>
          </cell>
          <cell r="Y1551">
            <v>46207</v>
          </cell>
          <cell r="Z1551">
            <v>1</v>
          </cell>
          <cell r="AA1551">
            <v>50</v>
          </cell>
        </row>
        <row r="1552">
          <cell r="A1552">
            <v>46207</v>
          </cell>
          <cell r="D1552" t="str">
            <v>ADOLFO SR</v>
          </cell>
          <cell r="E1552">
            <v>3</v>
          </cell>
          <cell r="H1552" t="str">
            <v>SAFISCOR</v>
          </cell>
          <cell r="N1552">
            <v>950</v>
          </cell>
          <cell r="Y1552">
            <v>46207</v>
          </cell>
          <cell r="Z1552">
            <v>1</v>
          </cell>
          <cell r="AA1552">
            <v>950</v>
          </cell>
        </row>
        <row r="1553">
          <cell r="A1553">
            <v>46207</v>
          </cell>
          <cell r="D1553" t="str">
            <v>ADOLFO SR</v>
          </cell>
          <cell r="E1553">
            <v>3</v>
          </cell>
          <cell r="H1553" t="str">
            <v>LAPU-LAPU</v>
          </cell>
          <cell r="N1553">
            <v>1000</v>
          </cell>
          <cell r="Y1553">
            <v>46207</v>
          </cell>
          <cell r="Z1553">
            <v>1</v>
          </cell>
          <cell r="AA1553">
            <v>1000</v>
          </cell>
        </row>
        <row r="1554">
          <cell r="A1554">
            <v>46207</v>
          </cell>
          <cell r="D1554" t="str">
            <v>ADOLFO SR</v>
          </cell>
          <cell r="E1554">
            <v>3</v>
          </cell>
          <cell r="H1554" t="str">
            <v>SAFISCOR</v>
          </cell>
          <cell r="N1554">
            <v>1000</v>
          </cell>
          <cell r="Y1554">
            <v>46207</v>
          </cell>
          <cell r="Z1554">
            <v>1</v>
          </cell>
          <cell r="AA1554">
            <v>1000</v>
          </cell>
        </row>
        <row r="1555">
          <cell r="A1555">
            <v>46207</v>
          </cell>
          <cell r="D1555" t="str">
            <v>ADOLFO SR</v>
          </cell>
          <cell r="E1555">
            <v>3</v>
          </cell>
          <cell r="H1555" t="str">
            <v>GEO</v>
          </cell>
          <cell r="N1555">
            <v>1000</v>
          </cell>
          <cell r="Y1555">
            <v>46207</v>
          </cell>
          <cell r="Z1555">
            <v>1</v>
          </cell>
          <cell r="AA1555">
            <v>1000</v>
          </cell>
        </row>
        <row r="1556">
          <cell r="A1556">
            <v>46207</v>
          </cell>
          <cell r="D1556" t="str">
            <v>ADOLFO SR</v>
          </cell>
          <cell r="E1556">
            <v>3</v>
          </cell>
          <cell r="H1556" t="str">
            <v>GEO</v>
          </cell>
          <cell r="N1556">
            <v>1000</v>
          </cell>
          <cell r="Y1556">
            <v>46207</v>
          </cell>
          <cell r="Z1556">
            <v>1</v>
          </cell>
          <cell r="AA1556">
            <v>1000</v>
          </cell>
        </row>
        <row r="1557">
          <cell r="A1557">
            <v>46207</v>
          </cell>
          <cell r="D1557" t="str">
            <v>ADOLFO SR</v>
          </cell>
          <cell r="E1557">
            <v>3</v>
          </cell>
          <cell r="H1557" t="str">
            <v>APLUS</v>
          </cell>
          <cell r="N1557">
            <v>1000</v>
          </cell>
          <cell r="Y1557">
            <v>46207</v>
          </cell>
          <cell r="Z1557">
            <v>1</v>
          </cell>
          <cell r="AA1557">
            <v>1000</v>
          </cell>
        </row>
        <row r="1558">
          <cell r="A1558">
            <v>46209</v>
          </cell>
          <cell r="D1558" t="str">
            <v>EMERALD STAR</v>
          </cell>
          <cell r="E1558">
            <v>3</v>
          </cell>
          <cell r="H1558" t="str">
            <v>SAFISCOR</v>
          </cell>
          <cell r="N1558">
            <v>1000</v>
          </cell>
          <cell r="Y1558">
            <v>46209</v>
          </cell>
          <cell r="Z1558">
            <v>1</v>
          </cell>
          <cell r="AA1558">
            <v>1000</v>
          </cell>
        </row>
        <row r="1559">
          <cell r="A1559">
            <v>46209</v>
          </cell>
          <cell r="D1559" t="str">
            <v>EMERALD STAR</v>
          </cell>
          <cell r="E1559">
            <v>3</v>
          </cell>
          <cell r="H1559" t="str">
            <v>LAPU-LAPU</v>
          </cell>
          <cell r="N1559">
            <v>1000</v>
          </cell>
          <cell r="Y1559">
            <v>46209</v>
          </cell>
          <cell r="Z1559">
            <v>1</v>
          </cell>
          <cell r="AA1559">
            <v>1000</v>
          </cell>
        </row>
        <row r="1560">
          <cell r="A1560">
            <v>46209</v>
          </cell>
          <cell r="D1560" t="str">
            <v>QUEEN CAROLYN</v>
          </cell>
          <cell r="E1560">
            <v>3</v>
          </cell>
          <cell r="H1560" t="str">
            <v>BADIE</v>
          </cell>
          <cell r="N1560">
            <v>1000</v>
          </cell>
          <cell r="Y1560">
            <v>46209</v>
          </cell>
          <cell r="Z1560">
            <v>1</v>
          </cell>
          <cell r="AA1560">
            <v>1000</v>
          </cell>
        </row>
        <row r="1561">
          <cell r="A1561">
            <v>46209</v>
          </cell>
          <cell r="D1561" t="str">
            <v>STAR ILIGAN</v>
          </cell>
          <cell r="E1561">
            <v>3</v>
          </cell>
          <cell r="H1561" t="str">
            <v>LAPU-LAPU</v>
          </cell>
          <cell r="N1561">
            <v>1000</v>
          </cell>
          <cell r="Y1561">
            <v>46209</v>
          </cell>
          <cell r="Z1561">
            <v>1</v>
          </cell>
          <cell r="AA1561">
            <v>1000</v>
          </cell>
        </row>
        <row r="1562">
          <cell r="A1562">
            <v>46209</v>
          </cell>
          <cell r="D1562" t="str">
            <v>EMERALD STAR</v>
          </cell>
          <cell r="E1562">
            <v>3</v>
          </cell>
          <cell r="H1562" t="str">
            <v>SAFISCOR</v>
          </cell>
          <cell r="N1562">
            <v>1000</v>
          </cell>
          <cell r="Y1562">
            <v>46209</v>
          </cell>
          <cell r="Z1562">
            <v>1</v>
          </cell>
          <cell r="AA1562">
            <v>1000</v>
          </cell>
        </row>
        <row r="1563">
          <cell r="A1563">
            <v>46209</v>
          </cell>
          <cell r="D1563" t="str">
            <v>EMERALD STAR</v>
          </cell>
          <cell r="E1563">
            <v>3</v>
          </cell>
          <cell r="H1563" t="str">
            <v>GEO</v>
          </cell>
          <cell r="N1563">
            <v>1000</v>
          </cell>
          <cell r="Y1563">
            <v>46209</v>
          </cell>
          <cell r="Z1563">
            <v>2</v>
          </cell>
          <cell r="AA1563">
            <v>1000</v>
          </cell>
        </row>
        <row r="1564">
          <cell r="A1564">
            <v>46209</v>
          </cell>
          <cell r="D1564" t="str">
            <v>EMERALD STAR</v>
          </cell>
          <cell r="E1564">
            <v>3</v>
          </cell>
          <cell r="H1564" t="str">
            <v>SAFISCOR</v>
          </cell>
          <cell r="N1564">
            <v>1000</v>
          </cell>
          <cell r="Y1564">
            <v>46209</v>
          </cell>
          <cell r="Z1564">
            <v>1</v>
          </cell>
          <cell r="AA1564">
            <v>1000</v>
          </cell>
        </row>
        <row r="1565">
          <cell r="A1565">
            <v>46209</v>
          </cell>
          <cell r="D1565" t="str">
            <v>EMERALD STAR</v>
          </cell>
          <cell r="E1565">
            <v>3</v>
          </cell>
          <cell r="H1565" t="str">
            <v>SAFISCOR</v>
          </cell>
          <cell r="N1565">
            <v>1000</v>
          </cell>
          <cell r="Y1565">
            <v>46209</v>
          </cell>
          <cell r="Z1565">
            <v>1</v>
          </cell>
          <cell r="AA1565">
            <v>1000</v>
          </cell>
        </row>
        <row r="1566">
          <cell r="A1566">
            <v>46209</v>
          </cell>
          <cell r="D1566" t="str">
            <v>QUEEN CAROLYN</v>
          </cell>
          <cell r="E1566">
            <v>3</v>
          </cell>
          <cell r="H1566" t="str">
            <v>SAFISCOR</v>
          </cell>
          <cell r="N1566">
            <v>1000</v>
          </cell>
          <cell r="Y1566">
            <v>46209</v>
          </cell>
          <cell r="Z1566">
            <v>1</v>
          </cell>
          <cell r="AA1566">
            <v>1000</v>
          </cell>
        </row>
        <row r="1567">
          <cell r="A1567">
            <v>46209</v>
          </cell>
          <cell r="D1567" t="str">
            <v>STAR ILIGAN</v>
          </cell>
          <cell r="E1567">
            <v>3</v>
          </cell>
          <cell r="H1567" t="str">
            <v>SAFISCOR</v>
          </cell>
          <cell r="N1567">
            <v>1000</v>
          </cell>
          <cell r="Y1567">
            <v>46209</v>
          </cell>
          <cell r="Z1567">
            <v>1</v>
          </cell>
          <cell r="AA1567">
            <v>1000</v>
          </cell>
        </row>
        <row r="1568">
          <cell r="A1568">
            <v>46209</v>
          </cell>
          <cell r="D1568" t="str">
            <v>QUEEN CAROLYN</v>
          </cell>
          <cell r="E1568">
            <v>3</v>
          </cell>
          <cell r="H1568" t="str">
            <v>SAFISCOR</v>
          </cell>
          <cell r="N1568">
            <v>1000</v>
          </cell>
          <cell r="Y1568">
            <v>46209</v>
          </cell>
          <cell r="Z1568">
            <v>1</v>
          </cell>
          <cell r="AA1568">
            <v>1000</v>
          </cell>
        </row>
        <row r="1569">
          <cell r="A1569">
            <v>46209</v>
          </cell>
          <cell r="D1569" t="str">
            <v>STAR ILIGAN</v>
          </cell>
          <cell r="E1569">
            <v>3</v>
          </cell>
          <cell r="H1569" t="str">
            <v>SAFISCOR</v>
          </cell>
          <cell r="N1569">
            <v>1000</v>
          </cell>
          <cell r="Y1569">
            <v>46209</v>
          </cell>
          <cell r="Z1569">
            <v>2</v>
          </cell>
          <cell r="AA1569">
            <v>1000</v>
          </cell>
        </row>
        <row r="1570">
          <cell r="A1570">
            <v>46209</v>
          </cell>
          <cell r="D1570" t="str">
            <v>EMERALD STAR</v>
          </cell>
          <cell r="E1570">
            <v>3</v>
          </cell>
          <cell r="H1570" t="str">
            <v>LAPU-LAPU</v>
          </cell>
          <cell r="N1570">
            <v>1000</v>
          </cell>
          <cell r="Y1570">
            <v>46209</v>
          </cell>
          <cell r="Z1570">
            <v>2</v>
          </cell>
          <cell r="AA1570">
            <v>1000</v>
          </cell>
        </row>
        <row r="1571">
          <cell r="A1571">
            <v>46209</v>
          </cell>
          <cell r="D1571" t="str">
            <v>QUEEN CAROLYN</v>
          </cell>
          <cell r="E1571">
            <v>3</v>
          </cell>
          <cell r="H1571" t="str">
            <v>GEO</v>
          </cell>
          <cell r="N1571">
            <v>1000</v>
          </cell>
          <cell r="Y1571">
            <v>46209</v>
          </cell>
          <cell r="Z1571">
            <v>2</v>
          </cell>
          <cell r="AA1571">
            <v>1000</v>
          </cell>
        </row>
        <row r="1572">
          <cell r="A1572">
            <v>46209</v>
          </cell>
          <cell r="D1572" t="str">
            <v>SALVACION VI</v>
          </cell>
          <cell r="E1572">
            <v>2</v>
          </cell>
          <cell r="H1572" t="str">
            <v>BADIE</v>
          </cell>
          <cell r="N1572">
            <v>1000</v>
          </cell>
          <cell r="Y1572">
            <v>46209</v>
          </cell>
          <cell r="Z1572">
            <v>2</v>
          </cell>
          <cell r="AA1572">
            <v>1000</v>
          </cell>
        </row>
        <row r="1573">
          <cell r="A1573">
            <v>46209</v>
          </cell>
          <cell r="D1573" t="str">
            <v>EMERALD STAR</v>
          </cell>
          <cell r="E1573">
            <v>3</v>
          </cell>
          <cell r="H1573" t="str">
            <v>SAFISCOR</v>
          </cell>
          <cell r="N1573">
            <v>1000</v>
          </cell>
          <cell r="Y1573">
            <v>46210</v>
          </cell>
          <cell r="Z1573">
            <v>1</v>
          </cell>
          <cell r="AA1573">
            <v>1000</v>
          </cell>
        </row>
        <row r="1574">
          <cell r="A1574">
            <v>46209</v>
          </cell>
          <cell r="D1574" t="str">
            <v>EMERALD STAR</v>
          </cell>
          <cell r="E1574">
            <v>3</v>
          </cell>
          <cell r="H1574" t="str">
            <v>SAFISCOR</v>
          </cell>
          <cell r="N1574">
            <v>1000</v>
          </cell>
          <cell r="Y1574">
            <v>46209</v>
          </cell>
          <cell r="Z1574">
            <v>2</v>
          </cell>
          <cell r="AA1574">
            <v>1000</v>
          </cell>
        </row>
        <row r="1575">
          <cell r="A1575">
            <v>46209</v>
          </cell>
          <cell r="D1575" t="str">
            <v>STAR ILIGAN</v>
          </cell>
          <cell r="E1575">
            <v>3</v>
          </cell>
          <cell r="H1575" t="str">
            <v>LAPU-LAPU</v>
          </cell>
          <cell r="N1575">
            <v>1000</v>
          </cell>
          <cell r="Y1575">
            <v>46209</v>
          </cell>
          <cell r="Z1575">
            <v>2</v>
          </cell>
          <cell r="AA1575">
            <v>1000</v>
          </cell>
        </row>
        <row r="1576">
          <cell r="A1576">
            <v>46209</v>
          </cell>
          <cell r="D1576" t="str">
            <v>SALVACION VI</v>
          </cell>
          <cell r="E1576">
            <v>2</v>
          </cell>
          <cell r="H1576" t="str">
            <v>LAPU-LAPU</v>
          </cell>
          <cell r="N1576">
            <v>1000</v>
          </cell>
          <cell r="Y1576">
            <v>46209</v>
          </cell>
          <cell r="Z1576">
            <v>2</v>
          </cell>
          <cell r="AA1576">
            <v>1000</v>
          </cell>
        </row>
        <row r="1577">
          <cell r="A1577">
            <v>46209</v>
          </cell>
          <cell r="D1577" t="str">
            <v>EMERALD STAR</v>
          </cell>
          <cell r="E1577">
            <v>3</v>
          </cell>
          <cell r="H1577" t="str">
            <v>SAFISCOR</v>
          </cell>
          <cell r="N1577">
            <v>1000</v>
          </cell>
          <cell r="Y1577">
            <v>46209</v>
          </cell>
          <cell r="Z1577">
            <v>2</v>
          </cell>
          <cell r="AA1577">
            <v>1000</v>
          </cell>
        </row>
        <row r="1578">
          <cell r="A1578">
            <v>46209</v>
          </cell>
          <cell r="D1578" t="str">
            <v>STAR ILIGAN</v>
          </cell>
          <cell r="E1578">
            <v>3</v>
          </cell>
          <cell r="H1578" t="str">
            <v>SAFISCOR</v>
          </cell>
          <cell r="N1578">
            <v>1000</v>
          </cell>
          <cell r="Y1578">
            <v>46209</v>
          </cell>
          <cell r="Z1578">
            <v>2</v>
          </cell>
          <cell r="AA1578">
            <v>1000</v>
          </cell>
        </row>
        <row r="1579">
          <cell r="A1579">
            <v>46209</v>
          </cell>
          <cell r="D1579" t="str">
            <v>STAR ILIGAN</v>
          </cell>
          <cell r="E1579">
            <v>3</v>
          </cell>
          <cell r="H1579" t="str">
            <v>LAPU-LAPU</v>
          </cell>
          <cell r="N1579">
            <v>1000</v>
          </cell>
          <cell r="Y1579">
            <v>46209</v>
          </cell>
          <cell r="Z1579">
            <v>2</v>
          </cell>
          <cell r="AA1579">
            <v>1000</v>
          </cell>
        </row>
        <row r="1580">
          <cell r="A1580">
            <v>46209</v>
          </cell>
          <cell r="D1580" t="str">
            <v>STAR ILIGAN</v>
          </cell>
          <cell r="E1580">
            <v>3</v>
          </cell>
          <cell r="H1580" t="str">
            <v>SAFISCOR</v>
          </cell>
          <cell r="N1580">
            <v>1000</v>
          </cell>
          <cell r="Y1580">
            <v>46209</v>
          </cell>
          <cell r="Z1580">
            <v>2</v>
          </cell>
          <cell r="AA1580">
            <v>1000</v>
          </cell>
        </row>
        <row r="1581">
          <cell r="A1581">
            <v>46209</v>
          </cell>
          <cell r="D1581" t="str">
            <v>QUEEN CAROLYN</v>
          </cell>
          <cell r="E1581">
            <v>3</v>
          </cell>
          <cell r="H1581" t="str">
            <v>SAFISCOR</v>
          </cell>
          <cell r="N1581">
            <v>1000</v>
          </cell>
          <cell r="Y1581">
            <v>46209</v>
          </cell>
          <cell r="Z1581">
            <v>2</v>
          </cell>
          <cell r="AA1581">
            <v>1000</v>
          </cell>
        </row>
        <row r="1582">
          <cell r="A1582">
            <v>46209</v>
          </cell>
          <cell r="D1582" t="str">
            <v>EMERALD STAR</v>
          </cell>
          <cell r="E1582">
            <v>3</v>
          </cell>
          <cell r="H1582" t="str">
            <v>SAFISCOR</v>
          </cell>
          <cell r="N1582">
            <v>1000</v>
          </cell>
          <cell r="Y1582">
            <v>46209</v>
          </cell>
          <cell r="Z1582">
            <v>2</v>
          </cell>
          <cell r="AA1582">
            <v>1000</v>
          </cell>
        </row>
        <row r="1583">
          <cell r="A1583">
            <v>46209</v>
          </cell>
          <cell r="D1583" t="str">
            <v>STAR ILIGAN</v>
          </cell>
          <cell r="E1583">
            <v>3</v>
          </cell>
          <cell r="H1583" t="str">
            <v>LAPU-LAPU</v>
          </cell>
          <cell r="N1583">
            <v>1000</v>
          </cell>
          <cell r="Y1583">
            <v>46209</v>
          </cell>
          <cell r="Z1583">
            <v>2</v>
          </cell>
          <cell r="AA1583">
            <v>1000</v>
          </cell>
        </row>
        <row r="1584">
          <cell r="A1584">
            <v>46209</v>
          </cell>
          <cell r="D1584" t="str">
            <v>STAR ILIGAN</v>
          </cell>
          <cell r="E1584">
            <v>3</v>
          </cell>
          <cell r="H1584" t="str">
            <v>SAFISCOR</v>
          </cell>
          <cell r="N1584">
            <v>1000</v>
          </cell>
          <cell r="Y1584">
            <v>46209</v>
          </cell>
          <cell r="Z1584">
            <v>2</v>
          </cell>
          <cell r="AA1584">
            <v>1000</v>
          </cell>
        </row>
        <row r="1585">
          <cell r="A1585">
            <v>46209</v>
          </cell>
          <cell r="D1585" t="str">
            <v>EMERALD STAR</v>
          </cell>
          <cell r="E1585">
            <v>3</v>
          </cell>
          <cell r="H1585" t="str">
            <v>SAFISCOR</v>
          </cell>
          <cell r="N1585">
            <v>1000</v>
          </cell>
          <cell r="Y1585">
            <v>46209</v>
          </cell>
          <cell r="Z1585">
            <v>2</v>
          </cell>
          <cell r="AA1585">
            <v>1000</v>
          </cell>
        </row>
        <row r="1586">
          <cell r="A1586">
            <v>46209</v>
          </cell>
          <cell r="D1586" t="str">
            <v>SALVACION VI</v>
          </cell>
          <cell r="E1586">
            <v>2</v>
          </cell>
          <cell r="H1586" t="str">
            <v>SAFISCOR</v>
          </cell>
          <cell r="N1586">
            <v>1000</v>
          </cell>
          <cell r="Y1586">
            <v>46209</v>
          </cell>
          <cell r="Z1586">
            <v>2</v>
          </cell>
          <cell r="AA1586">
            <v>1000</v>
          </cell>
        </row>
        <row r="1587">
          <cell r="A1587">
            <v>46209</v>
          </cell>
          <cell r="D1587" t="str">
            <v>EMERALD STAR</v>
          </cell>
          <cell r="E1587">
            <v>3</v>
          </cell>
          <cell r="H1587" t="str">
            <v>SAFISCOR</v>
          </cell>
          <cell r="N1587">
            <v>1000</v>
          </cell>
        </row>
        <row r="1588">
          <cell r="A1588">
            <v>46209</v>
          </cell>
          <cell r="D1588" t="str">
            <v>EMERALD STAR</v>
          </cell>
          <cell r="E1588">
            <v>3</v>
          </cell>
          <cell r="H1588" t="str">
            <v>SAFISCOR</v>
          </cell>
          <cell r="N1588">
            <v>1000</v>
          </cell>
        </row>
        <row r="1589">
          <cell r="A1589">
            <v>46209</v>
          </cell>
          <cell r="D1589" t="str">
            <v>EMERALD STAR</v>
          </cell>
          <cell r="E1589">
            <v>3</v>
          </cell>
          <cell r="H1589" t="str">
            <v>SAFISCOR</v>
          </cell>
          <cell r="N1589">
            <v>1000</v>
          </cell>
          <cell r="Y1589">
            <v>46210</v>
          </cell>
          <cell r="Z1589">
            <v>1</v>
          </cell>
          <cell r="AA1589">
            <v>1000</v>
          </cell>
        </row>
        <row r="1590">
          <cell r="A1590">
            <v>46209</v>
          </cell>
          <cell r="D1590" t="str">
            <v>EMERALD STAR</v>
          </cell>
          <cell r="E1590">
            <v>3</v>
          </cell>
          <cell r="H1590" t="str">
            <v>SAFISCOR</v>
          </cell>
          <cell r="N1590">
            <v>1000</v>
          </cell>
        </row>
        <row r="1591">
          <cell r="A1591">
            <v>46209</v>
          </cell>
          <cell r="D1591" t="str">
            <v>QUEEN CAROLYN</v>
          </cell>
          <cell r="E1591">
            <v>3</v>
          </cell>
          <cell r="H1591" t="str">
            <v>SAFISCOR</v>
          </cell>
          <cell r="N1591">
            <v>1000</v>
          </cell>
        </row>
        <row r="1592">
          <cell r="A1592">
            <v>46209</v>
          </cell>
          <cell r="D1592" t="str">
            <v>SALVACION VI</v>
          </cell>
          <cell r="E1592">
            <v>2</v>
          </cell>
          <cell r="H1592" t="str">
            <v>LAPU-LAPU</v>
          </cell>
          <cell r="N1592">
            <v>1000</v>
          </cell>
          <cell r="Y1592">
            <v>46210</v>
          </cell>
          <cell r="Z1592">
            <v>1</v>
          </cell>
          <cell r="AA1592">
            <v>1000</v>
          </cell>
        </row>
        <row r="1593">
          <cell r="A1593">
            <v>46209</v>
          </cell>
          <cell r="D1593" t="str">
            <v>QUEEN CAROLYN</v>
          </cell>
          <cell r="E1593">
            <v>3</v>
          </cell>
          <cell r="H1593" t="str">
            <v>BADIE</v>
          </cell>
          <cell r="N1593">
            <v>1000</v>
          </cell>
          <cell r="Y1593">
            <v>46209</v>
          </cell>
          <cell r="Z1593">
            <v>2</v>
          </cell>
          <cell r="AA1593">
            <v>1000</v>
          </cell>
        </row>
        <row r="1594">
          <cell r="A1594">
            <v>46209</v>
          </cell>
          <cell r="D1594" t="str">
            <v>SALVACION VI</v>
          </cell>
          <cell r="E1594">
            <v>2</v>
          </cell>
          <cell r="H1594" t="str">
            <v>GEO</v>
          </cell>
          <cell r="N1594">
            <v>1000</v>
          </cell>
          <cell r="Y1594">
            <v>46209</v>
          </cell>
          <cell r="Z1594">
            <v>2</v>
          </cell>
          <cell r="AA1594">
            <v>1000</v>
          </cell>
        </row>
        <row r="1595">
          <cell r="A1595">
            <v>46209</v>
          </cell>
          <cell r="D1595" t="str">
            <v>STAR ILIGAN</v>
          </cell>
          <cell r="E1595">
            <v>3</v>
          </cell>
          <cell r="H1595" t="str">
            <v>SAFISCOR</v>
          </cell>
          <cell r="N1595">
            <v>1000</v>
          </cell>
          <cell r="Y1595">
            <v>46209</v>
          </cell>
          <cell r="Z1595">
            <v>2</v>
          </cell>
          <cell r="AA1595">
            <v>1000</v>
          </cell>
        </row>
        <row r="1596">
          <cell r="A1596">
            <v>46209</v>
          </cell>
          <cell r="D1596" t="str">
            <v>STAR ILIGAN</v>
          </cell>
          <cell r="E1596">
            <v>3</v>
          </cell>
          <cell r="H1596" t="str">
            <v>SAFISCOR</v>
          </cell>
          <cell r="N1596">
            <v>1000</v>
          </cell>
          <cell r="Y1596">
            <v>46209</v>
          </cell>
          <cell r="Z1596">
            <v>2</v>
          </cell>
          <cell r="AA1596">
            <v>1000</v>
          </cell>
        </row>
        <row r="1597">
          <cell r="A1597">
            <v>46209</v>
          </cell>
          <cell r="D1597" t="str">
            <v>SALVACION VI</v>
          </cell>
          <cell r="E1597">
            <v>2</v>
          </cell>
          <cell r="H1597" t="str">
            <v>SAFISCOR</v>
          </cell>
          <cell r="N1597">
            <v>1000</v>
          </cell>
          <cell r="Y1597">
            <v>46210</v>
          </cell>
          <cell r="Z1597">
            <v>1</v>
          </cell>
          <cell r="AA1597">
            <v>1000</v>
          </cell>
        </row>
        <row r="1598">
          <cell r="A1598">
            <v>46209</v>
          </cell>
          <cell r="D1598" t="str">
            <v>STAR ILIGAN</v>
          </cell>
          <cell r="E1598">
            <v>3</v>
          </cell>
          <cell r="H1598" t="str">
            <v>SAFISCOR</v>
          </cell>
          <cell r="N1598">
            <v>1000</v>
          </cell>
          <cell r="Y1598">
            <v>46209</v>
          </cell>
          <cell r="Z1598">
            <v>2</v>
          </cell>
          <cell r="AA1598">
            <v>1000</v>
          </cell>
        </row>
        <row r="1599">
          <cell r="A1599">
            <v>46209</v>
          </cell>
          <cell r="D1599" t="str">
            <v>STAR ILIGAN</v>
          </cell>
          <cell r="E1599">
            <v>3</v>
          </cell>
          <cell r="H1599" t="str">
            <v>SAFISCOR</v>
          </cell>
          <cell r="N1599">
            <v>1000</v>
          </cell>
          <cell r="Y1599">
            <v>46209</v>
          </cell>
          <cell r="Z1599">
            <v>2</v>
          </cell>
          <cell r="AA1599">
            <v>1000</v>
          </cell>
        </row>
        <row r="1600">
          <cell r="A1600">
            <v>46209</v>
          </cell>
          <cell r="D1600" t="str">
            <v>SALVACION VI</v>
          </cell>
          <cell r="E1600">
            <v>2</v>
          </cell>
          <cell r="H1600" t="str">
            <v>SAFISCOR</v>
          </cell>
          <cell r="N1600">
            <v>1000</v>
          </cell>
          <cell r="Y1600">
            <v>46209</v>
          </cell>
          <cell r="Z1600">
            <v>2</v>
          </cell>
          <cell r="AA1600">
            <v>1000</v>
          </cell>
        </row>
        <row r="1601">
          <cell r="A1601">
            <v>46209</v>
          </cell>
          <cell r="D1601" t="str">
            <v>SALVACION VI</v>
          </cell>
          <cell r="E1601">
            <v>2</v>
          </cell>
          <cell r="H1601" t="str">
            <v>LAPU-LAPU</v>
          </cell>
          <cell r="N1601">
            <v>1000</v>
          </cell>
          <cell r="Y1601">
            <v>46210</v>
          </cell>
          <cell r="Z1601">
            <v>1</v>
          </cell>
          <cell r="AA1601">
            <v>1000</v>
          </cell>
        </row>
        <row r="1602">
          <cell r="A1602">
            <v>46209</v>
          </cell>
          <cell r="D1602" t="str">
            <v>SALVACION VI</v>
          </cell>
          <cell r="E1602">
            <v>2</v>
          </cell>
          <cell r="H1602" t="str">
            <v>SAFISCOR</v>
          </cell>
          <cell r="N1602">
            <v>1000</v>
          </cell>
        </row>
        <row r="1603">
          <cell r="A1603">
            <v>46209</v>
          </cell>
          <cell r="D1603" t="str">
            <v>QUEEN CAROLYN</v>
          </cell>
          <cell r="E1603">
            <v>3</v>
          </cell>
          <cell r="H1603" t="str">
            <v>SAFISCOR</v>
          </cell>
          <cell r="N1603">
            <v>1000</v>
          </cell>
          <cell r="Y1603">
            <v>46209</v>
          </cell>
          <cell r="Z1603">
            <v>2</v>
          </cell>
          <cell r="AA1603">
            <v>1000</v>
          </cell>
        </row>
        <row r="1604">
          <cell r="A1604">
            <v>46209</v>
          </cell>
          <cell r="D1604" t="str">
            <v>EMERALD STAR</v>
          </cell>
          <cell r="E1604">
            <v>3</v>
          </cell>
          <cell r="H1604" t="str">
            <v>SAFISCOR</v>
          </cell>
          <cell r="N1604">
            <v>1000</v>
          </cell>
        </row>
        <row r="1605">
          <cell r="A1605">
            <v>46209</v>
          </cell>
          <cell r="D1605" t="str">
            <v>STAR ILIGAN</v>
          </cell>
          <cell r="E1605">
            <v>3</v>
          </cell>
          <cell r="H1605" t="str">
            <v>GEO</v>
          </cell>
          <cell r="N1605">
            <v>1000</v>
          </cell>
          <cell r="Y1605">
            <v>46210</v>
          </cell>
          <cell r="Z1605">
            <v>1</v>
          </cell>
          <cell r="AA1605">
            <v>1000</v>
          </cell>
        </row>
        <row r="1606">
          <cell r="A1606">
            <v>46209</v>
          </cell>
          <cell r="D1606" t="str">
            <v>SALVACION VI</v>
          </cell>
          <cell r="E1606">
            <v>2</v>
          </cell>
          <cell r="H1606" t="str">
            <v>SAFISCOR</v>
          </cell>
          <cell r="N1606">
            <v>1000</v>
          </cell>
          <cell r="Y1606">
            <v>46209</v>
          </cell>
          <cell r="Z1606">
            <v>2</v>
          </cell>
          <cell r="AA1606">
            <v>1000</v>
          </cell>
        </row>
        <row r="1607">
          <cell r="A1607">
            <v>46209</v>
          </cell>
          <cell r="D1607" t="str">
            <v>EMERALD STAR</v>
          </cell>
          <cell r="E1607">
            <v>3</v>
          </cell>
          <cell r="H1607" t="str">
            <v>SAFISCOR</v>
          </cell>
          <cell r="N1607">
            <v>1000</v>
          </cell>
          <cell r="Y1607">
            <v>46209</v>
          </cell>
          <cell r="Z1607">
            <v>2</v>
          </cell>
          <cell r="AA1607">
            <v>1000</v>
          </cell>
        </row>
        <row r="1608">
          <cell r="A1608">
            <v>46209</v>
          </cell>
          <cell r="D1608" t="str">
            <v>STAR ILIGAN</v>
          </cell>
          <cell r="E1608">
            <v>3</v>
          </cell>
          <cell r="H1608" t="str">
            <v>SAFISCOR</v>
          </cell>
          <cell r="N1608">
            <v>1000</v>
          </cell>
          <cell r="Y1608">
            <v>46210</v>
          </cell>
          <cell r="Z1608">
            <v>1</v>
          </cell>
          <cell r="AA1608">
            <v>1000</v>
          </cell>
        </row>
        <row r="1609">
          <cell r="A1609">
            <v>46209</v>
          </cell>
          <cell r="D1609" t="str">
            <v>SALVACION VI</v>
          </cell>
          <cell r="E1609">
            <v>2</v>
          </cell>
          <cell r="H1609" t="str">
            <v>LAPU-LAPU</v>
          </cell>
          <cell r="N1609">
            <v>1000</v>
          </cell>
          <cell r="Y1609">
            <v>46210</v>
          </cell>
          <cell r="Z1609">
            <v>1</v>
          </cell>
          <cell r="AA1609">
            <v>1000</v>
          </cell>
        </row>
        <row r="1610">
          <cell r="A1610">
            <v>46209</v>
          </cell>
          <cell r="D1610" t="str">
            <v>QUEEN CAROLYN</v>
          </cell>
          <cell r="E1610">
            <v>3</v>
          </cell>
          <cell r="H1610" t="str">
            <v>SAFISCOR</v>
          </cell>
          <cell r="N1610">
            <v>1000</v>
          </cell>
          <cell r="Y1610">
            <v>46209</v>
          </cell>
          <cell r="Z1610">
            <v>2</v>
          </cell>
          <cell r="AA1610">
            <v>1000</v>
          </cell>
        </row>
        <row r="1611">
          <cell r="A1611">
            <v>46209</v>
          </cell>
          <cell r="D1611" t="str">
            <v>SALVACION VI</v>
          </cell>
          <cell r="E1611">
            <v>2</v>
          </cell>
          <cell r="H1611" t="str">
            <v>BADIE</v>
          </cell>
          <cell r="N1611">
            <v>1000</v>
          </cell>
          <cell r="Y1611">
            <v>46209</v>
          </cell>
          <cell r="Z1611">
            <v>2</v>
          </cell>
          <cell r="AA1611">
            <v>1000</v>
          </cell>
        </row>
        <row r="1612">
          <cell r="A1612">
            <v>46209</v>
          </cell>
          <cell r="D1612" t="str">
            <v>SALVACION VI</v>
          </cell>
          <cell r="E1612">
            <v>2</v>
          </cell>
          <cell r="H1612" t="str">
            <v>SAFISCOR</v>
          </cell>
          <cell r="N1612">
            <v>1000</v>
          </cell>
          <cell r="Y1612">
            <v>46209</v>
          </cell>
          <cell r="Z1612">
            <v>2</v>
          </cell>
          <cell r="AA1612">
            <v>1000</v>
          </cell>
        </row>
        <row r="1613">
          <cell r="A1613">
            <v>46210</v>
          </cell>
          <cell r="D1613" t="str">
            <v>STAR FREEDOM</v>
          </cell>
          <cell r="E1613">
            <v>4</v>
          </cell>
          <cell r="H1613" t="str">
            <v>SAFISCOR</v>
          </cell>
          <cell r="N1613">
            <v>500</v>
          </cell>
        </row>
        <row r="1614">
          <cell r="A1614">
            <v>46210</v>
          </cell>
          <cell r="D1614" t="str">
            <v>QUEEN CAROLYN</v>
          </cell>
          <cell r="E1614">
            <v>3</v>
          </cell>
          <cell r="H1614" t="str">
            <v>LAPU-LAPU</v>
          </cell>
          <cell r="N1614">
            <v>1000</v>
          </cell>
          <cell r="Y1614">
            <v>46210</v>
          </cell>
          <cell r="Z1614">
            <v>1</v>
          </cell>
          <cell r="AA1614">
            <v>1000</v>
          </cell>
        </row>
        <row r="1615">
          <cell r="A1615">
            <v>46210</v>
          </cell>
          <cell r="D1615" t="str">
            <v>STAR FREEDOM</v>
          </cell>
          <cell r="E1615">
            <v>4</v>
          </cell>
          <cell r="H1615" t="str">
            <v>SAFISCOR</v>
          </cell>
          <cell r="N1615">
            <v>1000</v>
          </cell>
          <cell r="Y1615">
            <v>46210</v>
          </cell>
          <cell r="Z1615">
            <v>1</v>
          </cell>
          <cell r="AA1615">
            <v>1000</v>
          </cell>
        </row>
        <row r="1616">
          <cell r="A1616">
            <v>46210</v>
          </cell>
          <cell r="D1616" t="str">
            <v>STAR FREEDOM</v>
          </cell>
          <cell r="E1616">
            <v>4</v>
          </cell>
          <cell r="H1616" t="str">
            <v>SAFISCOR</v>
          </cell>
          <cell r="N1616">
            <v>1000</v>
          </cell>
          <cell r="Y1616">
            <v>46210</v>
          </cell>
          <cell r="Z1616">
            <v>1</v>
          </cell>
          <cell r="AA1616">
            <v>1000</v>
          </cell>
        </row>
        <row r="1617">
          <cell r="A1617">
            <v>46210</v>
          </cell>
          <cell r="D1617" t="str">
            <v>SALVACION VI</v>
          </cell>
          <cell r="E1617">
            <v>2</v>
          </cell>
          <cell r="H1617" t="str">
            <v>SAFISCOR</v>
          </cell>
          <cell r="N1617">
            <v>1000</v>
          </cell>
          <cell r="Y1617">
            <v>46210</v>
          </cell>
          <cell r="Z1617">
            <v>1</v>
          </cell>
          <cell r="AA1617">
            <v>1000</v>
          </cell>
        </row>
        <row r="1618">
          <cell r="A1618">
            <v>46210</v>
          </cell>
          <cell r="D1618" t="str">
            <v>STAR FREEDOM</v>
          </cell>
          <cell r="E1618">
            <v>4</v>
          </cell>
          <cell r="H1618" t="str">
            <v>SAFISCOR</v>
          </cell>
          <cell r="N1618">
            <v>1000</v>
          </cell>
        </row>
        <row r="1619">
          <cell r="A1619">
            <v>46210</v>
          </cell>
          <cell r="D1619" t="str">
            <v>EMERALD STAR</v>
          </cell>
          <cell r="E1619">
            <v>3</v>
          </cell>
          <cell r="H1619" t="str">
            <v>SAFISCOR</v>
          </cell>
          <cell r="N1619">
            <v>500</v>
          </cell>
          <cell r="Y1619">
            <v>46210</v>
          </cell>
          <cell r="Z1619">
            <v>1</v>
          </cell>
          <cell r="AA1619">
            <v>500</v>
          </cell>
        </row>
        <row r="1620">
          <cell r="A1620">
            <v>46210</v>
          </cell>
          <cell r="D1620" t="str">
            <v>STAR FREEDOM</v>
          </cell>
          <cell r="E1620">
            <v>4</v>
          </cell>
          <cell r="H1620" t="str">
            <v>SAFISCOR</v>
          </cell>
          <cell r="N1620">
            <v>1000</v>
          </cell>
        </row>
        <row r="1621">
          <cell r="A1621">
            <v>46210</v>
          </cell>
          <cell r="D1621" t="str">
            <v>STAR FREEDOM</v>
          </cell>
          <cell r="E1621">
            <v>4</v>
          </cell>
          <cell r="H1621" t="str">
            <v>GEO</v>
          </cell>
          <cell r="N1621">
            <v>1000</v>
          </cell>
          <cell r="AA1621">
            <v>1000</v>
          </cell>
        </row>
        <row r="1622">
          <cell r="A1622">
            <v>46210</v>
          </cell>
          <cell r="D1622" t="str">
            <v>NAPOLI</v>
          </cell>
          <cell r="E1622">
            <v>3</v>
          </cell>
          <cell r="H1622" t="str">
            <v>APLUS</v>
          </cell>
          <cell r="N1622">
            <v>1000</v>
          </cell>
          <cell r="Y1622">
            <v>46210</v>
          </cell>
          <cell r="Z1622">
            <v>1</v>
          </cell>
          <cell r="AA1622">
            <v>1000</v>
          </cell>
        </row>
        <row r="1623">
          <cell r="A1623">
            <v>46210</v>
          </cell>
          <cell r="D1623" t="str">
            <v>STAR FREEDOM</v>
          </cell>
          <cell r="E1623">
            <v>4</v>
          </cell>
          <cell r="H1623" t="str">
            <v>LAPU-LAPU</v>
          </cell>
          <cell r="N1623">
            <v>1000</v>
          </cell>
          <cell r="Y1623">
            <v>46210</v>
          </cell>
          <cell r="Z1623">
            <v>1</v>
          </cell>
          <cell r="AA1623">
            <v>1000</v>
          </cell>
        </row>
        <row r="1624">
          <cell r="A1624">
            <v>46210</v>
          </cell>
          <cell r="D1624" t="str">
            <v>QUEEN CAROLYN</v>
          </cell>
          <cell r="E1624">
            <v>3</v>
          </cell>
          <cell r="H1624" t="str">
            <v>GEO</v>
          </cell>
          <cell r="N1624">
            <v>1000</v>
          </cell>
          <cell r="Y1624">
            <v>46210</v>
          </cell>
          <cell r="Z1624">
            <v>1</v>
          </cell>
          <cell r="AA1624">
            <v>1000</v>
          </cell>
        </row>
        <row r="1625">
          <cell r="A1625">
            <v>46210</v>
          </cell>
          <cell r="D1625" t="str">
            <v>NAPOLI</v>
          </cell>
          <cell r="E1625">
            <v>3</v>
          </cell>
          <cell r="H1625" t="str">
            <v>SAFISCOR</v>
          </cell>
          <cell r="N1625">
            <v>1000</v>
          </cell>
          <cell r="Y1625">
            <v>46210</v>
          </cell>
          <cell r="Z1625">
            <v>1</v>
          </cell>
          <cell r="AA1625">
            <v>1000</v>
          </cell>
        </row>
        <row r="1626">
          <cell r="A1626">
            <v>46210</v>
          </cell>
          <cell r="D1626" t="str">
            <v>SALVACION VI</v>
          </cell>
          <cell r="E1626">
            <v>2</v>
          </cell>
          <cell r="H1626" t="str">
            <v>SAFISCOR</v>
          </cell>
          <cell r="N1626">
            <v>1000</v>
          </cell>
          <cell r="Y1626">
            <v>46210</v>
          </cell>
          <cell r="Z1626">
            <v>1</v>
          </cell>
          <cell r="AA1626">
            <v>1000</v>
          </cell>
        </row>
        <row r="1627">
          <cell r="A1627">
            <v>46210</v>
          </cell>
          <cell r="D1627" t="str">
            <v>STAR FREEDOM</v>
          </cell>
          <cell r="E1627">
            <v>4</v>
          </cell>
          <cell r="H1627" t="str">
            <v>SAFISCOR</v>
          </cell>
          <cell r="N1627">
            <v>1000</v>
          </cell>
        </row>
        <row r="1628">
          <cell r="A1628">
            <v>46210</v>
          </cell>
          <cell r="D1628" t="str">
            <v>STAR FREEDOM</v>
          </cell>
          <cell r="E1628">
            <v>4</v>
          </cell>
          <cell r="H1628" t="str">
            <v>SAFISCOR</v>
          </cell>
          <cell r="N1628">
            <v>1000</v>
          </cell>
        </row>
        <row r="1629">
          <cell r="A1629">
            <v>46210</v>
          </cell>
          <cell r="D1629" t="str">
            <v>STAR FREEDOM</v>
          </cell>
          <cell r="E1629">
            <v>4</v>
          </cell>
          <cell r="H1629" t="str">
            <v>SAFISCOR</v>
          </cell>
          <cell r="N1629">
            <v>1000</v>
          </cell>
        </row>
        <row r="1630">
          <cell r="A1630">
            <v>46210</v>
          </cell>
          <cell r="D1630" t="str">
            <v>STAR FREEDOM</v>
          </cell>
          <cell r="E1630">
            <v>4</v>
          </cell>
          <cell r="H1630" t="str">
            <v>LAPU-LAPU</v>
          </cell>
          <cell r="N1630">
            <v>1000</v>
          </cell>
          <cell r="Y1630">
            <v>46210</v>
          </cell>
          <cell r="Z1630">
            <v>1</v>
          </cell>
          <cell r="AA1630">
            <v>1000</v>
          </cell>
        </row>
        <row r="1631">
          <cell r="A1631">
            <v>46210</v>
          </cell>
          <cell r="D1631" t="str">
            <v>STAR ILIGAN</v>
          </cell>
          <cell r="E1631">
            <v>3</v>
          </cell>
          <cell r="H1631" t="str">
            <v>SAFISCOR</v>
          </cell>
          <cell r="N1631">
            <v>1000</v>
          </cell>
          <cell r="Y1631">
            <v>46210</v>
          </cell>
          <cell r="Z1631">
            <v>1</v>
          </cell>
          <cell r="AA1631">
            <v>1000</v>
          </cell>
        </row>
        <row r="1632">
          <cell r="A1632">
            <v>46210</v>
          </cell>
          <cell r="D1632" t="str">
            <v>STAR ILIGAN</v>
          </cell>
          <cell r="E1632">
            <v>3</v>
          </cell>
          <cell r="H1632" t="str">
            <v>SAFISCOR</v>
          </cell>
          <cell r="N1632">
            <v>1000</v>
          </cell>
          <cell r="Y1632">
            <v>46210</v>
          </cell>
          <cell r="Z1632">
            <v>1</v>
          </cell>
          <cell r="AA1632">
            <v>1000</v>
          </cell>
        </row>
        <row r="1633">
          <cell r="A1633">
            <v>46210</v>
          </cell>
          <cell r="D1633" t="str">
            <v>STAR FREEDOM</v>
          </cell>
          <cell r="E1633">
            <v>4</v>
          </cell>
          <cell r="H1633" t="str">
            <v>GEO</v>
          </cell>
          <cell r="N1633">
            <v>1000</v>
          </cell>
          <cell r="AA1633">
            <v>1000</v>
          </cell>
        </row>
        <row r="1634">
          <cell r="A1634">
            <v>46210</v>
          </cell>
          <cell r="D1634" t="str">
            <v>SALVACION VI</v>
          </cell>
          <cell r="E1634">
            <v>2</v>
          </cell>
          <cell r="H1634" t="str">
            <v>SAFISCOR</v>
          </cell>
          <cell r="N1634">
            <v>1000</v>
          </cell>
          <cell r="Y1634">
            <v>46210</v>
          </cell>
          <cell r="Z1634">
            <v>1</v>
          </cell>
          <cell r="AA1634">
            <v>1000</v>
          </cell>
        </row>
        <row r="1635">
          <cell r="A1635">
            <v>46210</v>
          </cell>
          <cell r="D1635" t="str">
            <v>STAR FREEDOM</v>
          </cell>
          <cell r="E1635">
            <v>4</v>
          </cell>
          <cell r="H1635" t="str">
            <v>SAFISCOR</v>
          </cell>
          <cell r="N1635">
            <v>1000</v>
          </cell>
        </row>
        <row r="1636">
          <cell r="A1636">
            <v>46210</v>
          </cell>
          <cell r="D1636" t="str">
            <v>QUEEN CAROLYN</v>
          </cell>
          <cell r="E1636">
            <v>3</v>
          </cell>
          <cell r="H1636" t="str">
            <v>BADIE</v>
          </cell>
          <cell r="N1636">
            <v>1000</v>
          </cell>
          <cell r="Y1636">
            <v>46210</v>
          </cell>
          <cell r="Z1636">
            <v>1</v>
          </cell>
          <cell r="AA1636">
            <v>1000</v>
          </cell>
        </row>
        <row r="1637">
          <cell r="A1637">
            <v>46210</v>
          </cell>
          <cell r="D1637" t="str">
            <v>NAPOLI</v>
          </cell>
          <cell r="E1637">
            <v>3</v>
          </cell>
          <cell r="H1637" t="str">
            <v>LAPU-LAPU</v>
          </cell>
          <cell r="N1637">
            <v>1000</v>
          </cell>
        </row>
        <row r="1638">
          <cell r="A1638">
            <v>46210</v>
          </cell>
          <cell r="D1638" t="str">
            <v>STAR FREEDOM</v>
          </cell>
          <cell r="E1638">
            <v>4</v>
          </cell>
          <cell r="H1638" t="str">
            <v>SAFISCOR</v>
          </cell>
          <cell r="N1638">
            <v>1000</v>
          </cell>
        </row>
        <row r="1639">
          <cell r="A1639">
            <v>46210</v>
          </cell>
          <cell r="D1639" t="str">
            <v>SALVACION VI</v>
          </cell>
          <cell r="E1639">
            <v>2</v>
          </cell>
          <cell r="H1639" t="str">
            <v>SAFISCOR</v>
          </cell>
          <cell r="N1639">
            <v>1000</v>
          </cell>
          <cell r="Y1639">
            <v>46210</v>
          </cell>
          <cell r="Z1639">
            <v>1</v>
          </cell>
          <cell r="AA1639">
            <v>1000</v>
          </cell>
        </row>
        <row r="1640">
          <cell r="A1640">
            <v>46210</v>
          </cell>
          <cell r="D1640" t="str">
            <v>STAR FREEDOM</v>
          </cell>
          <cell r="E1640">
            <v>4</v>
          </cell>
          <cell r="H1640" t="str">
            <v>SAFISCOR</v>
          </cell>
          <cell r="N1640">
            <v>1000</v>
          </cell>
        </row>
        <row r="1641">
          <cell r="A1641">
            <v>46210</v>
          </cell>
          <cell r="D1641" t="str">
            <v>STAR FREEDOM</v>
          </cell>
          <cell r="E1641">
            <v>4</v>
          </cell>
          <cell r="H1641" t="str">
            <v>SAFISCOR</v>
          </cell>
          <cell r="N1641">
            <v>1000</v>
          </cell>
        </row>
        <row r="1642">
          <cell r="A1642">
            <v>46210</v>
          </cell>
          <cell r="D1642" t="str">
            <v>QUEEN CAROLYN</v>
          </cell>
          <cell r="E1642">
            <v>3</v>
          </cell>
          <cell r="H1642" t="str">
            <v>SAFISCOR</v>
          </cell>
          <cell r="N1642">
            <v>1000</v>
          </cell>
          <cell r="Y1642">
            <v>46210</v>
          </cell>
          <cell r="Z1642">
            <v>1</v>
          </cell>
          <cell r="AA1642">
            <v>1000</v>
          </cell>
        </row>
        <row r="1643">
          <cell r="A1643">
            <v>46210</v>
          </cell>
          <cell r="D1643" t="str">
            <v>STAR FREEDOM</v>
          </cell>
          <cell r="E1643">
            <v>4</v>
          </cell>
          <cell r="H1643" t="str">
            <v>GEO</v>
          </cell>
          <cell r="N1643">
            <v>1000</v>
          </cell>
          <cell r="Y1643">
            <v>46215</v>
          </cell>
          <cell r="Z1643">
            <v>1</v>
          </cell>
          <cell r="AA1643">
            <v>1000</v>
          </cell>
        </row>
        <row r="1644">
          <cell r="A1644">
            <v>46210</v>
          </cell>
          <cell r="D1644" t="str">
            <v>QUEEN CAROLYN</v>
          </cell>
          <cell r="E1644">
            <v>3</v>
          </cell>
          <cell r="H1644" t="str">
            <v>LAPU-LAPU</v>
          </cell>
          <cell r="N1644">
            <v>1000</v>
          </cell>
        </row>
        <row r="1645">
          <cell r="A1645">
            <v>46210</v>
          </cell>
          <cell r="D1645" t="str">
            <v>STAR FREEDOM</v>
          </cell>
          <cell r="E1645">
            <v>4</v>
          </cell>
          <cell r="H1645" t="str">
            <v>BADIE</v>
          </cell>
          <cell r="N1645">
            <v>1000</v>
          </cell>
        </row>
        <row r="1646">
          <cell r="A1646">
            <v>46210</v>
          </cell>
          <cell r="D1646" t="str">
            <v>STAR FREEDOM</v>
          </cell>
          <cell r="E1646">
            <v>4</v>
          </cell>
          <cell r="H1646" t="str">
            <v>SAFISCOR</v>
          </cell>
          <cell r="N1646">
            <v>1000</v>
          </cell>
        </row>
        <row r="1647">
          <cell r="A1647">
            <v>46210</v>
          </cell>
          <cell r="D1647" t="str">
            <v>EMERALD STAR</v>
          </cell>
          <cell r="E1647">
            <v>3</v>
          </cell>
          <cell r="H1647" t="str">
            <v>SAFISCOR</v>
          </cell>
          <cell r="N1647">
            <v>1000</v>
          </cell>
        </row>
        <row r="1648">
          <cell r="A1648">
            <v>46210</v>
          </cell>
          <cell r="D1648" t="str">
            <v>STAR FREEDOM</v>
          </cell>
          <cell r="E1648">
            <v>4</v>
          </cell>
          <cell r="H1648" t="str">
            <v>SAFISCOR</v>
          </cell>
          <cell r="N1648">
            <v>1000</v>
          </cell>
        </row>
        <row r="1649">
          <cell r="A1649">
            <v>46210</v>
          </cell>
          <cell r="D1649" t="str">
            <v>EMERALD STAR</v>
          </cell>
          <cell r="E1649">
            <v>3</v>
          </cell>
          <cell r="H1649" t="str">
            <v>SAFISCOR</v>
          </cell>
          <cell r="N1649">
            <v>1000</v>
          </cell>
        </row>
        <row r="1650">
          <cell r="A1650">
            <v>46213</v>
          </cell>
          <cell r="D1650" t="str">
            <v>EFG 7</v>
          </cell>
          <cell r="E1650">
            <v>2</v>
          </cell>
          <cell r="H1650" t="str">
            <v>SAFISCOR</v>
          </cell>
          <cell r="N1650">
            <v>500</v>
          </cell>
        </row>
        <row r="1654">
          <cell r="A1654">
            <v>46213</v>
          </cell>
          <cell r="D1654" t="str">
            <v xml:space="preserve">STAR SOGOD </v>
          </cell>
          <cell r="E1654">
            <v>4</v>
          </cell>
          <cell r="H1654" t="str">
            <v>GEO</v>
          </cell>
          <cell r="N1654">
            <v>1000</v>
          </cell>
          <cell r="Y1654">
            <v>46215</v>
          </cell>
          <cell r="Z1654">
            <v>1</v>
          </cell>
          <cell r="AA1654">
            <v>1000</v>
          </cell>
        </row>
        <row r="1655">
          <cell r="A1655">
            <v>46213</v>
          </cell>
          <cell r="D1655" t="str">
            <v xml:space="preserve">STAR SOGOD </v>
          </cell>
          <cell r="E1655">
            <v>4</v>
          </cell>
          <cell r="H1655" t="str">
            <v>SAFISCOR</v>
          </cell>
          <cell r="N1655">
            <v>1000</v>
          </cell>
          <cell r="Y1655">
            <v>46215</v>
          </cell>
          <cell r="Z1655">
            <v>1</v>
          </cell>
          <cell r="AA1655">
            <v>1000</v>
          </cell>
        </row>
        <row r="1656">
          <cell r="A1656">
            <v>46213</v>
          </cell>
          <cell r="D1656" t="str">
            <v xml:space="preserve">STAR SOGOD </v>
          </cell>
          <cell r="E1656">
            <v>4</v>
          </cell>
          <cell r="H1656" t="str">
            <v>SAFISCOR</v>
          </cell>
          <cell r="N1656">
            <v>500</v>
          </cell>
          <cell r="Y1656">
            <v>46215</v>
          </cell>
          <cell r="Z1656">
            <v>1</v>
          </cell>
          <cell r="AA1656">
            <v>500</v>
          </cell>
        </row>
        <row r="1657">
          <cell r="A1657">
            <v>46214</v>
          </cell>
          <cell r="D1657" t="str">
            <v>YUMI II</v>
          </cell>
          <cell r="E1657">
            <v>1</v>
          </cell>
          <cell r="H1657" t="str">
            <v>LAPU-LAPU</v>
          </cell>
          <cell r="N1657">
            <v>1000</v>
          </cell>
          <cell r="Y1657">
            <v>46214</v>
          </cell>
          <cell r="Z1657">
            <v>1</v>
          </cell>
          <cell r="AA1657">
            <v>1000</v>
          </cell>
        </row>
        <row r="1658">
          <cell r="A1658">
            <v>46214</v>
          </cell>
          <cell r="D1658" t="str">
            <v>YUMI II</v>
          </cell>
          <cell r="E1658">
            <v>1</v>
          </cell>
          <cell r="H1658" t="str">
            <v>LAPU-LAPU</v>
          </cell>
          <cell r="N1658">
            <v>1000</v>
          </cell>
          <cell r="Y1658">
            <v>46214</v>
          </cell>
          <cell r="Z1658">
            <v>1</v>
          </cell>
          <cell r="AA1658">
            <v>1000</v>
          </cell>
        </row>
        <row r="1659">
          <cell r="A1659">
            <v>46214</v>
          </cell>
          <cell r="D1659" t="str">
            <v>YUMI II</v>
          </cell>
          <cell r="E1659">
            <v>1</v>
          </cell>
          <cell r="H1659" t="str">
            <v>LAPU-LAPU</v>
          </cell>
          <cell r="N1659">
            <v>1000</v>
          </cell>
          <cell r="Y1659">
            <v>46214</v>
          </cell>
          <cell r="Z1659">
            <v>1</v>
          </cell>
          <cell r="AA1659">
            <v>1000</v>
          </cell>
        </row>
        <row r="1660">
          <cell r="A1660">
            <v>46214</v>
          </cell>
          <cell r="D1660" t="str">
            <v xml:space="preserve">STAR SOGOD </v>
          </cell>
          <cell r="E1660">
            <v>4</v>
          </cell>
          <cell r="H1660" t="str">
            <v>SAFISCOR</v>
          </cell>
          <cell r="N1660">
            <v>1000</v>
          </cell>
          <cell r="Y1660">
            <v>46215</v>
          </cell>
          <cell r="Z1660">
            <v>1</v>
          </cell>
          <cell r="AA1660">
            <v>1000</v>
          </cell>
        </row>
        <row r="1661">
          <cell r="A1661">
            <v>46214</v>
          </cell>
          <cell r="D1661" t="str">
            <v xml:space="preserve">STAR SOGOD </v>
          </cell>
          <cell r="E1661">
            <v>4</v>
          </cell>
          <cell r="H1661" t="str">
            <v>SAFISCOR</v>
          </cell>
          <cell r="N1661">
            <v>1000</v>
          </cell>
          <cell r="Y1661">
            <v>46215</v>
          </cell>
          <cell r="Z1661">
            <v>1</v>
          </cell>
          <cell r="AA1661">
            <v>1000</v>
          </cell>
        </row>
        <row r="1662">
          <cell r="A1662">
            <v>46214</v>
          </cell>
          <cell r="D1662" t="str">
            <v xml:space="preserve">STAR SOGOD </v>
          </cell>
          <cell r="E1662">
            <v>4</v>
          </cell>
          <cell r="H1662" t="str">
            <v>LAPU-LAPU</v>
          </cell>
          <cell r="N1662">
            <v>1000</v>
          </cell>
          <cell r="Y1662">
            <v>46215</v>
          </cell>
          <cell r="Z1662">
            <v>1</v>
          </cell>
          <cell r="AA1662">
            <v>1000</v>
          </cell>
        </row>
        <row r="1663">
          <cell r="A1663">
            <v>46214</v>
          </cell>
          <cell r="D1663" t="str">
            <v xml:space="preserve">STAR SOGOD </v>
          </cell>
          <cell r="E1663">
            <v>4</v>
          </cell>
          <cell r="H1663" t="str">
            <v>LAPU-LAPU</v>
          </cell>
          <cell r="N1663">
            <v>1000</v>
          </cell>
          <cell r="Y1663">
            <v>46215</v>
          </cell>
          <cell r="Z1663">
            <v>1</v>
          </cell>
          <cell r="AA1663">
            <v>1000</v>
          </cell>
        </row>
        <row r="1664">
          <cell r="A1664">
            <v>46214</v>
          </cell>
          <cell r="D1664" t="str">
            <v>EFG 8</v>
          </cell>
          <cell r="E1664">
            <v>2</v>
          </cell>
          <cell r="H1664" t="str">
            <v>SAFISCOR</v>
          </cell>
          <cell r="N1664">
            <v>1000</v>
          </cell>
          <cell r="Y1664">
            <v>46215</v>
          </cell>
          <cell r="Z1664">
            <v>1</v>
          </cell>
          <cell r="AA1664">
            <v>1000</v>
          </cell>
        </row>
        <row r="1665">
          <cell r="A1665">
            <v>46214</v>
          </cell>
          <cell r="D1665" t="str">
            <v>EFG 8</v>
          </cell>
          <cell r="E1665">
            <v>2</v>
          </cell>
          <cell r="H1665" t="str">
            <v>SAFISCOR</v>
          </cell>
          <cell r="N1665">
            <v>1000</v>
          </cell>
          <cell r="Y1665">
            <v>46215</v>
          </cell>
          <cell r="Z1665">
            <v>1</v>
          </cell>
          <cell r="AA1665">
            <v>1000</v>
          </cell>
        </row>
        <row r="1666">
          <cell r="A1666">
            <v>46214</v>
          </cell>
          <cell r="D1666" t="str">
            <v>EFG 8</v>
          </cell>
          <cell r="E1666">
            <v>2</v>
          </cell>
          <cell r="H1666" t="str">
            <v>SAFISCOR</v>
          </cell>
          <cell r="N1666">
            <v>1000</v>
          </cell>
          <cell r="Y1666">
            <v>46215</v>
          </cell>
          <cell r="Z1666">
            <v>1</v>
          </cell>
          <cell r="AA1666">
            <v>1000</v>
          </cell>
        </row>
        <row r="1667">
          <cell r="A1667">
            <v>46214</v>
          </cell>
          <cell r="D1667" t="str">
            <v>EFG 8</v>
          </cell>
          <cell r="E1667">
            <v>2</v>
          </cell>
          <cell r="H1667" t="str">
            <v>SAFISCOR</v>
          </cell>
          <cell r="N1667">
            <v>1000</v>
          </cell>
          <cell r="Y1667">
            <v>46215</v>
          </cell>
          <cell r="Z1667">
            <v>1</v>
          </cell>
          <cell r="AA1667">
            <v>1000</v>
          </cell>
        </row>
        <row r="1668">
          <cell r="A1668">
            <v>46214</v>
          </cell>
          <cell r="D1668" t="str">
            <v>EFG 8</v>
          </cell>
          <cell r="E1668">
            <v>2</v>
          </cell>
          <cell r="H1668" t="str">
            <v>SAFISCOR</v>
          </cell>
          <cell r="N1668">
            <v>1000</v>
          </cell>
          <cell r="Y1668">
            <v>46214</v>
          </cell>
          <cell r="Z1668">
            <v>2</v>
          </cell>
          <cell r="AA1668">
            <v>1000</v>
          </cell>
        </row>
        <row r="1669">
          <cell r="A1669">
            <v>46214</v>
          </cell>
          <cell r="D1669" t="str">
            <v>EFG 8</v>
          </cell>
          <cell r="E1669">
            <v>2</v>
          </cell>
          <cell r="H1669" t="str">
            <v>SAFISCOR</v>
          </cell>
          <cell r="N1669">
            <v>1000</v>
          </cell>
          <cell r="Y1669">
            <v>46214</v>
          </cell>
          <cell r="Z1669">
            <v>2</v>
          </cell>
          <cell r="AA1669">
            <v>1000</v>
          </cell>
        </row>
        <row r="1670">
          <cell r="A1670">
            <v>46214</v>
          </cell>
          <cell r="D1670" t="str">
            <v>EFG 8</v>
          </cell>
          <cell r="E1670">
            <v>2</v>
          </cell>
          <cell r="H1670" t="str">
            <v>SAFISCOR</v>
          </cell>
          <cell r="N1670">
            <v>1000</v>
          </cell>
          <cell r="Y1670">
            <v>46214</v>
          </cell>
          <cell r="Z1670">
            <v>2</v>
          </cell>
          <cell r="AA1670">
            <v>1000</v>
          </cell>
        </row>
        <row r="1671">
          <cell r="A1671">
            <v>46214</v>
          </cell>
          <cell r="D1671" t="str">
            <v>EFG 8</v>
          </cell>
          <cell r="E1671">
            <v>2</v>
          </cell>
          <cell r="H1671" t="str">
            <v>SAFISCOR</v>
          </cell>
          <cell r="N1671">
            <v>1000</v>
          </cell>
          <cell r="Y1671">
            <v>46214</v>
          </cell>
          <cell r="Z1671">
            <v>2</v>
          </cell>
          <cell r="AA1671">
            <v>1000</v>
          </cell>
        </row>
        <row r="1672">
          <cell r="A1672">
            <v>46214</v>
          </cell>
          <cell r="D1672" t="str">
            <v>EFG 8</v>
          </cell>
          <cell r="E1672">
            <v>2</v>
          </cell>
          <cell r="H1672" t="str">
            <v>SAFISCOR</v>
          </cell>
          <cell r="N1672">
            <v>1000</v>
          </cell>
          <cell r="Y1672">
            <v>46214</v>
          </cell>
          <cell r="Z1672">
            <v>2</v>
          </cell>
          <cell r="AA1672">
            <v>1000</v>
          </cell>
        </row>
        <row r="1673">
          <cell r="A1673">
            <v>46214</v>
          </cell>
          <cell r="D1673" t="str">
            <v>EFG 8</v>
          </cell>
          <cell r="E1673">
            <v>2</v>
          </cell>
          <cell r="H1673" t="str">
            <v>SAFISCOR</v>
          </cell>
          <cell r="N1673">
            <v>1000</v>
          </cell>
          <cell r="Y1673">
            <v>46214</v>
          </cell>
          <cell r="Z1673">
            <v>2</v>
          </cell>
          <cell r="AA1673">
            <v>1000</v>
          </cell>
        </row>
        <row r="1674">
          <cell r="A1674">
            <v>46214</v>
          </cell>
          <cell r="D1674" t="str">
            <v>EFG 8</v>
          </cell>
          <cell r="E1674">
            <v>2</v>
          </cell>
          <cell r="H1674" t="str">
            <v>SAFISCOR</v>
          </cell>
          <cell r="N1674">
            <v>1000</v>
          </cell>
          <cell r="Y1674">
            <v>46214</v>
          </cell>
          <cell r="Z1674">
            <v>2</v>
          </cell>
          <cell r="AA1674">
            <v>1000</v>
          </cell>
        </row>
        <row r="1675">
          <cell r="A1675">
            <v>46214</v>
          </cell>
          <cell r="D1675" t="str">
            <v>EFG 8</v>
          </cell>
          <cell r="E1675">
            <v>2</v>
          </cell>
          <cell r="H1675" t="str">
            <v>GEO</v>
          </cell>
          <cell r="N1675">
            <v>1000</v>
          </cell>
          <cell r="Y1675">
            <v>46214</v>
          </cell>
          <cell r="Z1675">
            <v>1</v>
          </cell>
          <cell r="AA1675">
            <v>1000</v>
          </cell>
        </row>
        <row r="1676">
          <cell r="A1676">
            <v>46214</v>
          </cell>
          <cell r="D1676" t="str">
            <v>EFG 8</v>
          </cell>
          <cell r="E1676">
            <v>2</v>
          </cell>
          <cell r="H1676" t="str">
            <v>LAPU-LAPU</v>
          </cell>
          <cell r="N1676">
            <v>1000</v>
          </cell>
          <cell r="Y1676">
            <v>46215</v>
          </cell>
          <cell r="Z1676">
            <v>1</v>
          </cell>
          <cell r="AA1676">
            <v>1000</v>
          </cell>
        </row>
        <row r="1677">
          <cell r="A1677">
            <v>46214</v>
          </cell>
          <cell r="D1677" t="str">
            <v>NAPOLI</v>
          </cell>
          <cell r="E1677">
            <v>3</v>
          </cell>
          <cell r="H1677" t="str">
            <v>SAFISCOR</v>
          </cell>
          <cell r="N1677">
            <v>1000</v>
          </cell>
          <cell r="Y1677">
            <v>46214</v>
          </cell>
          <cell r="Z1677">
            <v>1</v>
          </cell>
          <cell r="AA1677">
            <v>1000</v>
          </cell>
        </row>
        <row r="1678">
          <cell r="A1678">
            <v>46214</v>
          </cell>
          <cell r="D1678" t="str">
            <v>CESAR ESTER</v>
          </cell>
          <cell r="E1678">
            <v>3</v>
          </cell>
          <cell r="H1678" t="str">
            <v>SAFISCOR</v>
          </cell>
          <cell r="N1678">
            <v>1000</v>
          </cell>
          <cell r="Y1678">
            <v>46214</v>
          </cell>
          <cell r="Z1678">
            <v>1</v>
          </cell>
          <cell r="AA1678">
            <v>1000</v>
          </cell>
        </row>
        <row r="1679">
          <cell r="A1679">
            <v>46214</v>
          </cell>
          <cell r="D1679" t="str">
            <v>CESAR ESTER</v>
          </cell>
          <cell r="E1679">
            <v>3</v>
          </cell>
          <cell r="H1679" t="str">
            <v>SAFISCOR</v>
          </cell>
          <cell r="N1679">
            <v>500</v>
          </cell>
          <cell r="Y1679">
            <v>46214</v>
          </cell>
          <cell r="Z1679">
            <v>1</v>
          </cell>
          <cell r="AA1679">
            <v>500</v>
          </cell>
        </row>
        <row r="1680">
          <cell r="A1680">
            <v>46214</v>
          </cell>
          <cell r="D1680" t="str">
            <v>CESAR ESTER</v>
          </cell>
          <cell r="E1680">
            <v>3</v>
          </cell>
          <cell r="H1680" t="str">
            <v>SAFISCOR</v>
          </cell>
          <cell r="N1680">
            <v>1000</v>
          </cell>
          <cell r="Y1680">
            <v>46214</v>
          </cell>
          <cell r="Z1680">
            <v>1</v>
          </cell>
          <cell r="AA1680">
            <v>1000</v>
          </cell>
        </row>
        <row r="1681">
          <cell r="A1681">
            <v>46214</v>
          </cell>
          <cell r="D1681" t="str">
            <v>EFG 8</v>
          </cell>
          <cell r="E1681">
            <v>2</v>
          </cell>
          <cell r="H1681" t="str">
            <v>SAFISCOR</v>
          </cell>
          <cell r="N1681">
            <v>1000</v>
          </cell>
          <cell r="Y1681">
            <v>46215</v>
          </cell>
          <cell r="Z1681">
            <v>1</v>
          </cell>
          <cell r="AA1681">
            <v>1000</v>
          </cell>
        </row>
        <row r="1682">
          <cell r="A1682">
            <v>46214</v>
          </cell>
          <cell r="D1682" t="str">
            <v>CESAR ESTER</v>
          </cell>
          <cell r="E1682">
            <v>3</v>
          </cell>
          <cell r="H1682" t="str">
            <v>SAFISCOR</v>
          </cell>
          <cell r="N1682">
            <v>1000</v>
          </cell>
          <cell r="Y1682">
            <v>46214</v>
          </cell>
          <cell r="Z1682">
            <v>1</v>
          </cell>
          <cell r="AA1682">
            <v>1000</v>
          </cell>
        </row>
        <row r="1683">
          <cell r="A1683">
            <v>46214</v>
          </cell>
          <cell r="D1683" t="str">
            <v>CESAR ESTER</v>
          </cell>
          <cell r="E1683">
            <v>3</v>
          </cell>
          <cell r="H1683" t="str">
            <v>SAFISCOR</v>
          </cell>
          <cell r="N1683">
            <v>1000</v>
          </cell>
          <cell r="Y1683">
            <v>46214</v>
          </cell>
          <cell r="Z1683">
            <v>1</v>
          </cell>
          <cell r="AA1683">
            <v>1000</v>
          </cell>
        </row>
        <row r="1684">
          <cell r="A1684">
            <v>46214</v>
          </cell>
          <cell r="D1684" t="str">
            <v>EFG 7</v>
          </cell>
          <cell r="E1684">
            <v>2</v>
          </cell>
          <cell r="H1684" t="str">
            <v>LAPU-LAPU</v>
          </cell>
          <cell r="N1684">
            <v>1000</v>
          </cell>
          <cell r="Y1684">
            <v>46214</v>
          </cell>
          <cell r="Z1684">
            <v>1</v>
          </cell>
          <cell r="AA1684">
            <v>1000</v>
          </cell>
        </row>
        <row r="1685">
          <cell r="A1685">
            <v>46214</v>
          </cell>
          <cell r="D1685" t="str">
            <v>EFG 7</v>
          </cell>
          <cell r="E1685">
            <v>2</v>
          </cell>
          <cell r="H1685" t="str">
            <v>SAFISCOR</v>
          </cell>
          <cell r="N1685">
            <v>500</v>
          </cell>
          <cell r="Y1685">
            <v>46214</v>
          </cell>
          <cell r="Z1685">
            <v>1</v>
          </cell>
          <cell r="AA1685">
            <v>500</v>
          </cell>
        </row>
        <row r="1686">
          <cell r="A1686">
            <v>46214</v>
          </cell>
          <cell r="D1686" t="str">
            <v>YUMI II</v>
          </cell>
          <cell r="E1686">
            <v>1</v>
          </cell>
          <cell r="H1686" t="str">
            <v>SAFISCOR</v>
          </cell>
          <cell r="N1686">
            <v>1000</v>
          </cell>
          <cell r="Y1686">
            <v>46214</v>
          </cell>
          <cell r="Z1686">
            <v>1</v>
          </cell>
          <cell r="AA1686">
            <v>1000</v>
          </cell>
        </row>
        <row r="1687">
          <cell r="A1687">
            <v>46214</v>
          </cell>
          <cell r="D1687" t="str">
            <v>CESAR ESTER</v>
          </cell>
          <cell r="E1687">
            <v>3</v>
          </cell>
          <cell r="H1687" t="str">
            <v>SAFISCOR</v>
          </cell>
          <cell r="N1687">
            <v>1000</v>
          </cell>
          <cell r="Y1687">
            <v>46214</v>
          </cell>
          <cell r="Z1687">
            <v>1</v>
          </cell>
          <cell r="AA1687">
            <v>1000</v>
          </cell>
        </row>
        <row r="1688">
          <cell r="A1688">
            <v>46214</v>
          </cell>
          <cell r="D1688" t="str">
            <v>CESAR ESTER</v>
          </cell>
          <cell r="E1688">
            <v>3</v>
          </cell>
          <cell r="H1688" t="str">
            <v>SAFISCOR</v>
          </cell>
          <cell r="N1688">
            <v>1000</v>
          </cell>
          <cell r="Y1688">
            <v>46214</v>
          </cell>
          <cell r="Z1688">
            <v>1</v>
          </cell>
          <cell r="AA1688">
            <v>1000</v>
          </cell>
        </row>
        <row r="1689">
          <cell r="A1689">
            <v>46214</v>
          </cell>
          <cell r="D1689" t="str">
            <v>YUMI II</v>
          </cell>
          <cell r="E1689">
            <v>1</v>
          </cell>
          <cell r="H1689" t="str">
            <v>SAFISCOR</v>
          </cell>
          <cell r="N1689">
            <v>1000</v>
          </cell>
          <cell r="Y1689">
            <v>46214</v>
          </cell>
          <cell r="Z1689">
            <v>1</v>
          </cell>
          <cell r="AA1689">
            <v>1000</v>
          </cell>
        </row>
        <row r="1690">
          <cell r="A1690">
            <v>46214</v>
          </cell>
          <cell r="D1690" t="str">
            <v xml:space="preserve">STAR SOGOD </v>
          </cell>
          <cell r="E1690">
            <v>4</v>
          </cell>
          <cell r="H1690" t="str">
            <v>SAFISCOR</v>
          </cell>
          <cell r="N1690">
            <v>300</v>
          </cell>
          <cell r="Y1690">
            <v>46215</v>
          </cell>
          <cell r="Z1690">
            <v>1</v>
          </cell>
          <cell r="AA1690">
            <v>300</v>
          </cell>
        </row>
        <row r="1691">
          <cell r="A1691">
            <v>46214</v>
          </cell>
          <cell r="D1691" t="str">
            <v xml:space="preserve">STAR SOGOD </v>
          </cell>
          <cell r="E1691">
            <v>4</v>
          </cell>
          <cell r="H1691" t="str">
            <v>SAFISCOR</v>
          </cell>
          <cell r="N1691">
            <v>1000</v>
          </cell>
          <cell r="Y1691">
            <v>46215</v>
          </cell>
          <cell r="Z1691">
            <v>1</v>
          </cell>
          <cell r="AA1691">
            <v>1000</v>
          </cell>
        </row>
        <row r="1692">
          <cell r="A1692">
            <v>46214</v>
          </cell>
          <cell r="D1692" t="str">
            <v xml:space="preserve">STAR SOGOD </v>
          </cell>
          <cell r="E1692">
            <v>4</v>
          </cell>
          <cell r="H1692" t="str">
            <v>BADIE</v>
          </cell>
          <cell r="N1692">
            <v>1000</v>
          </cell>
          <cell r="Y1692">
            <v>46215</v>
          </cell>
          <cell r="Z1692">
            <v>1</v>
          </cell>
          <cell r="AA1692">
            <v>1000</v>
          </cell>
        </row>
        <row r="1693">
          <cell r="A1693">
            <v>46214</v>
          </cell>
          <cell r="D1693" t="str">
            <v xml:space="preserve">STAR SOGOD </v>
          </cell>
          <cell r="E1693">
            <v>4</v>
          </cell>
          <cell r="H1693" t="str">
            <v>GEO</v>
          </cell>
          <cell r="N1693">
            <v>1000</v>
          </cell>
          <cell r="Y1693">
            <v>46215</v>
          </cell>
          <cell r="Z1693">
            <v>1</v>
          </cell>
          <cell r="AA1693">
            <v>1000</v>
          </cell>
        </row>
        <row r="1694">
          <cell r="A1694">
            <v>46214</v>
          </cell>
          <cell r="D1694" t="str">
            <v xml:space="preserve">STAR SOGOD </v>
          </cell>
          <cell r="E1694">
            <v>4</v>
          </cell>
          <cell r="H1694" t="str">
            <v>LAPU-LAPU</v>
          </cell>
          <cell r="N1694">
            <v>1000</v>
          </cell>
          <cell r="Y1694">
            <v>46215</v>
          </cell>
          <cell r="Z1694">
            <v>1</v>
          </cell>
          <cell r="AA1694">
            <v>1000</v>
          </cell>
        </row>
        <row r="1695">
          <cell r="A1695">
            <v>46214</v>
          </cell>
          <cell r="D1695" t="str">
            <v xml:space="preserve">STAR SOGOD </v>
          </cell>
          <cell r="E1695">
            <v>4</v>
          </cell>
          <cell r="H1695" t="str">
            <v>LAPU-LAPU</v>
          </cell>
          <cell r="N1695">
            <v>1000</v>
          </cell>
          <cell r="Y1695">
            <v>46215</v>
          </cell>
          <cell r="Z1695">
            <v>1</v>
          </cell>
          <cell r="AA1695">
            <v>1000</v>
          </cell>
        </row>
        <row r="1696">
          <cell r="A1696">
            <v>46214</v>
          </cell>
          <cell r="D1696" t="str">
            <v>EFG 8</v>
          </cell>
          <cell r="E1696">
            <v>2</v>
          </cell>
          <cell r="H1696" t="str">
            <v>SAFISCOR</v>
          </cell>
          <cell r="N1696">
            <v>1000</v>
          </cell>
          <cell r="Y1696">
            <v>46215</v>
          </cell>
          <cell r="Z1696">
            <v>1</v>
          </cell>
          <cell r="AA1696">
            <v>1000</v>
          </cell>
        </row>
        <row r="1697">
          <cell r="A1697">
            <v>46214</v>
          </cell>
          <cell r="D1697" t="str">
            <v>EFG 8</v>
          </cell>
          <cell r="E1697">
            <v>2</v>
          </cell>
          <cell r="H1697" t="str">
            <v>SAFISCOR</v>
          </cell>
          <cell r="N1697">
            <v>1000</v>
          </cell>
          <cell r="Y1697">
            <v>46215</v>
          </cell>
          <cell r="Z1697">
            <v>1</v>
          </cell>
          <cell r="AA1697">
            <v>1000</v>
          </cell>
        </row>
        <row r="1698">
          <cell r="A1698">
            <v>46214</v>
          </cell>
          <cell r="D1698" t="str">
            <v>EFG 8</v>
          </cell>
          <cell r="E1698">
            <v>2</v>
          </cell>
          <cell r="H1698" t="str">
            <v>SAFISCOR</v>
          </cell>
          <cell r="N1698">
            <v>1000</v>
          </cell>
          <cell r="Y1698">
            <v>46215</v>
          </cell>
          <cell r="Z1698">
            <v>1</v>
          </cell>
          <cell r="AA1698">
            <v>1000</v>
          </cell>
        </row>
        <row r="1699">
          <cell r="A1699">
            <v>46214</v>
          </cell>
          <cell r="D1699" t="str">
            <v>CESAR ESTER</v>
          </cell>
          <cell r="E1699">
            <v>3</v>
          </cell>
          <cell r="H1699" t="str">
            <v>SAFISCOR</v>
          </cell>
          <cell r="N1699">
            <v>1000</v>
          </cell>
          <cell r="Y1699">
            <v>46214</v>
          </cell>
          <cell r="Z1699">
            <v>1</v>
          </cell>
          <cell r="AA1699">
            <v>1000</v>
          </cell>
        </row>
        <row r="1700">
          <cell r="A1700">
            <v>46214</v>
          </cell>
          <cell r="D1700" t="str">
            <v>CESAR ESTER</v>
          </cell>
          <cell r="E1700">
            <v>3</v>
          </cell>
          <cell r="H1700" t="str">
            <v>SAFISCOR</v>
          </cell>
          <cell r="N1700">
            <v>1000</v>
          </cell>
          <cell r="Y1700">
            <v>46214</v>
          </cell>
          <cell r="Z1700">
            <v>1</v>
          </cell>
          <cell r="AA1700">
            <v>1000</v>
          </cell>
        </row>
        <row r="1701">
          <cell r="A1701">
            <v>46214</v>
          </cell>
          <cell r="D1701" t="str">
            <v>CESAR ESTER</v>
          </cell>
          <cell r="E1701">
            <v>3</v>
          </cell>
          <cell r="H1701" t="str">
            <v>SAFISCOR</v>
          </cell>
          <cell r="N1701">
            <v>1000</v>
          </cell>
          <cell r="Y1701">
            <v>46214</v>
          </cell>
          <cell r="Z1701">
            <v>1</v>
          </cell>
          <cell r="AA1701">
            <v>1000</v>
          </cell>
        </row>
        <row r="1702">
          <cell r="A1702">
            <v>46214</v>
          </cell>
          <cell r="D1702" t="str">
            <v>CESAR ESTER</v>
          </cell>
          <cell r="E1702">
            <v>3</v>
          </cell>
          <cell r="H1702" t="str">
            <v>SAFISCOR</v>
          </cell>
          <cell r="N1702">
            <v>1000</v>
          </cell>
          <cell r="Y1702">
            <v>46214</v>
          </cell>
          <cell r="Z1702">
            <v>1</v>
          </cell>
          <cell r="AA1702">
            <v>1000</v>
          </cell>
        </row>
        <row r="1703">
          <cell r="A1703">
            <v>46214</v>
          </cell>
          <cell r="D1703" t="str">
            <v>CESAR ESTER</v>
          </cell>
          <cell r="E1703">
            <v>3</v>
          </cell>
          <cell r="H1703" t="str">
            <v>SAFISCOR</v>
          </cell>
          <cell r="N1703">
            <v>1000</v>
          </cell>
          <cell r="Y1703">
            <v>46214</v>
          </cell>
          <cell r="Z1703">
            <v>1</v>
          </cell>
          <cell r="AA1703">
            <v>1000</v>
          </cell>
        </row>
        <row r="1704">
          <cell r="A1704">
            <v>46214</v>
          </cell>
          <cell r="D1704" t="str">
            <v>CESAR ESTER</v>
          </cell>
          <cell r="E1704">
            <v>3</v>
          </cell>
          <cell r="H1704" t="str">
            <v>SAFISCOR</v>
          </cell>
          <cell r="N1704">
            <v>700</v>
          </cell>
          <cell r="Y1704">
            <v>46214</v>
          </cell>
          <cell r="Z1704">
            <v>1</v>
          </cell>
          <cell r="AA1704">
            <v>700</v>
          </cell>
        </row>
        <row r="1705">
          <cell r="A1705">
            <v>46214</v>
          </cell>
          <cell r="D1705" t="str">
            <v>CESAR ESTER</v>
          </cell>
          <cell r="E1705">
            <v>3</v>
          </cell>
          <cell r="H1705" t="str">
            <v>SAFISCOR</v>
          </cell>
          <cell r="N1705">
            <v>1000</v>
          </cell>
          <cell r="Y1705">
            <v>46214</v>
          </cell>
          <cell r="Z1705">
            <v>1</v>
          </cell>
          <cell r="AA1705">
            <v>1000</v>
          </cell>
        </row>
        <row r="1706">
          <cell r="A1706">
            <v>46216</v>
          </cell>
          <cell r="D1706" t="str">
            <v xml:space="preserve">STAR SOGOD </v>
          </cell>
          <cell r="E1706">
            <v>4</v>
          </cell>
          <cell r="H1706" t="str">
            <v>LAPU-LAPU</v>
          </cell>
          <cell r="N1706">
            <v>1000</v>
          </cell>
          <cell r="Y1706">
            <v>46216</v>
          </cell>
          <cell r="Z1706">
            <v>1</v>
          </cell>
          <cell r="AA1706">
            <v>1000</v>
          </cell>
        </row>
        <row r="1707">
          <cell r="A1707">
            <v>46216</v>
          </cell>
          <cell r="D1707" t="str">
            <v>EFG 8</v>
          </cell>
          <cell r="E1707">
            <v>2</v>
          </cell>
          <cell r="H1707" t="str">
            <v>SAFISCOR</v>
          </cell>
          <cell r="N1707">
            <v>1000</v>
          </cell>
          <cell r="Y1707">
            <v>46216</v>
          </cell>
          <cell r="Z1707">
            <v>1</v>
          </cell>
          <cell r="AA1707">
            <v>1000</v>
          </cell>
        </row>
        <row r="1708">
          <cell r="A1708">
            <v>46216</v>
          </cell>
          <cell r="D1708" t="str">
            <v xml:space="preserve">STAR SOGOD </v>
          </cell>
          <cell r="E1708">
            <v>4</v>
          </cell>
          <cell r="H1708" t="str">
            <v>LAPU-LAPU</v>
          </cell>
          <cell r="N1708">
            <v>1000</v>
          </cell>
          <cell r="Y1708">
            <v>46216</v>
          </cell>
          <cell r="Z1708">
            <v>1</v>
          </cell>
          <cell r="AA1708">
            <v>1000</v>
          </cell>
        </row>
        <row r="1709">
          <cell r="A1709">
            <v>46216</v>
          </cell>
          <cell r="D1709" t="str">
            <v>EFG 8</v>
          </cell>
          <cell r="E1709">
            <v>2</v>
          </cell>
          <cell r="H1709" t="str">
            <v>GEO</v>
          </cell>
          <cell r="N1709">
            <v>1000</v>
          </cell>
          <cell r="Y1709">
            <v>46217</v>
          </cell>
          <cell r="Z1709">
            <v>1</v>
          </cell>
          <cell r="AA1709">
            <v>1000</v>
          </cell>
        </row>
        <row r="1710">
          <cell r="A1710">
            <v>46216</v>
          </cell>
          <cell r="D1710" t="str">
            <v>EFG 8</v>
          </cell>
          <cell r="E1710">
            <v>2</v>
          </cell>
          <cell r="H1710" t="str">
            <v>SAFISCOR</v>
          </cell>
          <cell r="N1710">
            <v>1000</v>
          </cell>
          <cell r="Y1710">
            <v>46216</v>
          </cell>
          <cell r="Z1710">
            <v>1</v>
          </cell>
          <cell r="AA1710">
            <v>1000</v>
          </cell>
        </row>
        <row r="1711">
          <cell r="A1711">
            <v>46216</v>
          </cell>
          <cell r="D1711" t="str">
            <v>EFG 8</v>
          </cell>
          <cell r="E1711">
            <v>2</v>
          </cell>
          <cell r="H1711" t="str">
            <v>SAFISCOR</v>
          </cell>
          <cell r="N1711">
            <v>1000</v>
          </cell>
          <cell r="Y1711">
            <v>46216</v>
          </cell>
          <cell r="Z1711">
            <v>2</v>
          </cell>
          <cell r="AA1711">
            <v>1000</v>
          </cell>
        </row>
        <row r="1712">
          <cell r="A1712">
            <v>46216</v>
          </cell>
          <cell r="D1712" t="str">
            <v>EFG 8</v>
          </cell>
          <cell r="E1712">
            <v>2</v>
          </cell>
          <cell r="H1712" t="str">
            <v>APLUS</v>
          </cell>
          <cell r="N1712">
            <v>1000</v>
          </cell>
          <cell r="Y1712">
            <v>46216</v>
          </cell>
          <cell r="Z1712">
            <v>1</v>
          </cell>
          <cell r="AA1712">
            <v>1000</v>
          </cell>
        </row>
        <row r="1713">
          <cell r="A1713">
            <v>46216</v>
          </cell>
          <cell r="D1713" t="str">
            <v>EFG 8</v>
          </cell>
          <cell r="E1713">
            <v>2</v>
          </cell>
          <cell r="H1713" t="str">
            <v>SAFISCOR</v>
          </cell>
          <cell r="N1713">
            <v>1000</v>
          </cell>
          <cell r="Y1713">
            <v>46216</v>
          </cell>
          <cell r="Z1713">
            <v>1</v>
          </cell>
          <cell r="AA1713">
            <v>1000</v>
          </cell>
        </row>
        <row r="1714">
          <cell r="A1714">
            <v>46216</v>
          </cell>
          <cell r="D1714" t="str">
            <v>EFG 8</v>
          </cell>
          <cell r="E1714">
            <v>2</v>
          </cell>
          <cell r="H1714" t="str">
            <v>SAFISCOR</v>
          </cell>
          <cell r="N1714">
            <v>1000</v>
          </cell>
          <cell r="Y1714">
            <v>46216</v>
          </cell>
          <cell r="Z1714">
            <v>2</v>
          </cell>
          <cell r="AA1714">
            <v>1000</v>
          </cell>
        </row>
        <row r="1715">
          <cell r="A1715">
            <v>46216</v>
          </cell>
          <cell r="D1715" t="str">
            <v xml:space="preserve">STAR SOGOD </v>
          </cell>
          <cell r="E1715">
            <v>4</v>
          </cell>
          <cell r="H1715" t="str">
            <v>GEO</v>
          </cell>
          <cell r="N1715">
            <v>1080</v>
          </cell>
          <cell r="Y1715">
            <v>46216</v>
          </cell>
          <cell r="Z1715">
            <v>2</v>
          </cell>
          <cell r="AA1715">
            <v>1080</v>
          </cell>
        </row>
        <row r="1716">
          <cell r="A1716">
            <v>46216</v>
          </cell>
          <cell r="D1716" t="str">
            <v>EFG 8</v>
          </cell>
          <cell r="E1716">
            <v>2</v>
          </cell>
          <cell r="H1716" t="str">
            <v>BADIE</v>
          </cell>
          <cell r="N1716">
            <v>1000</v>
          </cell>
          <cell r="Y1716">
            <v>46216</v>
          </cell>
          <cell r="Z1716">
            <v>1</v>
          </cell>
          <cell r="AA1716">
            <v>1000</v>
          </cell>
        </row>
        <row r="1717">
          <cell r="A1717">
            <v>46216</v>
          </cell>
          <cell r="D1717" t="str">
            <v xml:space="preserve">STAR SOGOD </v>
          </cell>
          <cell r="E1717">
            <v>4</v>
          </cell>
          <cell r="H1717" t="str">
            <v>LAPU-LAPU</v>
          </cell>
          <cell r="N1717">
            <v>1080</v>
          </cell>
          <cell r="Y1717">
            <v>46216</v>
          </cell>
          <cell r="Z1717">
            <v>1</v>
          </cell>
          <cell r="AA1717">
            <v>1080</v>
          </cell>
        </row>
        <row r="1718">
          <cell r="A1718">
            <v>46216</v>
          </cell>
          <cell r="D1718" t="str">
            <v>EFG 8</v>
          </cell>
          <cell r="E1718">
            <v>2</v>
          </cell>
          <cell r="H1718" t="str">
            <v>SAFISCOR</v>
          </cell>
          <cell r="N1718">
            <v>1000</v>
          </cell>
          <cell r="Y1718">
            <v>46216</v>
          </cell>
          <cell r="Z1718">
            <v>1</v>
          </cell>
          <cell r="AA1718">
            <v>1000</v>
          </cell>
        </row>
        <row r="1719">
          <cell r="A1719">
            <v>46216</v>
          </cell>
          <cell r="D1719" t="str">
            <v>EFG 8</v>
          </cell>
          <cell r="E1719">
            <v>2</v>
          </cell>
          <cell r="H1719" t="str">
            <v>SAFISCOR</v>
          </cell>
          <cell r="N1719">
            <v>1000</v>
          </cell>
          <cell r="Y1719">
            <v>46217</v>
          </cell>
          <cell r="Z1719">
            <v>1</v>
          </cell>
          <cell r="AA1719">
            <v>1000</v>
          </cell>
        </row>
        <row r="1720">
          <cell r="A1720">
            <v>46216</v>
          </cell>
          <cell r="D1720" t="str">
            <v xml:space="preserve">STAR SOGOD </v>
          </cell>
          <cell r="E1720">
            <v>4</v>
          </cell>
          <cell r="H1720" t="str">
            <v>SAFISCOR</v>
          </cell>
          <cell r="N1720">
            <v>1080</v>
          </cell>
          <cell r="Y1720">
            <v>46216</v>
          </cell>
          <cell r="Z1720">
            <v>1</v>
          </cell>
          <cell r="AA1720">
            <v>1080</v>
          </cell>
        </row>
        <row r="1721">
          <cell r="A1721">
            <v>46216</v>
          </cell>
          <cell r="D1721" t="str">
            <v xml:space="preserve">STAR SOGOD </v>
          </cell>
          <cell r="E1721">
            <v>4</v>
          </cell>
          <cell r="H1721" t="str">
            <v>SAFISCOR</v>
          </cell>
          <cell r="N1721">
            <v>1080</v>
          </cell>
          <cell r="Y1721">
            <v>46216</v>
          </cell>
          <cell r="Z1721">
            <v>1</v>
          </cell>
          <cell r="AA1721">
            <v>1080</v>
          </cell>
        </row>
        <row r="1722">
          <cell r="A1722">
            <v>46216</v>
          </cell>
          <cell r="D1722" t="str">
            <v>EFG 8</v>
          </cell>
          <cell r="E1722">
            <v>2</v>
          </cell>
          <cell r="H1722" t="str">
            <v>LAPU-LAPU</v>
          </cell>
          <cell r="N1722">
            <v>1000</v>
          </cell>
          <cell r="Y1722">
            <v>46216</v>
          </cell>
          <cell r="Z1722">
            <v>1</v>
          </cell>
          <cell r="AA1722">
            <v>1000</v>
          </cell>
        </row>
        <row r="1723">
          <cell r="A1723">
            <v>46216</v>
          </cell>
          <cell r="D1723" t="str">
            <v xml:space="preserve">STAR SOGOD </v>
          </cell>
          <cell r="E1723">
            <v>4</v>
          </cell>
          <cell r="H1723" t="str">
            <v>LAPU-LAPU</v>
          </cell>
          <cell r="N1723">
            <v>200</v>
          </cell>
          <cell r="Y1723">
            <v>46216</v>
          </cell>
          <cell r="Z1723">
            <v>2</v>
          </cell>
          <cell r="AA1723">
            <v>200</v>
          </cell>
        </row>
        <row r="1724">
          <cell r="A1724">
            <v>46216</v>
          </cell>
          <cell r="D1724" t="str">
            <v>QUEEN CECILIA DOS</v>
          </cell>
          <cell r="E1724">
            <v>1</v>
          </cell>
          <cell r="H1724" t="str">
            <v>SAFISCOR</v>
          </cell>
          <cell r="N1724">
            <v>1080</v>
          </cell>
          <cell r="Y1724">
            <v>46216</v>
          </cell>
          <cell r="Z1724">
            <v>1</v>
          </cell>
          <cell r="AA1724">
            <v>1080</v>
          </cell>
        </row>
        <row r="1725">
          <cell r="A1725">
            <v>46216</v>
          </cell>
          <cell r="D1725" t="str">
            <v xml:space="preserve">STAR SOGOD </v>
          </cell>
          <cell r="E1725">
            <v>4</v>
          </cell>
          <cell r="H1725" t="str">
            <v>SAFISCOR</v>
          </cell>
          <cell r="N1725">
            <v>600</v>
          </cell>
          <cell r="Y1725">
            <v>46216</v>
          </cell>
          <cell r="Z1725">
            <v>2</v>
          </cell>
          <cell r="AA1725">
            <v>600</v>
          </cell>
        </row>
        <row r="1726">
          <cell r="A1726">
            <v>46216</v>
          </cell>
          <cell r="D1726" t="str">
            <v>QUEEN CECILIA DOS</v>
          </cell>
          <cell r="E1726">
            <v>1</v>
          </cell>
          <cell r="H1726" t="str">
            <v>SAFISCOR</v>
          </cell>
          <cell r="N1726">
            <v>400</v>
          </cell>
          <cell r="Y1726">
            <v>46217</v>
          </cell>
          <cell r="Z1726">
            <v>1</v>
          </cell>
          <cell r="AA1726">
            <v>400</v>
          </cell>
        </row>
        <row r="1727">
          <cell r="A1727">
            <v>46216</v>
          </cell>
          <cell r="D1727" t="str">
            <v>EMERALD STAR</v>
          </cell>
          <cell r="E1727">
            <v>4</v>
          </cell>
          <cell r="H1727" t="str">
            <v>LAPU-LAPU</v>
          </cell>
          <cell r="N1727">
            <v>800</v>
          </cell>
          <cell r="Y1727">
            <v>46216</v>
          </cell>
          <cell r="Z1727">
            <v>2</v>
          </cell>
          <cell r="AA1727">
            <v>800</v>
          </cell>
        </row>
        <row r="1728">
          <cell r="A1728">
            <v>46216</v>
          </cell>
          <cell r="D1728" t="str">
            <v>EFG 8</v>
          </cell>
          <cell r="E1728">
            <v>2</v>
          </cell>
          <cell r="H1728" t="str">
            <v>SAFISCOR</v>
          </cell>
          <cell r="N1728">
            <v>1000</v>
          </cell>
          <cell r="Y1728">
            <v>46216</v>
          </cell>
          <cell r="Z1728">
            <v>1</v>
          </cell>
          <cell r="AA1728">
            <v>1000</v>
          </cell>
        </row>
        <row r="1729">
          <cell r="A1729">
            <v>46216</v>
          </cell>
          <cell r="D1729" t="str">
            <v>EMERALD STAR</v>
          </cell>
          <cell r="E1729">
            <v>4</v>
          </cell>
          <cell r="H1729" t="str">
            <v>FULACHE</v>
          </cell>
          <cell r="N1729">
            <v>1000</v>
          </cell>
          <cell r="Y1729">
            <v>46217</v>
          </cell>
          <cell r="Z1729">
            <v>1</v>
          </cell>
          <cell r="AA1729">
            <v>1000</v>
          </cell>
        </row>
        <row r="1730">
          <cell r="A1730">
            <v>46216</v>
          </cell>
          <cell r="D1730" t="str">
            <v>EFG 8</v>
          </cell>
          <cell r="E1730">
            <v>2</v>
          </cell>
          <cell r="H1730" t="str">
            <v>SAFISCOR</v>
          </cell>
          <cell r="N1730">
            <v>1000</v>
          </cell>
          <cell r="Y1730">
            <v>46217</v>
          </cell>
          <cell r="Z1730">
            <v>1</v>
          </cell>
          <cell r="AA1730">
            <v>1000</v>
          </cell>
        </row>
        <row r="1731">
          <cell r="A1731">
            <v>46216</v>
          </cell>
          <cell r="D1731" t="str">
            <v>EMERALD STAR</v>
          </cell>
          <cell r="E1731">
            <v>4</v>
          </cell>
          <cell r="H1731" t="str">
            <v>SAFISCOR</v>
          </cell>
          <cell r="N1731">
            <v>1000</v>
          </cell>
          <cell r="Y1731">
            <v>46216</v>
          </cell>
          <cell r="Z1731">
            <v>2</v>
          </cell>
          <cell r="AA1731">
            <v>1000</v>
          </cell>
        </row>
        <row r="1732">
          <cell r="A1732">
            <v>46216</v>
          </cell>
          <cell r="D1732" t="str">
            <v>EMERALD STAR</v>
          </cell>
          <cell r="E1732">
            <v>4</v>
          </cell>
          <cell r="H1732" t="str">
            <v>SAFISCOR</v>
          </cell>
          <cell r="N1732">
            <v>1000</v>
          </cell>
          <cell r="Y1732">
            <v>46216</v>
          </cell>
          <cell r="Z1732">
            <v>2</v>
          </cell>
          <cell r="AA1732">
            <v>1000</v>
          </cell>
        </row>
        <row r="1733">
          <cell r="A1733">
            <v>46216</v>
          </cell>
          <cell r="D1733" t="str">
            <v>LADY OF PEACE</v>
          </cell>
          <cell r="E1733">
            <v>3</v>
          </cell>
          <cell r="H1733" t="str">
            <v>UCES</v>
          </cell>
          <cell r="N1733">
            <v>1000</v>
          </cell>
          <cell r="Y1733">
            <v>46217</v>
          </cell>
          <cell r="Z1733">
            <v>1</v>
          </cell>
          <cell r="AA1733">
            <v>1000</v>
          </cell>
        </row>
        <row r="1734">
          <cell r="A1734">
            <v>46216</v>
          </cell>
          <cell r="D1734" t="str">
            <v>LADY OF PEACE</v>
          </cell>
          <cell r="E1734">
            <v>3</v>
          </cell>
          <cell r="H1734" t="str">
            <v>SAFISCOR</v>
          </cell>
          <cell r="N1734">
            <v>1000</v>
          </cell>
          <cell r="Y1734">
            <v>46217</v>
          </cell>
          <cell r="Z1734">
            <v>1</v>
          </cell>
          <cell r="AA1734">
            <v>1000</v>
          </cell>
        </row>
        <row r="1735">
          <cell r="A1735">
            <v>46216</v>
          </cell>
          <cell r="D1735" t="str">
            <v>LADY OF PEACE</v>
          </cell>
          <cell r="E1735">
            <v>3</v>
          </cell>
          <cell r="H1735" t="str">
            <v>LAPU-LAPU</v>
          </cell>
          <cell r="N1735">
            <v>1000</v>
          </cell>
          <cell r="Y1735">
            <v>46217</v>
          </cell>
          <cell r="Z1735">
            <v>2</v>
          </cell>
          <cell r="AA1735">
            <v>1000</v>
          </cell>
        </row>
        <row r="1736">
          <cell r="A1736">
            <v>46216</v>
          </cell>
          <cell r="D1736" t="str">
            <v>QUEEN CECILIA DOS</v>
          </cell>
          <cell r="E1736">
            <v>1</v>
          </cell>
          <cell r="H1736" t="str">
            <v>SAFISCOR</v>
          </cell>
          <cell r="N1736">
            <v>1080</v>
          </cell>
          <cell r="Y1736">
            <v>46217</v>
          </cell>
          <cell r="Z1736">
            <v>1</v>
          </cell>
          <cell r="AA1736">
            <v>1080</v>
          </cell>
        </row>
        <row r="1737">
          <cell r="A1737">
            <v>46216</v>
          </cell>
          <cell r="D1737" t="str">
            <v>QUEEN CECILIA DOS</v>
          </cell>
          <cell r="E1737">
            <v>1</v>
          </cell>
          <cell r="H1737" t="str">
            <v>LAPU-LAPU</v>
          </cell>
          <cell r="N1737">
            <v>1080</v>
          </cell>
          <cell r="Y1737">
            <v>46217</v>
          </cell>
          <cell r="Z1737">
            <v>1</v>
          </cell>
          <cell r="AA1737">
            <v>1080</v>
          </cell>
        </row>
        <row r="1738">
          <cell r="A1738">
            <v>46216</v>
          </cell>
          <cell r="D1738" t="str">
            <v>QUEEN CECILIA DOS</v>
          </cell>
          <cell r="E1738">
            <v>1</v>
          </cell>
          <cell r="H1738" t="str">
            <v>SAFISCOR</v>
          </cell>
          <cell r="N1738">
            <v>1080</v>
          </cell>
          <cell r="Y1738">
            <v>46217</v>
          </cell>
          <cell r="Z1738">
            <v>1</v>
          </cell>
          <cell r="AA1738">
            <v>1080</v>
          </cell>
        </row>
        <row r="1739">
          <cell r="A1739">
            <v>46216</v>
          </cell>
          <cell r="D1739" t="str">
            <v>QUEEN CECILIA DOS</v>
          </cell>
          <cell r="E1739">
            <v>1</v>
          </cell>
          <cell r="H1739" t="str">
            <v>LAPU-LAPU</v>
          </cell>
          <cell r="N1739">
            <v>1000</v>
          </cell>
          <cell r="Y1739">
            <v>46218</v>
          </cell>
          <cell r="Z1739">
            <v>1</v>
          </cell>
          <cell r="AA1739">
            <v>1000</v>
          </cell>
        </row>
        <row r="1740">
          <cell r="A1740">
            <v>46216</v>
          </cell>
          <cell r="D1740" t="str">
            <v>QUEEN CECILIA DOS</v>
          </cell>
          <cell r="E1740">
            <v>1</v>
          </cell>
          <cell r="H1740" t="str">
            <v>SAFISCOR</v>
          </cell>
          <cell r="N1740">
            <v>1000</v>
          </cell>
          <cell r="Y1740">
            <v>46217</v>
          </cell>
          <cell r="Z1740">
            <v>1</v>
          </cell>
          <cell r="AA1740">
            <v>1000</v>
          </cell>
        </row>
        <row r="1741">
          <cell r="A1741">
            <v>46216</v>
          </cell>
          <cell r="D1741" t="str">
            <v>LADY OF PEACE</v>
          </cell>
          <cell r="E1741">
            <v>3</v>
          </cell>
          <cell r="H1741" t="str">
            <v>APLUS</v>
          </cell>
          <cell r="N1741">
            <v>1000</v>
          </cell>
          <cell r="Y1741">
            <v>46217</v>
          </cell>
          <cell r="Z1741">
            <v>1</v>
          </cell>
          <cell r="AA1741">
            <v>1000</v>
          </cell>
        </row>
        <row r="1742">
          <cell r="A1742">
            <v>46216</v>
          </cell>
          <cell r="D1742" t="str">
            <v>EFG 8</v>
          </cell>
          <cell r="E1742">
            <v>2</v>
          </cell>
          <cell r="H1742" t="str">
            <v>SAFISCOR</v>
          </cell>
          <cell r="N1742">
            <v>1000</v>
          </cell>
          <cell r="Y1742">
            <v>46216</v>
          </cell>
          <cell r="Z1742">
            <v>2</v>
          </cell>
          <cell r="AA1742">
            <v>1000</v>
          </cell>
        </row>
        <row r="1743">
          <cell r="A1743">
            <v>46216</v>
          </cell>
          <cell r="D1743" t="str">
            <v>ADOLFO SR</v>
          </cell>
          <cell r="E1743">
            <v>4</v>
          </cell>
          <cell r="H1743" t="str">
            <v>SAFISCOR</v>
          </cell>
          <cell r="N1743">
            <v>1000</v>
          </cell>
          <cell r="Y1743">
            <v>46217</v>
          </cell>
          <cell r="Z1743">
            <v>1</v>
          </cell>
          <cell r="AA1743">
            <v>1000</v>
          </cell>
        </row>
        <row r="1744">
          <cell r="A1744">
            <v>46216</v>
          </cell>
          <cell r="D1744" t="str">
            <v>EMERALD STAR</v>
          </cell>
          <cell r="E1744">
            <v>4</v>
          </cell>
          <cell r="H1744" t="str">
            <v>BADIE</v>
          </cell>
          <cell r="N1744">
            <v>1000</v>
          </cell>
          <cell r="Y1744">
            <v>46217</v>
          </cell>
          <cell r="Z1744">
            <v>1</v>
          </cell>
          <cell r="AA1744">
            <v>1000</v>
          </cell>
        </row>
        <row r="1745">
          <cell r="A1745">
            <v>46216</v>
          </cell>
          <cell r="D1745" t="str">
            <v>EMERALD STAR</v>
          </cell>
          <cell r="E1745">
            <v>4</v>
          </cell>
          <cell r="H1745" t="str">
            <v>SAFISCOR</v>
          </cell>
          <cell r="N1745">
            <v>1000</v>
          </cell>
          <cell r="Y1745">
            <v>46216</v>
          </cell>
          <cell r="Z1745">
            <v>2</v>
          </cell>
          <cell r="AA1745">
            <v>1000</v>
          </cell>
        </row>
        <row r="1746">
          <cell r="A1746">
            <v>46216</v>
          </cell>
          <cell r="D1746" t="str">
            <v>EMERALD STAR</v>
          </cell>
          <cell r="E1746">
            <v>4</v>
          </cell>
          <cell r="H1746" t="str">
            <v>LAPU-LAPU</v>
          </cell>
          <cell r="N1746">
            <v>1000</v>
          </cell>
          <cell r="Y1746">
            <v>46217</v>
          </cell>
          <cell r="Z1746">
            <v>1</v>
          </cell>
          <cell r="AA1746">
            <v>1000</v>
          </cell>
        </row>
        <row r="1747">
          <cell r="A1747">
            <v>46216</v>
          </cell>
          <cell r="D1747" t="str">
            <v>ADOLFO SR</v>
          </cell>
          <cell r="E1747">
            <v>4</v>
          </cell>
          <cell r="H1747" t="str">
            <v>SAFISCOR</v>
          </cell>
          <cell r="N1747">
            <v>1000</v>
          </cell>
          <cell r="Y1747">
            <v>46216</v>
          </cell>
          <cell r="Z1747">
            <v>2</v>
          </cell>
          <cell r="AA1747">
            <v>1000</v>
          </cell>
        </row>
        <row r="1748">
          <cell r="A1748">
            <v>46216</v>
          </cell>
          <cell r="D1748" t="str">
            <v>QUEEN CECILIA DOS</v>
          </cell>
          <cell r="E1748">
            <v>1</v>
          </cell>
          <cell r="H1748" t="str">
            <v>SAFISCOR</v>
          </cell>
          <cell r="N1748">
            <v>1000</v>
          </cell>
          <cell r="Y1748">
            <v>46217</v>
          </cell>
          <cell r="Z1748">
            <v>2</v>
          </cell>
          <cell r="AA1748">
            <v>1000</v>
          </cell>
        </row>
        <row r="1749">
          <cell r="A1749">
            <v>46216</v>
          </cell>
          <cell r="D1749" t="str">
            <v>EMERALD STAR</v>
          </cell>
          <cell r="E1749">
            <v>4</v>
          </cell>
          <cell r="H1749" t="str">
            <v>SAFISCOR</v>
          </cell>
          <cell r="N1749">
            <v>1000</v>
          </cell>
          <cell r="Y1749">
            <v>46216</v>
          </cell>
          <cell r="Z1749">
            <v>2</v>
          </cell>
          <cell r="AA1749">
            <v>1000</v>
          </cell>
        </row>
        <row r="1750">
          <cell r="A1750">
            <v>46216</v>
          </cell>
          <cell r="D1750" t="str">
            <v>EMERALD STAR</v>
          </cell>
          <cell r="E1750">
            <v>4</v>
          </cell>
          <cell r="H1750" t="str">
            <v>SAFISCOR</v>
          </cell>
          <cell r="N1750">
            <v>1000</v>
          </cell>
        </row>
        <row r="1751">
          <cell r="A1751">
            <v>46216</v>
          </cell>
          <cell r="D1751" t="str">
            <v>EMERALD STAR</v>
          </cell>
          <cell r="E1751">
            <v>4</v>
          </cell>
          <cell r="H1751" t="str">
            <v>SAFISCOR</v>
          </cell>
          <cell r="N1751">
            <v>1000</v>
          </cell>
          <cell r="Y1751">
            <v>46217</v>
          </cell>
          <cell r="Z1751">
            <v>2</v>
          </cell>
          <cell r="AA1751">
            <v>1000</v>
          </cell>
        </row>
        <row r="1752">
          <cell r="A1752">
            <v>46216</v>
          </cell>
          <cell r="D1752" t="str">
            <v>EMERALD STAR</v>
          </cell>
          <cell r="E1752">
            <v>4</v>
          </cell>
          <cell r="H1752" t="str">
            <v>SAFISCOR</v>
          </cell>
          <cell r="N1752">
            <v>1000</v>
          </cell>
        </row>
        <row r="1753">
          <cell r="A1753">
            <v>46216</v>
          </cell>
          <cell r="D1753" t="str">
            <v>LADY OF PEACE</v>
          </cell>
          <cell r="E1753">
            <v>3</v>
          </cell>
          <cell r="H1753" t="str">
            <v>SAFISCOR</v>
          </cell>
          <cell r="N1753">
            <v>250</v>
          </cell>
          <cell r="Y1753">
            <v>46217</v>
          </cell>
          <cell r="Z1753">
            <v>2</v>
          </cell>
          <cell r="AA1753">
            <v>250</v>
          </cell>
        </row>
        <row r="1754">
          <cell r="A1754">
            <v>46216</v>
          </cell>
          <cell r="D1754" t="str">
            <v>LADY OF PEACE</v>
          </cell>
          <cell r="E1754">
            <v>3</v>
          </cell>
          <cell r="H1754" t="str">
            <v>SAFISCOR</v>
          </cell>
          <cell r="N1754">
            <v>750</v>
          </cell>
          <cell r="Y1754">
            <v>46217</v>
          </cell>
          <cell r="Z1754">
            <v>2</v>
          </cell>
          <cell r="AA1754">
            <v>750</v>
          </cell>
        </row>
        <row r="1755">
          <cell r="A1755">
            <v>46216</v>
          </cell>
          <cell r="D1755" t="str">
            <v>QUEEN CECILIA DOS</v>
          </cell>
          <cell r="E1755">
            <v>1</v>
          </cell>
          <cell r="H1755" t="str">
            <v>SAFISCOR</v>
          </cell>
          <cell r="N1755">
            <v>270</v>
          </cell>
          <cell r="Y1755">
            <v>46217</v>
          </cell>
          <cell r="Z1755">
            <v>1</v>
          </cell>
          <cell r="AA1755">
            <v>270</v>
          </cell>
        </row>
        <row r="1756">
          <cell r="A1756">
            <v>46216</v>
          </cell>
          <cell r="D1756" t="str">
            <v>QUEEN CECILIA DOS</v>
          </cell>
          <cell r="E1756">
            <v>1</v>
          </cell>
          <cell r="H1756" t="str">
            <v>SAFISCOR</v>
          </cell>
          <cell r="N1756">
            <v>810</v>
          </cell>
          <cell r="Y1756">
            <v>46217</v>
          </cell>
          <cell r="Z1756">
            <v>1</v>
          </cell>
          <cell r="AA1756">
            <v>810</v>
          </cell>
        </row>
        <row r="1757">
          <cell r="A1757">
            <v>46216</v>
          </cell>
          <cell r="D1757" t="str">
            <v xml:space="preserve">STAR SOGOD </v>
          </cell>
          <cell r="E1757">
            <v>4</v>
          </cell>
          <cell r="H1757" t="str">
            <v>LAPU-LAPU</v>
          </cell>
          <cell r="N1757">
            <v>1080</v>
          </cell>
          <cell r="Y1757">
            <v>46216</v>
          </cell>
          <cell r="Z1757">
            <v>2</v>
          </cell>
          <cell r="AA1757">
            <v>1080</v>
          </cell>
        </row>
        <row r="1758">
          <cell r="A1758">
            <v>46216</v>
          </cell>
          <cell r="D1758" t="str">
            <v>ADOLFO SR</v>
          </cell>
          <cell r="E1758">
            <v>4</v>
          </cell>
          <cell r="H1758" t="str">
            <v>SAFISCOR</v>
          </cell>
          <cell r="N1758">
            <v>1000</v>
          </cell>
          <cell r="Y1758">
            <v>46216</v>
          </cell>
          <cell r="Z1758">
            <v>2</v>
          </cell>
          <cell r="AA1758">
            <v>1000</v>
          </cell>
        </row>
        <row r="1759">
          <cell r="A1759">
            <v>46216</v>
          </cell>
          <cell r="D1759" t="str">
            <v>QUEEN CECILIA DOS</v>
          </cell>
          <cell r="E1759">
            <v>1</v>
          </cell>
          <cell r="H1759" t="str">
            <v>SAFISCOR</v>
          </cell>
          <cell r="N1759">
            <v>1000</v>
          </cell>
          <cell r="Y1759">
            <v>46218</v>
          </cell>
          <cell r="Z1759">
            <v>1</v>
          </cell>
          <cell r="AA1759">
            <v>1000</v>
          </cell>
        </row>
        <row r="1760">
          <cell r="A1760">
            <v>46216</v>
          </cell>
          <cell r="D1760" t="str">
            <v>EMERALD STAR</v>
          </cell>
          <cell r="E1760">
            <v>4</v>
          </cell>
          <cell r="H1760" t="str">
            <v>SAFISCOR</v>
          </cell>
          <cell r="N1760">
            <v>1000</v>
          </cell>
          <cell r="Y1760">
            <v>46217</v>
          </cell>
          <cell r="Z1760">
            <v>2</v>
          </cell>
          <cell r="AA1760">
            <v>1000</v>
          </cell>
        </row>
        <row r="1761">
          <cell r="A1761">
            <v>46216</v>
          </cell>
          <cell r="D1761" t="str">
            <v>EMERALD STAR</v>
          </cell>
          <cell r="E1761">
            <v>4</v>
          </cell>
          <cell r="H1761" t="str">
            <v>SAFISCOR</v>
          </cell>
          <cell r="N1761">
            <v>1000</v>
          </cell>
          <cell r="Y1761">
            <v>46217</v>
          </cell>
          <cell r="Z1761">
            <v>2</v>
          </cell>
          <cell r="AA1761">
            <v>1000</v>
          </cell>
        </row>
        <row r="1762">
          <cell r="A1762">
            <v>46216</v>
          </cell>
          <cell r="D1762" t="str">
            <v>EMERALD STAR</v>
          </cell>
          <cell r="E1762">
            <v>4</v>
          </cell>
          <cell r="H1762" t="str">
            <v>SAFISCOR</v>
          </cell>
          <cell r="N1762">
            <v>1000</v>
          </cell>
          <cell r="Y1762">
            <v>46217</v>
          </cell>
          <cell r="Z1762">
            <v>2</v>
          </cell>
          <cell r="AA1762">
            <v>1000</v>
          </cell>
        </row>
        <row r="1763">
          <cell r="A1763">
            <v>46216</v>
          </cell>
          <cell r="D1763" t="str">
            <v>EFG 8</v>
          </cell>
          <cell r="E1763">
            <v>2</v>
          </cell>
          <cell r="H1763" t="str">
            <v>SAFISCOR</v>
          </cell>
          <cell r="N1763">
            <v>1000</v>
          </cell>
          <cell r="Y1763">
            <v>46216</v>
          </cell>
          <cell r="Z1763">
            <v>2</v>
          </cell>
          <cell r="AA1763">
            <v>1000</v>
          </cell>
        </row>
        <row r="1764">
          <cell r="A1764">
            <v>46217</v>
          </cell>
          <cell r="D1764" t="str">
            <v>EMERALD STAR</v>
          </cell>
          <cell r="E1764">
            <v>4</v>
          </cell>
          <cell r="H1764" t="str">
            <v>LAPU-LAPU</v>
          </cell>
          <cell r="N1764">
            <v>1000</v>
          </cell>
          <cell r="Y1764">
            <v>46217</v>
          </cell>
          <cell r="Z1764">
            <v>2</v>
          </cell>
          <cell r="AA1764">
            <v>1000</v>
          </cell>
        </row>
        <row r="1765">
          <cell r="A1765">
            <v>46217</v>
          </cell>
          <cell r="D1765" t="str">
            <v>EMERALD STAR</v>
          </cell>
          <cell r="E1765">
            <v>4</v>
          </cell>
          <cell r="H1765" t="str">
            <v>SAFISCOR</v>
          </cell>
          <cell r="N1765">
            <v>1000</v>
          </cell>
          <cell r="Y1765">
            <v>46217</v>
          </cell>
          <cell r="Z1765">
            <v>2</v>
          </cell>
          <cell r="AA1765">
            <v>1000</v>
          </cell>
        </row>
        <row r="1766">
          <cell r="A1766">
            <v>46217</v>
          </cell>
          <cell r="D1766" t="str">
            <v>EMERALD STAR</v>
          </cell>
          <cell r="E1766">
            <v>4</v>
          </cell>
          <cell r="H1766" t="str">
            <v>SAFISCOR</v>
          </cell>
          <cell r="N1766">
            <v>1000</v>
          </cell>
          <cell r="Y1766">
            <v>46217</v>
          </cell>
          <cell r="Z1766">
            <v>2</v>
          </cell>
          <cell r="AA1766">
            <v>1000</v>
          </cell>
        </row>
        <row r="1767">
          <cell r="A1767">
            <v>46217</v>
          </cell>
          <cell r="D1767" t="str">
            <v>ADOLFO SR</v>
          </cell>
          <cell r="E1767">
            <v>4</v>
          </cell>
          <cell r="H1767" t="str">
            <v>SAFISCOR</v>
          </cell>
          <cell r="N1767">
            <v>1000</v>
          </cell>
          <cell r="Y1767">
            <v>46217</v>
          </cell>
          <cell r="Z1767">
            <v>1</v>
          </cell>
          <cell r="AA1767">
            <v>1000</v>
          </cell>
        </row>
        <row r="1768">
          <cell r="A1768">
            <v>46217</v>
          </cell>
          <cell r="D1768" t="str">
            <v>EMERALD STAR</v>
          </cell>
          <cell r="E1768">
            <v>4</v>
          </cell>
          <cell r="H1768" t="str">
            <v>LAPU-LAPU</v>
          </cell>
          <cell r="N1768">
            <v>1000</v>
          </cell>
          <cell r="Y1768">
            <v>46218</v>
          </cell>
          <cell r="Z1768">
            <v>1</v>
          </cell>
          <cell r="AA1768">
            <v>1000</v>
          </cell>
        </row>
        <row r="1769">
          <cell r="A1769">
            <v>46217</v>
          </cell>
          <cell r="D1769" t="str">
            <v>EFG 8</v>
          </cell>
          <cell r="E1769">
            <v>2</v>
          </cell>
          <cell r="H1769" t="str">
            <v>SAFISCOR</v>
          </cell>
          <cell r="N1769">
            <v>1000</v>
          </cell>
          <cell r="Y1769">
            <v>46217</v>
          </cell>
          <cell r="Z1769">
            <v>1</v>
          </cell>
          <cell r="AA1769">
            <v>1000</v>
          </cell>
        </row>
        <row r="1770">
          <cell r="A1770">
            <v>46217</v>
          </cell>
          <cell r="D1770" t="str">
            <v>ADOLFO SR</v>
          </cell>
          <cell r="E1770">
            <v>4</v>
          </cell>
          <cell r="H1770" t="str">
            <v>SAFISCOR</v>
          </cell>
          <cell r="N1770">
            <v>200</v>
          </cell>
          <cell r="Y1770">
            <v>46217</v>
          </cell>
          <cell r="Z1770">
            <v>2</v>
          </cell>
          <cell r="AA1770">
            <v>200</v>
          </cell>
        </row>
        <row r="1771">
          <cell r="A1771">
            <v>46217</v>
          </cell>
          <cell r="D1771" t="str">
            <v>EMERALD STAR</v>
          </cell>
          <cell r="E1771">
            <v>4</v>
          </cell>
          <cell r="H1771" t="str">
            <v>SAFISCOR</v>
          </cell>
          <cell r="N1771">
            <v>700</v>
          </cell>
          <cell r="Y1771">
            <v>46217</v>
          </cell>
          <cell r="Z1771">
            <v>2</v>
          </cell>
          <cell r="AA1771">
            <v>700</v>
          </cell>
        </row>
        <row r="1772">
          <cell r="A1772">
            <v>46217</v>
          </cell>
          <cell r="D1772" t="str">
            <v>EFG 8</v>
          </cell>
          <cell r="E1772">
            <v>2</v>
          </cell>
          <cell r="H1772" t="str">
            <v>SAFISCOR</v>
          </cell>
          <cell r="N1772">
            <v>1000</v>
          </cell>
          <cell r="Y1772">
            <v>46217</v>
          </cell>
          <cell r="Z1772">
            <v>1</v>
          </cell>
          <cell r="AA1772">
            <v>1000</v>
          </cell>
        </row>
        <row r="1773">
          <cell r="A1773">
            <v>46217</v>
          </cell>
          <cell r="D1773" t="str">
            <v>QUEEN CECILIA DOS</v>
          </cell>
          <cell r="E1773">
            <v>1</v>
          </cell>
          <cell r="H1773" t="str">
            <v>GEO</v>
          </cell>
          <cell r="N1773">
            <v>1000</v>
          </cell>
          <cell r="Y1773">
            <v>46217</v>
          </cell>
          <cell r="Z1773">
            <v>1</v>
          </cell>
          <cell r="AA1773">
            <v>1000</v>
          </cell>
        </row>
        <row r="1774">
          <cell r="A1774">
            <v>46217</v>
          </cell>
          <cell r="D1774" t="str">
            <v>QUEEN CECILIA DOS</v>
          </cell>
          <cell r="E1774">
            <v>1</v>
          </cell>
          <cell r="H1774" t="str">
            <v>LAPU-LAPU</v>
          </cell>
          <cell r="N1774">
            <v>1000</v>
          </cell>
          <cell r="Y1774">
            <v>46217</v>
          </cell>
          <cell r="Z1774">
            <v>1</v>
          </cell>
          <cell r="AA1774">
            <v>1000</v>
          </cell>
        </row>
        <row r="1775">
          <cell r="A1775">
            <v>46217</v>
          </cell>
          <cell r="D1775" t="str">
            <v>ADOLFO SR</v>
          </cell>
          <cell r="E1775">
            <v>4</v>
          </cell>
          <cell r="H1775" t="str">
            <v>SAFISCOR</v>
          </cell>
          <cell r="N1775">
            <v>1000</v>
          </cell>
          <cell r="Y1775">
            <v>46217</v>
          </cell>
          <cell r="Z1775">
            <v>2</v>
          </cell>
          <cell r="AA1775">
            <v>1000</v>
          </cell>
        </row>
        <row r="1776">
          <cell r="A1776">
            <v>46217</v>
          </cell>
          <cell r="D1776" t="str">
            <v>EFG 8</v>
          </cell>
          <cell r="E1776">
            <v>2</v>
          </cell>
          <cell r="H1776" t="str">
            <v>SAFISCOR</v>
          </cell>
          <cell r="N1776">
            <v>1000</v>
          </cell>
          <cell r="Y1776">
            <v>46217</v>
          </cell>
          <cell r="Z1776">
            <v>2</v>
          </cell>
          <cell r="AA1776">
            <v>1000</v>
          </cell>
        </row>
        <row r="1777">
          <cell r="A1777">
            <v>46217</v>
          </cell>
          <cell r="D1777" t="str">
            <v>EFG 8</v>
          </cell>
          <cell r="E1777">
            <v>2</v>
          </cell>
          <cell r="H1777" t="str">
            <v>SAFISCOR</v>
          </cell>
          <cell r="N1777">
            <v>1000</v>
          </cell>
          <cell r="Y1777">
            <v>46217</v>
          </cell>
          <cell r="Z1777">
            <v>2</v>
          </cell>
          <cell r="AA1777">
            <v>1000</v>
          </cell>
        </row>
        <row r="1778">
          <cell r="A1778">
            <v>46217</v>
          </cell>
          <cell r="D1778" t="str">
            <v>EFG 8</v>
          </cell>
          <cell r="E1778">
            <v>2</v>
          </cell>
          <cell r="H1778" t="str">
            <v>SAFISCOR</v>
          </cell>
          <cell r="N1778">
            <v>1000</v>
          </cell>
          <cell r="Y1778">
            <v>46217</v>
          </cell>
          <cell r="Z1778">
            <v>2</v>
          </cell>
          <cell r="AA1778">
            <v>1000</v>
          </cell>
        </row>
        <row r="1779">
          <cell r="A1779">
            <v>46217</v>
          </cell>
          <cell r="D1779" t="str">
            <v>EFG 8</v>
          </cell>
          <cell r="E1779">
            <v>2</v>
          </cell>
          <cell r="H1779" t="str">
            <v>SAFISCOR</v>
          </cell>
          <cell r="N1779">
            <v>1000</v>
          </cell>
          <cell r="Y1779">
            <v>46217</v>
          </cell>
          <cell r="Z1779">
            <v>1</v>
          </cell>
          <cell r="AA1779">
            <v>1000</v>
          </cell>
        </row>
        <row r="1780">
          <cell r="A1780">
            <v>46217</v>
          </cell>
          <cell r="D1780" t="str">
            <v>EFG 8</v>
          </cell>
          <cell r="E1780">
            <v>2</v>
          </cell>
          <cell r="H1780" t="str">
            <v>SAFISCOR</v>
          </cell>
          <cell r="N1780">
            <v>1000</v>
          </cell>
          <cell r="Y1780">
            <v>46217</v>
          </cell>
          <cell r="Z1780">
            <v>2</v>
          </cell>
          <cell r="AA1780">
            <v>1000</v>
          </cell>
        </row>
        <row r="1781">
          <cell r="A1781">
            <v>46217</v>
          </cell>
          <cell r="D1781" t="str">
            <v>EMERALD STAR</v>
          </cell>
          <cell r="E1781">
            <v>4</v>
          </cell>
          <cell r="H1781" t="str">
            <v>SAFISCOR</v>
          </cell>
          <cell r="N1781">
            <v>1000</v>
          </cell>
          <cell r="Y1781">
            <v>46218</v>
          </cell>
          <cell r="Z1781">
            <v>1</v>
          </cell>
          <cell r="AA1781">
            <v>1000</v>
          </cell>
        </row>
        <row r="1782">
          <cell r="A1782">
            <v>46217</v>
          </cell>
          <cell r="D1782" t="str">
            <v>EMERALD STAR</v>
          </cell>
          <cell r="E1782">
            <v>4</v>
          </cell>
          <cell r="H1782" t="str">
            <v>SAFISCOR</v>
          </cell>
          <cell r="N1782">
            <v>1000</v>
          </cell>
          <cell r="Y1782">
            <v>46218</v>
          </cell>
          <cell r="Z1782">
            <v>1</v>
          </cell>
          <cell r="AA1782">
            <v>1000</v>
          </cell>
        </row>
        <row r="1783">
          <cell r="A1783">
            <v>46217</v>
          </cell>
          <cell r="D1783" t="str">
            <v>EMERALD STAR</v>
          </cell>
          <cell r="E1783">
            <v>4</v>
          </cell>
          <cell r="H1783" t="str">
            <v>SAFISCOR</v>
          </cell>
          <cell r="N1783">
            <v>1000</v>
          </cell>
          <cell r="Y1783">
            <v>46218</v>
          </cell>
          <cell r="Z1783">
            <v>1</v>
          </cell>
          <cell r="AA1783">
            <v>1000</v>
          </cell>
        </row>
        <row r="1784">
          <cell r="A1784">
            <v>46217</v>
          </cell>
          <cell r="D1784" t="str">
            <v>QUEEN CECILIA DOS</v>
          </cell>
          <cell r="E1784">
            <v>1</v>
          </cell>
          <cell r="H1784" t="str">
            <v>LAPU-LAPU</v>
          </cell>
          <cell r="N1784">
            <v>1000</v>
          </cell>
          <cell r="Y1784">
            <v>46217</v>
          </cell>
          <cell r="Z1784">
            <v>1</v>
          </cell>
          <cell r="AA1784">
            <v>1000</v>
          </cell>
        </row>
        <row r="1785">
          <cell r="A1785">
            <v>46217</v>
          </cell>
          <cell r="D1785" t="str">
            <v>QUEEN CECILIA DOS</v>
          </cell>
          <cell r="E1785">
            <v>1</v>
          </cell>
          <cell r="H1785" t="str">
            <v>GEO</v>
          </cell>
          <cell r="N1785">
            <v>1000</v>
          </cell>
          <cell r="Y1785">
            <v>46217</v>
          </cell>
          <cell r="Z1785">
            <v>1</v>
          </cell>
          <cell r="AA1785">
            <v>1000</v>
          </cell>
        </row>
        <row r="1786">
          <cell r="A1786">
            <v>46217</v>
          </cell>
          <cell r="D1786" t="str">
            <v>ADOLFO SR</v>
          </cell>
          <cell r="E1786">
            <v>4</v>
          </cell>
          <cell r="H1786" t="str">
            <v>LAPU-LAPU</v>
          </cell>
          <cell r="N1786">
            <v>1000</v>
          </cell>
          <cell r="Y1786">
            <v>46218</v>
          </cell>
          <cell r="Z1786">
            <v>1</v>
          </cell>
          <cell r="AA1786">
            <v>1000</v>
          </cell>
        </row>
        <row r="1787">
          <cell r="A1787">
            <v>46217</v>
          </cell>
          <cell r="D1787" t="str">
            <v>EFG 8</v>
          </cell>
          <cell r="E1787">
            <v>2</v>
          </cell>
          <cell r="H1787" t="str">
            <v>SAFISCOR</v>
          </cell>
          <cell r="N1787">
            <v>1000</v>
          </cell>
          <cell r="Y1787">
            <v>46218</v>
          </cell>
          <cell r="Z1787">
            <v>1</v>
          </cell>
          <cell r="AA1787">
            <v>1000</v>
          </cell>
        </row>
        <row r="1788">
          <cell r="A1788">
            <v>46217</v>
          </cell>
          <cell r="D1788" t="str">
            <v>EFG 8</v>
          </cell>
          <cell r="E1788">
            <v>2</v>
          </cell>
          <cell r="H1788" t="str">
            <v>SAFISCOR</v>
          </cell>
          <cell r="N1788">
            <v>1000</v>
          </cell>
          <cell r="Y1788">
            <v>46218</v>
          </cell>
          <cell r="Z1788">
            <v>1</v>
          </cell>
          <cell r="AA1788">
            <v>1000</v>
          </cell>
        </row>
        <row r="1789">
          <cell r="A1789">
            <v>46217</v>
          </cell>
          <cell r="D1789" t="str">
            <v>ADOLFO SR</v>
          </cell>
          <cell r="E1789">
            <v>4</v>
          </cell>
          <cell r="H1789" t="str">
            <v>SAFISCOR</v>
          </cell>
          <cell r="N1789">
            <v>1000</v>
          </cell>
          <cell r="Y1789">
            <v>46217</v>
          </cell>
          <cell r="Z1789">
            <v>2</v>
          </cell>
          <cell r="AA1789">
            <v>1000</v>
          </cell>
        </row>
        <row r="1790">
          <cell r="A1790">
            <v>46217</v>
          </cell>
          <cell r="D1790" t="str">
            <v>QUEEN CECILIA DOS</v>
          </cell>
          <cell r="E1790">
            <v>1</v>
          </cell>
          <cell r="H1790" t="str">
            <v>APLUS</v>
          </cell>
          <cell r="N1790">
            <v>1000</v>
          </cell>
          <cell r="Y1790">
            <v>46217</v>
          </cell>
          <cell r="Z1790">
            <v>1</v>
          </cell>
          <cell r="AA1790">
            <v>1000</v>
          </cell>
        </row>
        <row r="1791">
          <cell r="A1791">
            <v>46217</v>
          </cell>
          <cell r="D1791" t="str">
            <v>ADOLFO SR</v>
          </cell>
          <cell r="E1791">
            <v>4</v>
          </cell>
          <cell r="H1791" t="str">
            <v>SAFISCOR</v>
          </cell>
          <cell r="N1791">
            <v>1000</v>
          </cell>
          <cell r="Y1791">
            <v>46217</v>
          </cell>
          <cell r="Z1791">
            <v>2</v>
          </cell>
          <cell r="AA1791">
            <v>1000</v>
          </cell>
        </row>
        <row r="1792">
          <cell r="A1792">
            <v>46217</v>
          </cell>
          <cell r="D1792" t="str">
            <v>EMERALD STAR</v>
          </cell>
          <cell r="E1792">
            <v>4</v>
          </cell>
          <cell r="H1792" t="str">
            <v>SAFISCOR</v>
          </cell>
          <cell r="N1792">
            <v>1000</v>
          </cell>
          <cell r="Y1792">
            <v>46217</v>
          </cell>
          <cell r="Z1792">
            <v>2</v>
          </cell>
          <cell r="AA1792">
            <v>1000</v>
          </cell>
        </row>
        <row r="1793">
          <cell r="A1793">
            <v>46217</v>
          </cell>
          <cell r="D1793" t="str">
            <v>ADOLFO SR</v>
          </cell>
          <cell r="E1793">
            <v>4</v>
          </cell>
          <cell r="H1793" t="str">
            <v>LAPU-LAPU</v>
          </cell>
          <cell r="N1793">
            <v>1000</v>
          </cell>
          <cell r="Y1793">
            <v>46218</v>
          </cell>
          <cell r="Z1793">
            <v>2</v>
          </cell>
          <cell r="AA1793">
            <v>1000</v>
          </cell>
        </row>
        <row r="1794">
          <cell r="A1794">
            <v>46217</v>
          </cell>
          <cell r="D1794" t="str">
            <v>ADOLFO SR</v>
          </cell>
          <cell r="E1794">
            <v>4</v>
          </cell>
          <cell r="H1794" t="str">
            <v>SAFISCOR</v>
          </cell>
          <cell r="N1794">
            <v>500</v>
          </cell>
          <cell r="Y1794">
            <v>46217</v>
          </cell>
          <cell r="Z1794">
            <v>2</v>
          </cell>
          <cell r="AA1794">
            <v>500</v>
          </cell>
        </row>
        <row r="1795">
          <cell r="A1795">
            <v>46217</v>
          </cell>
          <cell r="D1795" t="str">
            <v>ADOLFO SR</v>
          </cell>
          <cell r="E1795">
            <v>4</v>
          </cell>
          <cell r="H1795" t="str">
            <v>SAFISCOR</v>
          </cell>
          <cell r="N1795">
            <v>500</v>
          </cell>
          <cell r="Y1795">
            <v>46217</v>
          </cell>
          <cell r="Z1795">
            <v>2</v>
          </cell>
          <cell r="AA1795">
            <v>500</v>
          </cell>
        </row>
        <row r="1796">
          <cell r="A1796">
            <v>46217</v>
          </cell>
          <cell r="D1796" t="str">
            <v>EMERALD STAR</v>
          </cell>
          <cell r="E1796">
            <v>4</v>
          </cell>
          <cell r="H1796" t="str">
            <v>GEO</v>
          </cell>
          <cell r="N1796">
            <v>1000</v>
          </cell>
          <cell r="Y1796">
            <v>46217</v>
          </cell>
          <cell r="Z1796">
            <v>2</v>
          </cell>
          <cell r="AA1796">
            <v>1000</v>
          </cell>
        </row>
        <row r="1797">
          <cell r="A1797">
            <v>46217</v>
          </cell>
          <cell r="D1797" t="str">
            <v>QUEEN CECILIA DOS</v>
          </cell>
          <cell r="E1797">
            <v>1</v>
          </cell>
          <cell r="H1797" t="str">
            <v>BADIE</v>
          </cell>
          <cell r="N1797">
            <v>1000</v>
          </cell>
          <cell r="Y1797">
            <v>46217</v>
          </cell>
          <cell r="Z1797">
            <v>2</v>
          </cell>
          <cell r="AA1797">
            <v>1000</v>
          </cell>
        </row>
        <row r="1798">
          <cell r="A1798">
            <v>46217</v>
          </cell>
          <cell r="D1798" t="str">
            <v>QUEEN CECILIA DOS</v>
          </cell>
          <cell r="E1798">
            <v>1</v>
          </cell>
          <cell r="H1798" t="str">
            <v>SAFISCOR</v>
          </cell>
          <cell r="N1798">
            <v>1000</v>
          </cell>
          <cell r="Y1798">
            <v>46217</v>
          </cell>
          <cell r="Z1798">
            <v>2</v>
          </cell>
          <cell r="AA1798">
            <v>1000</v>
          </cell>
        </row>
        <row r="1799">
          <cell r="A1799">
            <v>46217</v>
          </cell>
          <cell r="D1799" t="str">
            <v>EFG 8</v>
          </cell>
          <cell r="E1799">
            <v>2</v>
          </cell>
          <cell r="H1799" t="str">
            <v>SAFISCOR</v>
          </cell>
          <cell r="N1799">
            <v>1000</v>
          </cell>
          <cell r="Y1799">
            <v>46217</v>
          </cell>
          <cell r="Z1799">
            <v>2</v>
          </cell>
          <cell r="AA1799">
            <v>1000</v>
          </cell>
        </row>
        <row r="1800">
          <cell r="A1800">
            <v>46217</v>
          </cell>
          <cell r="D1800" t="str">
            <v>QUEEN CECILIA DOS</v>
          </cell>
          <cell r="E1800">
            <v>1</v>
          </cell>
          <cell r="H1800" t="str">
            <v>LAPU-LAPU</v>
          </cell>
          <cell r="N1800">
            <v>1000</v>
          </cell>
          <cell r="Y1800">
            <v>46217</v>
          </cell>
          <cell r="Z1800">
            <v>2</v>
          </cell>
          <cell r="AA1800">
            <v>1000</v>
          </cell>
        </row>
        <row r="1801">
          <cell r="A1801">
            <v>46217</v>
          </cell>
          <cell r="D1801" t="str">
            <v>QUEEN CECILIA DOS</v>
          </cell>
          <cell r="E1801">
            <v>1</v>
          </cell>
          <cell r="H1801" t="str">
            <v>SAFISCOR</v>
          </cell>
          <cell r="N1801">
            <v>1000</v>
          </cell>
          <cell r="Y1801">
            <v>46217</v>
          </cell>
          <cell r="Z1801">
            <v>2</v>
          </cell>
          <cell r="AA1801">
            <v>1000</v>
          </cell>
        </row>
        <row r="1802">
          <cell r="A1802">
            <v>46217</v>
          </cell>
          <cell r="D1802" t="str">
            <v>LADY OF PEACE</v>
          </cell>
          <cell r="E1802">
            <v>3</v>
          </cell>
          <cell r="H1802" t="str">
            <v>SAFISCOR</v>
          </cell>
          <cell r="N1802">
            <v>1000</v>
          </cell>
          <cell r="Y1802">
            <v>46217</v>
          </cell>
          <cell r="Z1802">
            <v>2</v>
          </cell>
          <cell r="AA1802">
            <v>1000</v>
          </cell>
        </row>
        <row r="1803">
          <cell r="A1803">
            <v>46217</v>
          </cell>
          <cell r="D1803" t="str">
            <v>QUEEN CECILIA DOS</v>
          </cell>
          <cell r="E1803">
            <v>1</v>
          </cell>
          <cell r="H1803" t="str">
            <v>SAFISCOR</v>
          </cell>
          <cell r="N1803">
            <v>500</v>
          </cell>
          <cell r="Y1803">
            <v>46218</v>
          </cell>
          <cell r="Z1803">
            <v>1</v>
          </cell>
          <cell r="AA1803">
            <v>500</v>
          </cell>
        </row>
        <row r="1804">
          <cell r="A1804">
            <v>46217</v>
          </cell>
          <cell r="D1804" t="str">
            <v>EMERALD STAR</v>
          </cell>
          <cell r="E1804">
            <v>4</v>
          </cell>
          <cell r="H1804" t="str">
            <v>SAFISCOR</v>
          </cell>
          <cell r="N1804">
            <v>500</v>
          </cell>
          <cell r="Y1804">
            <v>46217</v>
          </cell>
          <cell r="Z1804">
            <v>2</v>
          </cell>
          <cell r="AA1804">
            <v>500</v>
          </cell>
        </row>
        <row r="1805">
          <cell r="A1805">
            <v>46217</v>
          </cell>
          <cell r="D1805" t="str">
            <v>ADOLFO SR</v>
          </cell>
          <cell r="E1805">
            <v>4</v>
          </cell>
          <cell r="H1805" t="str">
            <v>SAFISCOR</v>
          </cell>
          <cell r="N1805">
            <v>1000</v>
          </cell>
          <cell r="Y1805">
            <v>46217</v>
          </cell>
          <cell r="Z1805">
            <v>2</v>
          </cell>
          <cell r="AA1805">
            <v>1000</v>
          </cell>
        </row>
        <row r="1806">
          <cell r="A1806">
            <v>46217</v>
          </cell>
          <cell r="D1806" t="str">
            <v>QUEEN CECILIA DOS</v>
          </cell>
          <cell r="E1806">
            <v>1</v>
          </cell>
          <cell r="H1806" t="str">
            <v>LAPU-LAPU</v>
          </cell>
          <cell r="N1806">
            <v>1000</v>
          </cell>
          <cell r="Y1806">
            <v>46217</v>
          </cell>
          <cell r="Z1806">
            <v>2</v>
          </cell>
          <cell r="AA1806">
            <v>1000</v>
          </cell>
        </row>
        <row r="1807">
          <cell r="A1807">
            <v>46217</v>
          </cell>
          <cell r="D1807" t="str">
            <v>QUEEN CECILIA DOS</v>
          </cell>
          <cell r="E1807">
            <v>1</v>
          </cell>
          <cell r="H1807" t="str">
            <v>SAFISCOR</v>
          </cell>
          <cell r="N1807">
            <v>1000</v>
          </cell>
          <cell r="Y1807">
            <v>46218</v>
          </cell>
          <cell r="Z1807">
            <v>1</v>
          </cell>
          <cell r="AA1807">
            <v>1000</v>
          </cell>
        </row>
        <row r="1808">
          <cell r="A1808">
            <v>46217</v>
          </cell>
          <cell r="D1808" t="str">
            <v>EMERALD STAR</v>
          </cell>
          <cell r="E1808">
            <v>4</v>
          </cell>
          <cell r="H1808" t="str">
            <v>SAFISCOR</v>
          </cell>
          <cell r="N1808">
            <v>1000</v>
          </cell>
          <cell r="Y1808">
            <v>46218</v>
          </cell>
          <cell r="Z1808">
            <v>1</v>
          </cell>
          <cell r="AA1808">
            <v>1000</v>
          </cell>
        </row>
        <row r="1809">
          <cell r="A1809">
            <v>46217</v>
          </cell>
          <cell r="D1809" t="str">
            <v>EMERALD STAR</v>
          </cell>
          <cell r="E1809">
            <v>4</v>
          </cell>
          <cell r="H1809" t="str">
            <v>SAFISCOR</v>
          </cell>
          <cell r="N1809">
            <v>1000</v>
          </cell>
          <cell r="Y1809">
            <v>46218</v>
          </cell>
          <cell r="Z1809">
            <v>1</v>
          </cell>
          <cell r="AA1809">
            <v>1000</v>
          </cell>
        </row>
        <row r="1810">
          <cell r="A1810">
            <v>46217</v>
          </cell>
          <cell r="D1810" t="str">
            <v>ADOLFO SR</v>
          </cell>
          <cell r="E1810">
            <v>4</v>
          </cell>
          <cell r="H1810" t="str">
            <v>SAFISCOR</v>
          </cell>
          <cell r="N1810">
            <v>1000</v>
          </cell>
          <cell r="Y1810">
            <v>46218</v>
          </cell>
          <cell r="Z1810">
            <v>1</v>
          </cell>
          <cell r="AA1810">
            <v>1000</v>
          </cell>
        </row>
        <row r="1811">
          <cell r="A1811">
            <v>46217</v>
          </cell>
          <cell r="D1811" t="str">
            <v>ADOLFO SR</v>
          </cell>
          <cell r="E1811">
            <v>4</v>
          </cell>
          <cell r="H1811" t="str">
            <v>SAFISCOR</v>
          </cell>
          <cell r="N1811">
            <v>1000</v>
          </cell>
          <cell r="Y1811">
            <v>46218</v>
          </cell>
          <cell r="Z1811">
            <v>2</v>
          </cell>
          <cell r="AA1811">
            <v>1000</v>
          </cell>
        </row>
        <row r="1812">
          <cell r="A1812">
            <v>46217</v>
          </cell>
          <cell r="D1812" t="str">
            <v>ADOLFO SR</v>
          </cell>
          <cell r="E1812">
            <v>4</v>
          </cell>
          <cell r="H1812" t="str">
            <v>LAPU-LAPU</v>
          </cell>
          <cell r="N1812">
            <v>1000</v>
          </cell>
          <cell r="Y1812">
            <v>46218</v>
          </cell>
          <cell r="Z1812">
            <v>1</v>
          </cell>
          <cell r="AA1812">
            <v>1000</v>
          </cell>
        </row>
        <row r="1813">
          <cell r="A1813">
            <v>46217</v>
          </cell>
          <cell r="D1813" t="str">
            <v>ADOLFO SR</v>
          </cell>
          <cell r="E1813">
            <v>4</v>
          </cell>
          <cell r="H1813" t="str">
            <v>SAFISCOR</v>
          </cell>
          <cell r="N1813">
            <v>1000</v>
          </cell>
          <cell r="Y1813">
            <v>46218</v>
          </cell>
          <cell r="Z1813">
            <v>1</v>
          </cell>
          <cell r="AA1813">
            <v>1000</v>
          </cell>
        </row>
        <row r="1814">
          <cell r="A1814">
            <v>46217</v>
          </cell>
          <cell r="D1814" t="str">
            <v>QUEEN CECILIA DOS</v>
          </cell>
          <cell r="E1814">
            <v>1</v>
          </cell>
          <cell r="H1814" t="str">
            <v>BADIE</v>
          </cell>
          <cell r="N1814">
            <v>1000</v>
          </cell>
          <cell r="Y1814">
            <v>46217</v>
          </cell>
          <cell r="Z1814">
            <v>2</v>
          </cell>
          <cell r="AA1814">
            <v>1000</v>
          </cell>
        </row>
        <row r="1815">
          <cell r="A1815">
            <v>46217</v>
          </cell>
          <cell r="D1815" t="str">
            <v>LADY OF PEACE</v>
          </cell>
          <cell r="E1815">
            <v>3</v>
          </cell>
          <cell r="H1815" t="str">
            <v>GEO</v>
          </cell>
          <cell r="N1815">
            <v>1000</v>
          </cell>
          <cell r="Y1815">
            <v>46217</v>
          </cell>
          <cell r="Z1815">
            <v>2</v>
          </cell>
          <cell r="AA1815">
            <v>1000</v>
          </cell>
        </row>
        <row r="1816">
          <cell r="A1816">
            <v>46217</v>
          </cell>
          <cell r="D1816" t="str">
            <v>ADOLFO SR</v>
          </cell>
          <cell r="E1816">
            <v>4</v>
          </cell>
          <cell r="H1816" t="str">
            <v>SAFISCOR</v>
          </cell>
          <cell r="N1816">
            <v>1000</v>
          </cell>
          <cell r="Y1816">
            <v>46218</v>
          </cell>
          <cell r="Z1816">
            <v>2</v>
          </cell>
          <cell r="AA1816">
            <v>1000</v>
          </cell>
        </row>
        <row r="1817">
          <cell r="A1817">
            <v>46217</v>
          </cell>
          <cell r="D1817" t="str">
            <v>QUEEN CECILIA DOS</v>
          </cell>
          <cell r="E1817">
            <v>1</v>
          </cell>
          <cell r="H1817" t="str">
            <v>SAFISCOR</v>
          </cell>
          <cell r="N1817">
            <v>1000</v>
          </cell>
          <cell r="Y1817">
            <v>46218</v>
          </cell>
          <cell r="Z1817">
            <v>1</v>
          </cell>
          <cell r="AA1817">
            <v>1000</v>
          </cell>
        </row>
        <row r="1818">
          <cell r="A1818">
            <v>46217</v>
          </cell>
          <cell r="D1818" t="str">
            <v>LADY OF PEACE</v>
          </cell>
          <cell r="E1818">
            <v>3</v>
          </cell>
          <cell r="H1818" t="str">
            <v>GEO</v>
          </cell>
          <cell r="N1818">
            <v>1000</v>
          </cell>
          <cell r="Y1818">
            <v>46217</v>
          </cell>
          <cell r="Z1818">
            <v>2</v>
          </cell>
          <cell r="AA1818">
            <v>1000</v>
          </cell>
        </row>
        <row r="1819">
          <cell r="A1819">
            <v>46217</v>
          </cell>
          <cell r="D1819" t="str">
            <v>EFG 8</v>
          </cell>
          <cell r="E1819">
            <v>2</v>
          </cell>
          <cell r="H1819" t="str">
            <v>SAFISCOR</v>
          </cell>
          <cell r="N1819">
            <v>500</v>
          </cell>
          <cell r="Y1819">
            <v>46218</v>
          </cell>
          <cell r="Z1819">
            <v>1</v>
          </cell>
          <cell r="AA1819">
            <v>500</v>
          </cell>
        </row>
        <row r="1820">
          <cell r="A1820">
            <v>46217</v>
          </cell>
          <cell r="D1820" t="str">
            <v>ADOLFO SR</v>
          </cell>
          <cell r="E1820">
            <v>4</v>
          </cell>
          <cell r="H1820" t="str">
            <v>SAFISCOR</v>
          </cell>
          <cell r="N1820">
            <v>500</v>
          </cell>
          <cell r="Y1820">
            <v>46218</v>
          </cell>
          <cell r="Z1820">
            <v>2</v>
          </cell>
          <cell r="AA1820">
            <v>500</v>
          </cell>
        </row>
        <row r="1821">
          <cell r="A1821">
            <v>46217</v>
          </cell>
          <cell r="D1821" t="str">
            <v>ADOLFO SR</v>
          </cell>
          <cell r="E1821">
            <v>4</v>
          </cell>
          <cell r="H1821" t="str">
            <v>SAFISCOR</v>
          </cell>
          <cell r="N1821">
            <v>1000</v>
          </cell>
          <cell r="Y1821">
            <v>46218</v>
          </cell>
          <cell r="Z1821">
            <v>2</v>
          </cell>
          <cell r="AA1821">
            <v>1000</v>
          </cell>
        </row>
        <row r="1822">
          <cell r="A1822">
            <v>46217</v>
          </cell>
          <cell r="D1822" t="str">
            <v>ADOLFO SR</v>
          </cell>
          <cell r="E1822">
            <v>4</v>
          </cell>
          <cell r="H1822" t="str">
            <v>SAFISCOR</v>
          </cell>
          <cell r="N1822">
            <v>1000</v>
          </cell>
          <cell r="Y1822">
            <v>46219</v>
          </cell>
          <cell r="Z1822">
            <v>1</v>
          </cell>
          <cell r="AA1822">
            <v>1000</v>
          </cell>
        </row>
        <row r="1823">
          <cell r="A1823">
            <v>46217</v>
          </cell>
          <cell r="D1823" t="str">
            <v>LADY OF PEACE</v>
          </cell>
          <cell r="E1823">
            <v>3</v>
          </cell>
          <cell r="H1823" t="str">
            <v>SAFISCOR</v>
          </cell>
          <cell r="N1823">
            <v>300</v>
          </cell>
          <cell r="Y1823">
            <v>46217</v>
          </cell>
          <cell r="Z1823">
            <v>2</v>
          </cell>
          <cell r="AA1823">
            <v>300</v>
          </cell>
        </row>
        <row r="1824">
          <cell r="A1824">
            <v>46217</v>
          </cell>
          <cell r="D1824" t="str">
            <v>LADY OF PEACE</v>
          </cell>
          <cell r="E1824">
            <v>3</v>
          </cell>
          <cell r="H1824" t="str">
            <v>SAFISCOR</v>
          </cell>
          <cell r="N1824">
            <v>1000</v>
          </cell>
          <cell r="Y1824">
            <v>46217</v>
          </cell>
          <cell r="Z1824">
            <v>2</v>
          </cell>
          <cell r="AA1824">
            <v>1000</v>
          </cell>
        </row>
        <row r="1825">
          <cell r="A1825">
            <v>46217</v>
          </cell>
          <cell r="D1825" t="str">
            <v>QUEEN CECILIA DOS</v>
          </cell>
          <cell r="E1825">
            <v>1</v>
          </cell>
          <cell r="H1825" t="str">
            <v>SAFISCOR</v>
          </cell>
          <cell r="N1825">
            <v>700</v>
          </cell>
          <cell r="Y1825">
            <v>46218</v>
          </cell>
          <cell r="Z1825">
            <v>1</v>
          </cell>
          <cell r="AA1825">
            <v>700</v>
          </cell>
        </row>
        <row r="1826">
          <cell r="A1826">
            <v>46218</v>
          </cell>
          <cell r="D1826" t="str">
            <v>ADOLFO SR</v>
          </cell>
          <cell r="E1826">
            <v>4</v>
          </cell>
          <cell r="H1826" t="str">
            <v>FULACHE</v>
          </cell>
          <cell r="N1826">
            <v>1000</v>
          </cell>
          <cell r="Y1826">
            <v>46218</v>
          </cell>
          <cell r="Z1826">
            <v>1</v>
          </cell>
          <cell r="AA1826">
            <v>1000</v>
          </cell>
        </row>
        <row r="1827">
          <cell r="A1827">
            <v>46218</v>
          </cell>
          <cell r="D1827" t="str">
            <v>ADOLFO SR</v>
          </cell>
          <cell r="E1827">
            <v>4</v>
          </cell>
          <cell r="H1827" t="str">
            <v>LAPU-LAPU</v>
          </cell>
          <cell r="N1827">
            <v>1000</v>
          </cell>
          <cell r="Y1827">
            <v>46218</v>
          </cell>
          <cell r="Z1827">
            <v>1</v>
          </cell>
          <cell r="AA1827">
            <v>1000</v>
          </cell>
        </row>
        <row r="1828">
          <cell r="A1828">
            <v>46218</v>
          </cell>
          <cell r="D1828" t="str">
            <v>ADOLFO SR</v>
          </cell>
          <cell r="E1828">
            <v>4</v>
          </cell>
          <cell r="H1828" t="str">
            <v>SAFISCOR</v>
          </cell>
          <cell r="N1828">
            <v>1000</v>
          </cell>
          <cell r="Y1828">
            <v>46218</v>
          </cell>
          <cell r="Z1828">
            <v>2</v>
          </cell>
          <cell r="AA1828">
            <v>1000</v>
          </cell>
        </row>
        <row r="1829">
          <cell r="A1829">
            <v>46218</v>
          </cell>
          <cell r="D1829" t="str">
            <v>ADOLFO SR</v>
          </cell>
          <cell r="E1829">
            <v>4</v>
          </cell>
          <cell r="H1829" t="str">
            <v>SAFISCOR</v>
          </cell>
          <cell r="N1829">
            <v>1000</v>
          </cell>
          <cell r="Y1829">
            <v>46219</v>
          </cell>
          <cell r="Z1829">
            <v>1</v>
          </cell>
          <cell r="AA1829">
            <v>1000</v>
          </cell>
        </row>
        <row r="1830">
          <cell r="A1830">
            <v>46218</v>
          </cell>
          <cell r="D1830" t="str">
            <v>ADOLFO SR</v>
          </cell>
          <cell r="E1830">
            <v>4</v>
          </cell>
          <cell r="H1830" t="str">
            <v>SAFISCOR</v>
          </cell>
          <cell r="N1830">
            <v>1000</v>
          </cell>
          <cell r="Y1830">
            <v>46219</v>
          </cell>
          <cell r="Z1830">
            <v>1</v>
          </cell>
          <cell r="AA1830">
            <v>1000</v>
          </cell>
        </row>
        <row r="1831">
          <cell r="A1831">
            <v>46218</v>
          </cell>
          <cell r="D1831" t="str">
            <v>ADOLFO SR</v>
          </cell>
          <cell r="E1831">
            <v>4</v>
          </cell>
          <cell r="H1831" t="str">
            <v>SAFISCOR</v>
          </cell>
          <cell r="N1831">
            <v>1000</v>
          </cell>
          <cell r="Y1831">
            <v>46219</v>
          </cell>
          <cell r="Z1831">
            <v>1</v>
          </cell>
          <cell r="AA1831">
            <v>1000</v>
          </cell>
        </row>
        <row r="1832">
          <cell r="A1832">
            <v>46218</v>
          </cell>
          <cell r="D1832" t="str">
            <v>LADY OF PEACE</v>
          </cell>
          <cell r="E1832">
            <v>3</v>
          </cell>
          <cell r="H1832" t="str">
            <v>GEO</v>
          </cell>
          <cell r="N1832">
            <v>1000</v>
          </cell>
          <cell r="Y1832">
            <v>46218</v>
          </cell>
          <cell r="Z1832">
            <v>2</v>
          </cell>
          <cell r="AA1832">
            <v>1000</v>
          </cell>
        </row>
        <row r="1833">
          <cell r="A1833">
            <v>46218</v>
          </cell>
          <cell r="D1833" t="str">
            <v>LADY OF PEACE</v>
          </cell>
          <cell r="E1833">
            <v>3</v>
          </cell>
          <cell r="H1833" t="str">
            <v>LAPU-LAPU</v>
          </cell>
          <cell r="N1833">
            <v>1000</v>
          </cell>
          <cell r="Y1833">
            <v>46218</v>
          </cell>
          <cell r="Z1833">
            <v>1</v>
          </cell>
          <cell r="AA1833">
            <v>1000</v>
          </cell>
        </row>
        <row r="1834">
          <cell r="A1834">
            <v>46218</v>
          </cell>
          <cell r="D1834" t="str">
            <v>INFINITY 8</v>
          </cell>
          <cell r="E1834">
            <v>2</v>
          </cell>
          <cell r="H1834" t="str">
            <v>SAFISCOR</v>
          </cell>
          <cell r="N1834">
            <v>1000</v>
          </cell>
          <cell r="Y1834">
            <v>46218</v>
          </cell>
          <cell r="Z1834">
            <v>1</v>
          </cell>
          <cell r="AA1834">
            <v>1000</v>
          </cell>
        </row>
        <row r="1835">
          <cell r="A1835">
            <v>46218</v>
          </cell>
          <cell r="D1835" t="str">
            <v>EFG 8</v>
          </cell>
          <cell r="E1835">
            <v>2</v>
          </cell>
          <cell r="H1835" t="str">
            <v>SAFISCOR</v>
          </cell>
          <cell r="N1835">
            <v>1000</v>
          </cell>
          <cell r="Y1835">
            <v>46218</v>
          </cell>
          <cell r="Z1835">
            <v>2</v>
          </cell>
          <cell r="AA1835">
            <v>1000</v>
          </cell>
        </row>
        <row r="1836">
          <cell r="A1836">
            <v>46218</v>
          </cell>
          <cell r="D1836" t="str">
            <v>EFG 8</v>
          </cell>
          <cell r="E1836">
            <v>2</v>
          </cell>
          <cell r="H1836" t="str">
            <v>BADIE</v>
          </cell>
          <cell r="N1836">
            <v>1000</v>
          </cell>
          <cell r="Y1836">
            <v>46218</v>
          </cell>
          <cell r="Z1836">
            <v>1</v>
          </cell>
          <cell r="AA1836">
            <v>1000</v>
          </cell>
        </row>
        <row r="1837">
          <cell r="A1837">
            <v>46218</v>
          </cell>
          <cell r="D1837" t="str">
            <v>EFG 8</v>
          </cell>
          <cell r="E1837">
            <v>2</v>
          </cell>
          <cell r="H1837" t="str">
            <v>FULACHE</v>
          </cell>
          <cell r="N1837">
            <v>1000</v>
          </cell>
          <cell r="Y1837">
            <v>46218</v>
          </cell>
          <cell r="Z1837">
            <v>1</v>
          </cell>
          <cell r="AA1837">
            <v>1000</v>
          </cell>
        </row>
        <row r="1838">
          <cell r="A1838">
            <v>46218</v>
          </cell>
          <cell r="D1838" t="str">
            <v>INFINITY 8</v>
          </cell>
          <cell r="E1838">
            <v>2</v>
          </cell>
          <cell r="H1838" t="str">
            <v>LAPU-LAPU</v>
          </cell>
          <cell r="N1838">
            <v>1000</v>
          </cell>
          <cell r="Y1838">
            <v>46218</v>
          </cell>
          <cell r="Z1838">
            <v>1</v>
          </cell>
          <cell r="AA1838">
            <v>1000</v>
          </cell>
        </row>
        <row r="1839">
          <cell r="A1839">
            <v>46218</v>
          </cell>
          <cell r="D1839" t="str">
            <v>LADY OF PEACE</v>
          </cell>
          <cell r="E1839">
            <v>3</v>
          </cell>
          <cell r="H1839" t="str">
            <v>GEO</v>
          </cell>
          <cell r="N1839">
            <v>1000</v>
          </cell>
          <cell r="Y1839">
            <v>46218</v>
          </cell>
          <cell r="Z1839">
            <v>1</v>
          </cell>
          <cell r="AA1839">
            <v>1000</v>
          </cell>
        </row>
        <row r="1840">
          <cell r="A1840">
            <v>46218</v>
          </cell>
          <cell r="D1840" t="str">
            <v>EFG 8</v>
          </cell>
          <cell r="E1840">
            <v>2</v>
          </cell>
          <cell r="H1840" t="str">
            <v>LAPU-LAPU</v>
          </cell>
          <cell r="N1840">
            <v>1000</v>
          </cell>
          <cell r="Y1840">
            <v>46218</v>
          </cell>
          <cell r="Z1840">
            <v>1</v>
          </cell>
          <cell r="AA1840">
            <v>1000</v>
          </cell>
        </row>
        <row r="1841">
          <cell r="A1841">
            <v>46218</v>
          </cell>
          <cell r="D1841" t="str">
            <v>LADY OF PEACE</v>
          </cell>
          <cell r="E1841">
            <v>3</v>
          </cell>
          <cell r="H1841" t="str">
            <v>BADIE</v>
          </cell>
          <cell r="N1841">
            <v>1000</v>
          </cell>
          <cell r="Y1841">
            <v>46218</v>
          </cell>
          <cell r="Z1841">
            <v>2</v>
          </cell>
          <cell r="AA1841">
            <v>1000</v>
          </cell>
        </row>
        <row r="1842">
          <cell r="A1842">
            <v>46218</v>
          </cell>
          <cell r="D1842" t="str">
            <v>J ANDI</v>
          </cell>
          <cell r="E1842">
            <v>1</v>
          </cell>
          <cell r="H1842" t="str">
            <v>SAFISCOR</v>
          </cell>
          <cell r="N1842">
            <v>1000</v>
          </cell>
          <cell r="Y1842">
            <v>46218</v>
          </cell>
          <cell r="Z1842">
            <v>2</v>
          </cell>
          <cell r="AA1842">
            <v>1000</v>
          </cell>
        </row>
        <row r="1843">
          <cell r="A1843">
            <v>46218</v>
          </cell>
          <cell r="D1843" t="str">
            <v>EFG 8</v>
          </cell>
          <cell r="E1843">
            <v>2</v>
          </cell>
          <cell r="H1843" t="str">
            <v>SAFISCOR</v>
          </cell>
          <cell r="N1843">
            <v>1000</v>
          </cell>
          <cell r="Y1843">
            <v>46218</v>
          </cell>
          <cell r="Z1843">
            <v>2</v>
          </cell>
          <cell r="AA1843">
            <v>1000</v>
          </cell>
        </row>
        <row r="1844">
          <cell r="A1844">
            <v>46218</v>
          </cell>
          <cell r="D1844" t="str">
            <v>EFG 8</v>
          </cell>
          <cell r="E1844">
            <v>2</v>
          </cell>
          <cell r="H1844" t="str">
            <v>SAFISCOR</v>
          </cell>
          <cell r="N1844">
            <v>1000</v>
          </cell>
          <cell r="Y1844">
            <v>46218</v>
          </cell>
          <cell r="Z1844">
            <v>2</v>
          </cell>
          <cell r="AA1844">
            <v>1000</v>
          </cell>
        </row>
        <row r="1845">
          <cell r="A1845">
            <v>46218</v>
          </cell>
          <cell r="D1845" t="str">
            <v>EFG 8</v>
          </cell>
          <cell r="E1845">
            <v>2</v>
          </cell>
          <cell r="H1845" t="str">
            <v>UCES</v>
          </cell>
          <cell r="N1845">
            <v>1000</v>
          </cell>
          <cell r="Y1845">
            <v>46218</v>
          </cell>
          <cell r="Z1845">
            <v>2</v>
          </cell>
          <cell r="AA1845">
            <v>1000</v>
          </cell>
        </row>
        <row r="1846">
          <cell r="A1846">
            <v>46218</v>
          </cell>
          <cell r="D1846" t="str">
            <v>LADY OF PEACE</v>
          </cell>
          <cell r="E1846">
            <v>3</v>
          </cell>
          <cell r="H1846" t="str">
            <v>LAPU-LAPU</v>
          </cell>
          <cell r="N1846">
            <v>1000</v>
          </cell>
          <cell r="Y1846">
            <v>46218</v>
          </cell>
          <cell r="Z1846">
            <v>2</v>
          </cell>
          <cell r="AA1846">
            <v>1000</v>
          </cell>
        </row>
        <row r="1847">
          <cell r="A1847">
            <v>46218</v>
          </cell>
          <cell r="D1847" t="str">
            <v>LADY OF PEACE</v>
          </cell>
          <cell r="E1847">
            <v>3</v>
          </cell>
          <cell r="H1847" t="str">
            <v>SAFISCOR</v>
          </cell>
          <cell r="N1847">
            <v>500</v>
          </cell>
          <cell r="Y1847">
            <v>46218</v>
          </cell>
          <cell r="Z1847">
            <v>2</v>
          </cell>
          <cell r="AA1847">
            <v>500</v>
          </cell>
        </row>
        <row r="1848">
          <cell r="A1848">
            <v>46218</v>
          </cell>
          <cell r="D1848" t="str">
            <v>EFG 8</v>
          </cell>
          <cell r="E1848">
            <v>2</v>
          </cell>
          <cell r="H1848" t="str">
            <v>SAFISCOR</v>
          </cell>
          <cell r="N1848">
            <v>500</v>
          </cell>
          <cell r="Y1848">
            <v>46218</v>
          </cell>
          <cell r="Z1848">
            <v>2</v>
          </cell>
          <cell r="AA1848">
            <v>500</v>
          </cell>
        </row>
        <row r="1849">
          <cell r="A1849">
            <v>46218</v>
          </cell>
          <cell r="D1849" t="str">
            <v>INFINITY 8</v>
          </cell>
          <cell r="E1849">
            <v>2</v>
          </cell>
          <cell r="H1849" t="str">
            <v>SAFISCOR</v>
          </cell>
          <cell r="N1849">
            <v>1000</v>
          </cell>
          <cell r="Y1849">
            <v>46218</v>
          </cell>
          <cell r="Z1849">
            <v>2</v>
          </cell>
          <cell r="AA1849">
            <v>1000</v>
          </cell>
        </row>
        <row r="1850">
          <cell r="A1850">
            <v>46218</v>
          </cell>
          <cell r="D1850" t="str">
            <v>LADY OF PEACE</v>
          </cell>
          <cell r="E1850">
            <v>3</v>
          </cell>
          <cell r="H1850" t="str">
            <v>SAFISCOR</v>
          </cell>
          <cell r="N1850">
            <v>1000</v>
          </cell>
          <cell r="Y1850">
            <v>46218</v>
          </cell>
          <cell r="Z1850">
            <v>2</v>
          </cell>
          <cell r="AA1850">
            <v>1000</v>
          </cell>
        </row>
        <row r="1851">
          <cell r="A1851">
            <v>46218</v>
          </cell>
          <cell r="D1851" t="str">
            <v>LADY OF PEACE</v>
          </cell>
          <cell r="E1851">
            <v>3</v>
          </cell>
          <cell r="H1851" t="str">
            <v>SAFISCOR</v>
          </cell>
          <cell r="N1851">
            <v>1000</v>
          </cell>
          <cell r="Y1851">
            <v>46218</v>
          </cell>
          <cell r="Z1851">
            <v>2</v>
          </cell>
          <cell r="AA1851">
            <v>1000</v>
          </cell>
        </row>
        <row r="1852">
          <cell r="A1852">
            <v>46218</v>
          </cell>
          <cell r="D1852" t="str">
            <v>J ANDI</v>
          </cell>
          <cell r="E1852">
            <v>1</v>
          </cell>
          <cell r="H1852" t="str">
            <v>LAPU-LAPU</v>
          </cell>
          <cell r="N1852">
            <v>1000</v>
          </cell>
          <cell r="Y1852">
            <v>46218</v>
          </cell>
          <cell r="Z1852">
            <v>2</v>
          </cell>
          <cell r="AA1852">
            <v>1000</v>
          </cell>
        </row>
        <row r="1853">
          <cell r="A1853">
            <v>46218</v>
          </cell>
          <cell r="D1853" t="str">
            <v>INFINITY 8</v>
          </cell>
          <cell r="E1853">
            <v>2</v>
          </cell>
          <cell r="H1853" t="str">
            <v>SAFISCOR</v>
          </cell>
          <cell r="N1853">
            <v>1000</v>
          </cell>
          <cell r="Y1853">
            <v>46218</v>
          </cell>
          <cell r="Z1853">
            <v>2</v>
          </cell>
          <cell r="AA1853">
            <v>1000</v>
          </cell>
        </row>
        <row r="1854">
          <cell r="A1854">
            <v>46218</v>
          </cell>
          <cell r="D1854" t="str">
            <v>INFINITY 8</v>
          </cell>
          <cell r="E1854">
            <v>2</v>
          </cell>
          <cell r="H1854" t="str">
            <v>LAPU-LAPU</v>
          </cell>
          <cell r="N1854">
            <v>1000</v>
          </cell>
          <cell r="Y1854">
            <v>46218</v>
          </cell>
          <cell r="Z1854">
            <v>2</v>
          </cell>
          <cell r="AA1854">
            <v>1000</v>
          </cell>
        </row>
        <row r="1855">
          <cell r="A1855">
            <v>46218</v>
          </cell>
          <cell r="D1855" t="str">
            <v>J ANDI</v>
          </cell>
          <cell r="E1855">
            <v>1</v>
          </cell>
          <cell r="H1855" t="str">
            <v>SAFISCOR</v>
          </cell>
          <cell r="N1855">
            <v>1000</v>
          </cell>
          <cell r="Y1855">
            <v>46218</v>
          </cell>
          <cell r="Z1855">
            <v>2</v>
          </cell>
          <cell r="AA1855">
            <v>1000</v>
          </cell>
        </row>
        <row r="1856">
          <cell r="A1856">
            <v>46218</v>
          </cell>
          <cell r="D1856" t="str">
            <v>LADY OF PEACE</v>
          </cell>
          <cell r="E1856">
            <v>3</v>
          </cell>
          <cell r="H1856" t="str">
            <v>LAPU-LAPU</v>
          </cell>
          <cell r="N1856">
            <v>1000</v>
          </cell>
          <cell r="Y1856">
            <v>46218</v>
          </cell>
          <cell r="Z1856">
            <v>2</v>
          </cell>
          <cell r="AA1856">
            <v>1000</v>
          </cell>
        </row>
        <row r="1857">
          <cell r="A1857">
            <v>46218</v>
          </cell>
          <cell r="D1857" t="str">
            <v>INFINITY 8</v>
          </cell>
          <cell r="E1857">
            <v>2</v>
          </cell>
          <cell r="H1857" t="str">
            <v>SAFISCOR</v>
          </cell>
          <cell r="N1857">
            <v>1000</v>
          </cell>
          <cell r="Y1857">
            <v>46218</v>
          </cell>
          <cell r="Z1857">
            <v>2</v>
          </cell>
          <cell r="AA1857">
            <v>1000</v>
          </cell>
        </row>
        <row r="1858">
          <cell r="A1858">
            <v>46218</v>
          </cell>
          <cell r="D1858" t="str">
            <v>INFINITY 8</v>
          </cell>
          <cell r="E1858">
            <v>2</v>
          </cell>
          <cell r="H1858" t="str">
            <v>SAFISCOR</v>
          </cell>
          <cell r="N1858">
            <v>1000</v>
          </cell>
          <cell r="Y1858">
            <v>46218</v>
          </cell>
          <cell r="Z1858">
            <v>2</v>
          </cell>
          <cell r="AA1858">
            <v>1000</v>
          </cell>
        </row>
        <row r="1859">
          <cell r="A1859">
            <v>46218</v>
          </cell>
          <cell r="D1859" t="str">
            <v>J ANDI</v>
          </cell>
          <cell r="E1859">
            <v>1</v>
          </cell>
          <cell r="H1859" t="str">
            <v>GEO</v>
          </cell>
          <cell r="N1859">
            <v>1000</v>
          </cell>
          <cell r="Y1859">
            <v>46218</v>
          </cell>
          <cell r="Z1859">
            <v>2</v>
          </cell>
          <cell r="AA1859">
            <v>1000</v>
          </cell>
        </row>
        <row r="1860">
          <cell r="A1860">
            <v>46218</v>
          </cell>
          <cell r="D1860" t="str">
            <v>LADY OF PEACE</v>
          </cell>
          <cell r="E1860">
            <v>3</v>
          </cell>
          <cell r="H1860" t="str">
            <v>SAFISCOR</v>
          </cell>
          <cell r="N1860">
            <v>1000</v>
          </cell>
          <cell r="Y1860">
            <v>46218</v>
          </cell>
          <cell r="Z1860">
            <v>2</v>
          </cell>
          <cell r="AA1860">
            <v>1000</v>
          </cell>
        </row>
        <row r="1861">
          <cell r="A1861">
            <v>46218</v>
          </cell>
          <cell r="D1861" t="str">
            <v>LADY OF PEACE</v>
          </cell>
          <cell r="E1861">
            <v>3</v>
          </cell>
          <cell r="H1861" t="str">
            <v>BADIE</v>
          </cell>
          <cell r="N1861">
            <v>1000</v>
          </cell>
          <cell r="Y1861">
            <v>46218</v>
          </cell>
          <cell r="Z1861">
            <v>2</v>
          </cell>
          <cell r="AA1861">
            <v>1000</v>
          </cell>
        </row>
        <row r="1862">
          <cell r="A1862">
            <v>46218</v>
          </cell>
          <cell r="D1862" t="str">
            <v>LADY OF PEACE</v>
          </cell>
          <cell r="E1862">
            <v>3</v>
          </cell>
          <cell r="H1862" t="str">
            <v>SAFISCOR</v>
          </cell>
          <cell r="N1862">
            <v>1000</v>
          </cell>
          <cell r="Y1862">
            <v>46218</v>
          </cell>
          <cell r="Z1862">
            <v>2</v>
          </cell>
          <cell r="AA1862">
            <v>1000</v>
          </cell>
        </row>
        <row r="1863">
          <cell r="A1863">
            <v>46218</v>
          </cell>
          <cell r="D1863" t="str">
            <v>LADY OF PEACE</v>
          </cell>
          <cell r="E1863">
            <v>3</v>
          </cell>
          <cell r="H1863" t="str">
            <v>SAFISCOR</v>
          </cell>
          <cell r="N1863">
            <v>1000</v>
          </cell>
          <cell r="Y1863">
            <v>46218</v>
          </cell>
          <cell r="Z1863">
            <v>2</v>
          </cell>
          <cell r="AA1863">
            <v>1000</v>
          </cell>
        </row>
        <row r="1864">
          <cell r="A1864">
            <v>46218</v>
          </cell>
          <cell r="D1864" t="str">
            <v>INFINITY 8</v>
          </cell>
          <cell r="E1864">
            <v>2</v>
          </cell>
          <cell r="H1864" t="str">
            <v>UCES</v>
          </cell>
          <cell r="N1864">
            <v>1000</v>
          </cell>
          <cell r="Y1864">
            <v>46219</v>
          </cell>
          <cell r="Z1864">
            <v>1</v>
          </cell>
          <cell r="AA1864">
            <v>1000</v>
          </cell>
        </row>
        <row r="1865">
          <cell r="A1865">
            <v>46218</v>
          </cell>
          <cell r="D1865" t="str">
            <v>LADY OF PEACE</v>
          </cell>
          <cell r="E1865">
            <v>3</v>
          </cell>
          <cell r="H1865" t="str">
            <v>SAFISCOR</v>
          </cell>
          <cell r="N1865">
            <v>1000</v>
          </cell>
          <cell r="Y1865">
            <v>46218</v>
          </cell>
          <cell r="Z1865">
            <v>2</v>
          </cell>
          <cell r="AA1865">
            <v>1000</v>
          </cell>
        </row>
        <row r="1866">
          <cell r="A1866">
            <v>46218</v>
          </cell>
          <cell r="D1866" t="str">
            <v>INFINITY 8</v>
          </cell>
          <cell r="E1866">
            <v>2</v>
          </cell>
          <cell r="H1866" t="str">
            <v>LAPU-LAPU</v>
          </cell>
          <cell r="N1866">
            <v>800</v>
          </cell>
          <cell r="Y1866">
            <v>46218</v>
          </cell>
          <cell r="Z1866">
            <v>2</v>
          </cell>
          <cell r="AA1866">
            <v>800</v>
          </cell>
        </row>
        <row r="1867">
          <cell r="A1867">
            <v>46218</v>
          </cell>
          <cell r="D1867" t="str">
            <v>LADY OF PEACE</v>
          </cell>
          <cell r="E1867">
            <v>3</v>
          </cell>
          <cell r="H1867" t="str">
            <v>LAPU-LAPU</v>
          </cell>
          <cell r="N1867">
            <v>200</v>
          </cell>
          <cell r="Y1867">
            <v>46218</v>
          </cell>
          <cell r="Z1867">
            <v>2</v>
          </cell>
          <cell r="AA1867">
            <v>200</v>
          </cell>
        </row>
        <row r="1868">
          <cell r="A1868">
            <v>46218</v>
          </cell>
          <cell r="D1868" t="str">
            <v>LADY OF PEACE</v>
          </cell>
          <cell r="E1868">
            <v>3</v>
          </cell>
          <cell r="H1868" t="str">
            <v>SAFISCOR</v>
          </cell>
          <cell r="N1868">
            <v>1000</v>
          </cell>
          <cell r="Y1868">
            <v>46218</v>
          </cell>
          <cell r="Z1868">
            <v>2</v>
          </cell>
          <cell r="AA1868">
            <v>1000</v>
          </cell>
        </row>
        <row r="1869">
          <cell r="A1869">
            <v>46218</v>
          </cell>
          <cell r="D1869" t="str">
            <v>LADY OF PEACE</v>
          </cell>
          <cell r="E1869">
            <v>3</v>
          </cell>
          <cell r="H1869" t="str">
            <v>SAFISCOR</v>
          </cell>
          <cell r="N1869">
            <v>1000</v>
          </cell>
          <cell r="Y1869">
            <v>46218</v>
          </cell>
          <cell r="Z1869">
            <v>2</v>
          </cell>
          <cell r="AA1869">
            <v>1000</v>
          </cell>
        </row>
        <row r="1870">
          <cell r="A1870">
            <v>46218</v>
          </cell>
          <cell r="D1870" t="str">
            <v>ADOLFO SR</v>
          </cell>
          <cell r="E1870">
            <v>4</v>
          </cell>
          <cell r="H1870" t="str">
            <v>SAFISCOR</v>
          </cell>
          <cell r="N1870">
            <v>1000</v>
          </cell>
          <cell r="Y1870">
            <v>46218</v>
          </cell>
          <cell r="Z1870">
            <v>2</v>
          </cell>
          <cell r="AA1870">
            <v>1000</v>
          </cell>
        </row>
        <row r="1871">
          <cell r="A1871">
            <v>46218</v>
          </cell>
          <cell r="D1871" t="str">
            <v>ADOLFO SR</v>
          </cell>
          <cell r="E1871">
            <v>4</v>
          </cell>
          <cell r="H1871" t="str">
            <v>SAFISCOR</v>
          </cell>
          <cell r="N1871">
            <v>1000</v>
          </cell>
          <cell r="Y1871">
            <v>46218</v>
          </cell>
          <cell r="Z1871">
            <v>2</v>
          </cell>
          <cell r="AA1871">
            <v>1000</v>
          </cell>
        </row>
        <row r="1872">
          <cell r="A1872">
            <v>46218</v>
          </cell>
          <cell r="D1872" t="str">
            <v>ADOLFO SR</v>
          </cell>
          <cell r="E1872">
            <v>4</v>
          </cell>
          <cell r="H1872" t="str">
            <v>SAFISCOR</v>
          </cell>
          <cell r="N1872">
            <v>800</v>
          </cell>
          <cell r="Y1872">
            <v>46219</v>
          </cell>
          <cell r="Z1872">
            <v>1</v>
          </cell>
          <cell r="AA1872">
            <v>800</v>
          </cell>
        </row>
        <row r="1873">
          <cell r="A1873">
            <v>46219</v>
          </cell>
          <cell r="D1873" t="str">
            <v>J ANDI</v>
          </cell>
          <cell r="E1873">
            <v>1</v>
          </cell>
          <cell r="H1873" t="str">
            <v>LAPU-LAPU</v>
          </cell>
          <cell r="N1873">
            <v>1000</v>
          </cell>
          <cell r="Y1873">
            <v>46219</v>
          </cell>
          <cell r="Z1873">
            <v>1</v>
          </cell>
          <cell r="AA1873">
            <v>1000</v>
          </cell>
        </row>
        <row r="1874">
          <cell r="A1874">
            <v>46219</v>
          </cell>
          <cell r="D1874" t="str">
            <v>J ANDI</v>
          </cell>
          <cell r="E1874">
            <v>1</v>
          </cell>
          <cell r="H1874" t="str">
            <v>FULACHE</v>
          </cell>
          <cell r="N1874">
            <v>1000</v>
          </cell>
          <cell r="Y1874">
            <v>46219</v>
          </cell>
          <cell r="Z1874">
            <v>1</v>
          </cell>
          <cell r="AA1874">
            <v>1000</v>
          </cell>
        </row>
        <row r="1875">
          <cell r="A1875">
            <v>46219</v>
          </cell>
          <cell r="D1875" t="str">
            <v>INFINITY 8</v>
          </cell>
          <cell r="E1875">
            <v>2</v>
          </cell>
          <cell r="H1875" t="str">
            <v>LAPU-LAPU</v>
          </cell>
          <cell r="N1875">
            <v>1000</v>
          </cell>
          <cell r="Y1875">
            <v>46219</v>
          </cell>
          <cell r="Z1875">
            <v>1</v>
          </cell>
          <cell r="AA1875">
            <v>1000</v>
          </cell>
        </row>
        <row r="1876">
          <cell r="A1876">
            <v>46219</v>
          </cell>
          <cell r="D1876" t="str">
            <v>INFINITY 8</v>
          </cell>
          <cell r="E1876">
            <v>2</v>
          </cell>
          <cell r="H1876" t="str">
            <v>APLUS</v>
          </cell>
          <cell r="N1876">
            <v>1000</v>
          </cell>
          <cell r="Y1876">
            <v>46219</v>
          </cell>
          <cell r="Z1876">
            <v>1</v>
          </cell>
          <cell r="AA1876">
            <v>1000</v>
          </cell>
        </row>
        <row r="1877">
          <cell r="A1877">
            <v>46219</v>
          </cell>
          <cell r="D1877" t="str">
            <v>EASTERN CEBU</v>
          </cell>
          <cell r="E1877">
            <v>4</v>
          </cell>
          <cell r="H1877" t="str">
            <v>SAFISCOR</v>
          </cell>
          <cell r="N1877">
            <v>1000</v>
          </cell>
          <cell r="Y1877">
            <v>46219</v>
          </cell>
          <cell r="Z1877">
            <v>2</v>
          </cell>
          <cell r="AA1877">
            <v>1000</v>
          </cell>
        </row>
        <row r="1878">
          <cell r="A1878">
            <v>46219</v>
          </cell>
          <cell r="D1878" t="str">
            <v>EASTERN CEBU</v>
          </cell>
          <cell r="E1878">
            <v>4</v>
          </cell>
          <cell r="H1878" t="str">
            <v>SAFISCOR</v>
          </cell>
          <cell r="N1878">
            <v>1000</v>
          </cell>
          <cell r="Y1878">
            <v>46219</v>
          </cell>
          <cell r="Z1878">
            <v>2</v>
          </cell>
          <cell r="AA1878">
            <v>1000</v>
          </cell>
        </row>
        <row r="1879">
          <cell r="A1879">
            <v>46219</v>
          </cell>
          <cell r="D1879" t="str">
            <v>EASTERN CEBU</v>
          </cell>
          <cell r="E1879">
            <v>4</v>
          </cell>
          <cell r="H1879" t="str">
            <v>UCES</v>
          </cell>
          <cell r="N1879">
            <v>1000</v>
          </cell>
          <cell r="Y1879">
            <v>46219</v>
          </cell>
          <cell r="Z1879">
            <v>1</v>
          </cell>
          <cell r="AA1879">
            <v>1000</v>
          </cell>
        </row>
        <row r="1880">
          <cell r="A1880">
            <v>46219</v>
          </cell>
          <cell r="D1880" t="str">
            <v>EASTERN CEBU</v>
          </cell>
          <cell r="E1880">
            <v>4</v>
          </cell>
          <cell r="H1880" t="str">
            <v>GEO</v>
          </cell>
          <cell r="N1880">
            <v>1000</v>
          </cell>
          <cell r="Y1880">
            <v>46219</v>
          </cell>
          <cell r="Z1880">
            <v>1</v>
          </cell>
          <cell r="AA1880">
            <v>1000</v>
          </cell>
        </row>
        <row r="1881">
          <cell r="A1881">
            <v>46219</v>
          </cell>
          <cell r="D1881" t="str">
            <v>EASTERN CEBU</v>
          </cell>
          <cell r="E1881">
            <v>4</v>
          </cell>
          <cell r="H1881" t="str">
            <v>BADIE</v>
          </cell>
          <cell r="N1881">
            <v>1000</v>
          </cell>
          <cell r="Y1881">
            <v>46219</v>
          </cell>
          <cell r="Z1881">
            <v>1</v>
          </cell>
          <cell r="AA1881">
            <v>1000</v>
          </cell>
        </row>
        <row r="1882">
          <cell r="A1882">
            <v>46219</v>
          </cell>
          <cell r="D1882" t="str">
            <v>EASTERN CEBU</v>
          </cell>
          <cell r="E1882">
            <v>4</v>
          </cell>
          <cell r="H1882" t="str">
            <v>APLUS</v>
          </cell>
          <cell r="N1882">
            <v>1000</v>
          </cell>
          <cell r="Y1882">
            <v>46219</v>
          </cell>
          <cell r="Z1882">
            <v>1</v>
          </cell>
          <cell r="AA1882">
            <v>1000</v>
          </cell>
        </row>
        <row r="1883">
          <cell r="A1883">
            <v>46219</v>
          </cell>
          <cell r="D1883" t="str">
            <v>EASTERN CEBU</v>
          </cell>
          <cell r="E1883">
            <v>4</v>
          </cell>
          <cell r="H1883" t="str">
            <v>SAFISCOR</v>
          </cell>
          <cell r="N1883">
            <v>1000</v>
          </cell>
          <cell r="Y1883">
            <v>46219</v>
          </cell>
          <cell r="Z1883">
            <v>1</v>
          </cell>
          <cell r="AA1883">
            <v>1000</v>
          </cell>
        </row>
        <row r="1885">
          <cell r="A1885">
            <v>46219</v>
          </cell>
          <cell r="D1885" t="str">
            <v>EASTERN CEBU</v>
          </cell>
          <cell r="E1885">
            <v>4</v>
          </cell>
          <cell r="H1885" t="str">
            <v>SAFISCOR</v>
          </cell>
          <cell r="N1885">
            <v>1000</v>
          </cell>
          <cell r="Y1885">
            <v>46219</v>
          </cell>
          <cell r="Z1885">
            <v>2</v>
          </cell>
          <cell r="AA1885">
            <v>1000</v>
          </cell>
        </row>
        <row r="1886">
          <cell r="A1886">
            <v>46219</v>
          </cell>
          <cell r="D1886" t="str">
            <v>EASTERN CEBU</v>
          </cell>
          <cell r="E1886">
            <v>4</v>
          </cell>
          <cell r="H1886" t="str">
            <v>SAFISCOR</v>
          </cell>
          <cell r="N1886">
            <v>1000</v>
          </cell>
          <cell r="Y1886">
            <v>46219</v>
          </cell>
          <cell r="Z1886">
            <v>2</v>
          </cell>
          <cell r="AA1886">
            <v>1000</v>
          </cell>
        </row>
        <row r="1887">
          <cell r="A1887">
            <v>46219</v>
          </cell>
          <cell r="D1887" t="str">
            <v>EASTERN CEBU</v>
          </cell>
          <cell r="E1887">
            <v>4</v>
          </cell>
          <cell r="H1887" t="str">
            <v>SAFISCOR</v>
          </cell>
          <cell r="N1887">
            <v>500</v>
          </cell>
          <cell r="Y1887">
            <v>46219</v>
          </cell>
          <cell r="Z1887">
            <v>2</v>
          </cell>
          <cell r="AA1887">
            <v>500</v>
          </cell>
        </row>
        <row r="1888">
          <cell r="A1888">
            <v>46219</v>
          </cell>
          <cell r="D1888" t="str">
            <v>EASTERN CEBU</v>
          </cell>
          <cell r="E1888">
            <v>4</v>
          </cell>
          <cell r="H1888" t="str">
            <v>SAFISCOR</v>
          </cell>
          <cell r="N1888">
            <v>500</v>
          </cell>
          <cell r="Y1888">
            <v>46219</v>
          </cell>
          <cell r="Z1888">
            <v>2</v>
          </cell>
          <cell r="AA1888">
            <v>500</v>
          </cell>
        </row>
        <row r="1889">
          <cell r="A1889">
            <v>46219</v>
          </cell>
          <cell r="D1889" t="str">
            <v>INFINITY 8</v>
          </cell>
          <cell r="E1889">
            <v>2</v>
          </cell>
          <cell r="H1889" t="str">
            <v>SAFISCOR</v>
          </cell>
          <cell r="N1889">
            <v>1000</v>
          </cell>
          <cell r="Y1889">
            <v>46219</v>
          </cell>
          <cell r="Z1889">
            <v>1</v>
          </cell>
          <cell r="AA1889">
            <v>1000</v>
          </cell>
        </row>
        <row r="1890">
          <cell r="A1890">
            <v>46219</v>
          </cell>
          <cell r="D1890" t="str">
            <v>EASTERN CEBU</v>
          </cell>
          <cell r="E1890">
            <v>4</v>
          </cell>
          <cell r="H1890" t="str">
            <v>SAFISCOR</v>
          </cell>
          <cell r="N1890">
            <v>1000</v>
          </cell>
          <cell r="Y1890">
            <v>46219</v>
          </cell>
          <cell r="Z1890">
            <v>2</v>
          </cell>
          <cell r="AA1890">
            <v>1000</v>
          </cell>
        </row>
        <row r="1891">
          <cell r="A1891">
            <v>46219</v>
          </cell>
          <cell r="D1891" t="str">
            <v>EASTERN CEBU</v>
          </cell>
          <cell r="E1891">
            <v>4</v>
          </cell>
          <cell r="H1891" t="str">
            <v>SAFISCOR</v>
          </cell>
          <cell r="N1891">
            <v>1000</v>
          </cell>
          <cell r="Y1891">
            <v>46219</v>
          </cell>
          <cell r="Z1891">
            <v>2</v>
          </cell>
          <cell r="AA1891">
            <v>1000</v>
          </cell>
        </row>
        <row r="1892">
          <cell r="A1892">
            <v>46219</v>
          </cell>
          <cell r="D1892" t="str">
            <v>EASTERN CEBU</v>
          </cell>
          <cell r="E1892">
            <v>4</v>
          </cell>
          <cell r="H1892" t="str">
            <v>SAFISCOR</v>
          </cell>
          <cell r="N1892">
            <v>1000</v>
          </cell>
          <cell r="Y1892">
            <v>46219</v>
          </cell>
          <cell r="Z1892">
            <v>2</v>
          </cell>
          <cell r="AA1892">
            <v>1000</v>
          </cell>
        </row>
        <row r="1893">
          <cell r="A1893">
            <v>46219</v>
          </cell>
          <cell r="D1893" t="str">
            <v>EASTERN CEBU</v>
          </cell>
          <cell r="E1893">
            <v>4</v>
          </cell>
          <cell r="H1893" t="str">
            <v>SAFISCOR</v>
          </cell>
          <cell r="N1893">
            <v>1000</v>
          </cell>
          <cell r="Y1893">
            <v>46219</v>
          </cell>
          <cell r="Z1893">
            <v>2</v>
          </cell>
          <cell r="AA1893">
            <v>1000</v>
          </cell>
        </row>
        <row r="1894">
          <cell r="A1894">
            <v>46219</v>
          </cell>
          <cell r="D1894" t="str">
            <v>JOHANNAH 7</v>
          </cell>
          <cell r="E1894">
            <v>3</v>
          </cell>
          <cell r="H1894" t="str">
            <v>LAPU-LAPU</v>
          </cell>
          <cell r="N1894">
            <v>1000</v>
          </cell>
          <cell r="Y1894">
            <v>46219</v>
          </cell>
          <cell r="Z1894">
            <v>1</v>
          </cell>
          <cell r="AA1894">
            <v>1000</v>
          </cell>
        </row>
        <row r="1895">
          <cell r="A1895">
            <v>46219</v>
          </cell>
          <cell r="D1895" t="str">
            <v>EASTERN CEBU</v>
          </cell>
          <cell r="E1895">
            <v>4</v>
          </cell>
          <cell r="H1895" t="str">
            <v>SAFISCOR</v>
          </cell>
          <cell r="N1895">
            <v>1000</v>
          </cell>
          <cell r="Y1895">
            <v>46219</v>
          </cell>
          <cell r="Z1895">
            <v>2</v>
          </cell>
          <cell r="AA1895">
            <v>1000</v>
          </cell>
        </row>
        <row r="1896">
          <cell r="A1896">
            <v>46219</v>
          </cell>
          <cell r="D1896" t="str">
            <v>EASTERN CEBU</v>
          </cell>
          <cell r="E1896">
            <v>4</v>
          </cell>
          <cell r="H1896" t="str">
            <v>FULACHE</v>
          </cell>
          <cell r="N1896">
            <v>1000</v>
          </cell>
          <cell r="Y1896">
            <v>46219</v>
          </cell>
          <cell r="Z1896">
            <v>1</v>
          </cell>
          <cell r="AA1896">
            <v>1000</v>
          </cell>
        </row>
        <row r="1897">
          <cell r="A1897">
            <v>46219</v>
          </cell>
          <cell r="D1897" t="str">
            <v>EASTERN CEBU</v>
          </cell>
          <cell r="E1897">
            <v>4</v>
          </cell>
          <cell r="H1897" t="str">
            <v>LAPU-LAPU</v>
          </cell>
          <cell r="N1897">
            <v>1000</v>
          </cell>
          <cell r="Y1897">
            <v>46219</v>
          </cell>
          <cell r="Z1897">
            <v>2</v>
          </cell>
          <cell r="AA1897">
            <v>1000</v>
          </cell>
        </row>
        <row r="1898">
          <cell r="A1898">
            <v>46219</v>
          </cell>
          <cell r="D1898" t="str">
            <v>EASTERN CEBU</v>
          </cell>
          <cell r="E1898">
            <v>4</v>
          </cell>
          <cell r="H1898" t="str">
            <v>BADIE</v>
          </cell>
          <cell r="N1898">
            <v>1000</v>
          </cell>
          <cell r="Y1898">
            <v>46219</v>
          </cell>
          <cell r="Z1898">
            <v>1</v>
          </cell>
          <cell r="AA1898">
            <v>1000</v>
          </cell>
        </row>
        <row r="1899">
          <cell r="A1899">
            <v>46219</v>
          </cell>
          <cell r="D1899" t="str">
            <v>EASTERN CEBU</v>
          </cell>
          <cell r="E1899">
            <v>4</v>
          </cell>
          <cell r="H1899" t="str">
            <v>GEO</v>
          </cell>
          <cell r="N1899">
            <v>1000</v>
          </cell>
          <cell r="Y1899">
            <v>46219</v>
          </cell>
          <cell r="Z1899">
            <v>2</v>
          </cell>
          <cell r="AA1899">
            <v>1000</v>
          </cell>
        </row>
        <row r="1900">
          <cell r="A1900">
            <v>46219</v>
          </cell>
          <cell r="D1900" t="str">
            <v>INFINITY 8</v>
          </cell>
          <cell r="E1900">
            <v>2</v>
          </cell>
          <cell r="H1900" t="str">
            <v>SAFISCOR</v>
          </cell>
          <cell r="N1900">
            <v>1000</v>
          </cell>
          <cell r="Y1900">
            <v>46219</v>
          </cell>
          <cell r="Z1900">
            <v>2</v>
          </cell>
          <cell r="AA1900">
            <v>1000</v>
          </cell>
        </row>
        <row r="1901">
          <cell r="A1901">
            <v>46219</v>
          </cell>
          <cell r="D1901" t="str">
            <v>J ANDI</v>
          </cell>
          <cell r="E1901">
            <v>1</v>
          </cell>
          <cell r="H1901" t="str">
            <v>SAFISCOR</v>
          </cell>
          <cell r="N1901">
            <v>1000</v>
          </cell>
          <cell r="Y1901">
            <v>46219</v>
          </cell>
          <cell r="Z1901">
            <v>2</v>
          </cell>
          <cell r="AA1901">
            <v>1000</v>
          </cell>
        </row>
        <row r="1902">
          <cell r="A1902">
            <v>46219</v>
          </cell>
          <cell r="D1902" t="str">
            <v>J ANDI</v>
          </cell>
          <cell r="E1902">
            <v>1</v>
          </cell>
          <cell r="H1902" t="str">
            <v>SAFISCOR</v>
          </cell>
          <cell r="N1902">
            <v>1000</v>
          </cell>
          <cell r="Y1902">
            <v>46219</v>
          </cell>
          <cell r="Z1902">
            <v>2</v>
          </cell>
          <cell r="AA1902">
            <v>1000</v>
          </cell>
        </row>
        <row r="1903">
          <cell r="A1903">
            <v>46219</v>
          </cell>
          <cell r="D1903" t="str">
            <v>INFINITY 8</v>
          </cell>
          <cell r="E1903">
            <v>2</v>
          </cell>
          <cell r="H1903" t="str">
            <v>SAFISCOR</v>
          </cell>
          <cell r="N1903">
            <v>1000</v>
          </cell>
          <cell r="Y1903">
            <v>46219</v>
          </cell>
          <cell r="Z1903">
            <v>2</v>
          </cell>
          <cell r="AA1903">
            <v>1000</v>
          </cell>
        </row>
        <row r="1904">
          <cell r="A1904">
            <v>46219</v>
          </cell>
          <cell r="D1904" t="str">
            <v>EASTERN CEBU</v>
          </cell>
          <cell r="E1904">
            <v>4</v>
          </cell>
          <cell r="H1904" t="str">
            <v>LAPU-LAPU</v>
          </cell>
          <cell r="N1904">
            <v>1000</v>
          </cell>
          <cell r="Y1904">
            <v>46219</v>
          </cell>
          <cell r="Z1904">
            <v>2</v>
          </cell>
          <cell r="AA1904">
            <v>1000</v>
          </cell>
        </row>
        <row r="1905">
          <cell r="A1905">
            <v>46219</v>
          </cell>
          <cell r="D1905" t="str">
            <v>EASTERN CEBU</v>
          </cell>
          <cell r="E1905">
            <v>4</v>
          </cell>
          <cell r="H1905" t="str">
            <v>SAFISCOR</v>
          </cell>
          <cell r="N1905">
            <v>1000</v>
          </cell>
          <cell r="Y1905">
            <v>46219</v>
          </cell>
          <cell r="Z1905">
            <v>2</v>
          </cell>
          <cell r="AA1905">
            <v>1000</v>
          </cell>
        </row>
        <row r="1906">
          <cell r="A1906">
            <v>46219</v>
          </cell>
          <cell r="D1906" t="str">
            <v>JOHANNAH 7</v>
          </cell>
          <cell r="E1906">
            <v>3</v>
          </cell>
          <cell r="H1906" t="str">
            <v>SAFISCOR</v>
          </cell>
          <cell r="N1906">
            <v>1000</v>
          </cell>
          <cell r="Y1906">
            <v>46219</v>
          </cell>
          <cell r="Z1906">
            <v>2</v>
          </cell>
          <cell r="AA1906">
            <v>1000</v>
          </cell>
        </row>
        <row r="1907">
          <cell r="A1907">
            <v>46219</v>
          </cell>
          <cell r="D1907" t="str">
            <v>INFINITY 8</v>
          </cell>
          <cell r="E1907">
            <v>2</v>
          </cell>
          <cell r="H1907" t="str">
            <v>SAFISCOR</v>
          </cell>
          <cell r="N1907">
            <v>1000</v>
          </cell>
          <cell r="Y1907">
            <v>46219</v>
          </cell>
          <cell r="Z1907">
            <v>2</v>
          </cell>
          <cell r="AA1907">
            <v>1000</v>
          </cell>
        </row>
        <row r="1908">
          <cell r="A1908">
            <v>46219</v>
          </cell>
          <cell r="D1908" t="str">
            <v>JOHANNAH 7</v>
          </cell>
          <cell r="E1908">
            <v>3</v>
          </cell>
          <cell r="H1908" t="str">
            <v>SAFISCOR</v>
          </cell>
          <cell r="N1908">
            <v>1000</v>
          </cell>
          <cell r="Y1908">
            <v>46219</v>
          </cell>
          <cell r="Z1908">
            <v>2</v>
          </cell>
          <cell r="AA1908">
            <v>1000</v>
          </cell>
        </row>
        <row r="1909">
          <cell r="A1909">
            <v>46219</v>
          </cell>
          <cell r="D1909" t="str">
            <v>J ANDI</v>
          </cell>
          <cell r="E1909">
            <v>1</v>
          </cell>
          <cell r="H1909" t="str">
            <v>SAFISCOR</v>
          </cell>
          <cell r="N1909">
            <v>1000</v>
          </cell>
          <cell r="Y1909">
            <v>46219</v>
          </cell>
          <cell r="Z1909">
            <v>2</v>
          </cell>
          <cell r="AA1909">
            <v>1000</v>
          </cell>
        </row>
        <row r="1910">
          <cell r="A1910">
            <v>46219</v>
          </cell>
          <cell r="D1910" t="str">
            <v>J ANDI</v>
          </cell>
          <cell r="E1910">
            <v>1</v>
          </cell>
          <cell r="H1910" t="str">
            <v>LAPU-LAPU</v>
          </cell>
          <cell r="N1910">
            <v>1000</v>
          </cell>
          <cell r="Y1910">
            <v>46219</v>
          </cell>
          <cell r="Z1910">
            <v>2</v>
          </cell>
          <cell r="AA1910">
            <v>1000</v>
          </cell>
        </row>
        <row r="1911">
          <cell r="A1911">
            <v>46219</v>
          </cell>
          <cell r="D1911" t="str">
            <v>INFINITY 8</v>
          </cell>
          <cell r="E1911">
            <v>2</v>
          </cell>
          <cell r="H1911" t="str">
            <v>SAFISCOR</v>
          </cell>
          <cell r="N1911">
            <v>1000</v>
          </cell>
          <cell r="Y1911">
            <v>46219</v>
          </cell>
          <cell r="Z1911">
            <v>2</v>
          </cell>
          <cell r="AA1911">
            <v>1000</v>
          </cell>
        </row>
        <row r="1912">
          <cell r="A1912">
            <v>46219</v>
          </cell>
          <cell r="D1912" t="str">
            <v>INFINITY 8</v>
          </cell>
          <cell r="E1912">
            <v>2</v>
          </cell>
          <cell r="H1912" t="str">
            <v>LAPU-LAPU</v>
          </cell>
          <cell r="N1912">
            <v>1000</v>
          </cell>
          <cell r="Y1912">
            <v>46219</v>
          </cell>
          <cell r="Z1912">
            <v>2</v>
          </cell>
          <cell r="AA1912">
            <v>1000</v>
          </cell>
        </row>
        <row r="1913">
          <cell r="A1913">
            <v>46219</v>
          </cell>
          <cell r="D1913" t="str">
            <v>J ANDI</v>
          </cell>
          <cell r="E1913">
            <v>1</v>
          </cell>
          <cell r="H1913" t="str">
            <v>SAFISCOR</v>
          </cell>
          <cell r="N1913">
            <v>1000</v>
          </cell>
          <cell r="Y1913">
            <v>46219</v>
          </cell>
          <cell r="Z1913">
            <v>2</v>
          </cell>
          <cell r="AA1913">
            <v>1000</v>
          </cell>
        </row>
        <row r="1914">
          <cell r="A1914">
            <v>46219</v>
          </cell>
          <cell r="D1914" t="str">
            <v>INFINITY 8</v>
          </cell>
          <cell r="E1914">
            <v>2</v>
          </cell>
          <cell r="H1914" t="str">
            <v>APLUS</v>
          </cell>
          <cell r="N1914">
            <v>1000</v>
          </cell>
          <cell r="Y1914">
            <v>46219</v>
          </cell>
          <cell r="Z1914">
            <v>2</v>
          </cell>
          <cell r="AA1914">
            <v>1000</v>
          </cell>
        </row>
        <row r="1915">
          <cell r="A1915">
            <v>46219</v>
          </cell>
          <cell r="D1915" t="str">
            <v>JOHANNAH 7</v>
          </cell>
          <cell r="E1915">
            <v>3</v>
          </cell>
          <cell r="H1915" t="str">
            <v>SAFISCOR</v>
          </cell>
          <cell r="N1915">
            <v>1000</v>
          </cell>
          <cell r="Y1915">
            <v>46219</v>
          </cell>
          <cell r="Z1915">
            <v>2</v>
          </cell>
          <cell r="AA1915">
            <v>1000</v>
          </cell>
        </row>
        <row r="1916">
          <cell r="A1916">
            <v>46219</v>
          </cell>
          <cell r="D1916" t="str">
            <v>INFINITY 8</v>
          </cell>
          <cell r="E1916">
            <v>2</v>
          </cell>
          <cell r="H1916" t="str">
            <v>BADIE</v>
          </cell>
          <cell r="N1916">
            <v>1000</v>
          </cell>
          <cell r="Y1916">
            <v>46219</v>
          </cell>
          <cell r="Z1916">
            <v>2</v>
          </cell>
          <cell r="AA1916">
            <v>1000</v>
          </cell>
        </row>
        <row r="1917">
          <cell r="A1917">
            <v>46219</v>
          </cell>
          <cell r="D1917" t="str">
            <v>J ANDI</v>
          </cell>
          <cell r="E1917">
            <v>1</v>
          </cell>
          <cell r="H1917" t="str">
            <v>SAFISCOR</v>
          </cell>
          <cell r="N1917">
            <v>1000</v>
          </cell>
          <cell r="Y1917">
            <v>46219</v>
          </cell>
          <cell r="Z1917">
            <v>2</v>
          </cell>
          <cell r="AA1917">
            <v>1000</v>
          </cell>
        </row>
        <row r="1918">
          <cell r="A1918">
            <v>46219</v>
          </cell>
          <cell r="D1918" t="str">
            <v>JOHANNAH 7</v>
          </cell>
          <cell r="E1918">
            <v>3</v>
          </cell>
          <cell r="H1918" t="str">
            <v>SAFISCOR</v>
          </cell>
          <cell r="N1918">
            <v>1000</v>
          </cell>
          <cell r="Y1918">
            <v>46219</v>
          </cell>
          <cell r="Z1918">
            <v>2</v>
          </cell>
          <cell r="AA1918">
            <v>1000</v>
          </cell>
        </row>
        <row r="1919">
          <cell r="A1919">
            <v>46220</v>
          </cell>
          <cell r="D1919" t="str">
            <v>EASTERN CEBU</v>
          </cell>
          <cell r="E1919">
            <v>4</v>
          </cell>
          <cell r="H1919" t="str">
            <v>SAFISCOR</v>
          </cell>
          <cell r="N1919">
            <v>1000</v>
          </cell>
          <cell r="Y1919">
            <v>46220</v>
          </cell>
          <cell r="Z1919">
            <v>1</v>
          </cell>
          <cell r="AA1919">
            <v>1000</v>
          </cell>
        </row>
        <row r="1920">
          <cell r="A1920">
            <v>46220</v>
          </cell>
          <cell r="D1920" t="str">
            <v>JOHANNAH 7</v>
          </cell>
          <cell r="E1920">
            <v>3</v>
          </cell>
          <cell r="H1920" t="str">
            <v>GEO</v>
          </cell>
          <cell r="N1920">
            <v>1000</v>
          </cell>
          <cell r="Y1920">
            <v>46220</v>
          </cell>
          <cell r="Z1920">
            <v>1</v>
          </cell>
          <cell r="AA1920">
            <v>1000</v>
          </cell>
        </row>
        <row r="1921">
          <cell r="A1921">
            <v>46220</v>
          </cell>
          <cell r="D1921" t="str">
            <v>EASTERN CEBU</v>
          </cell>
          <cell r="E1921">
            <v>4</v>
          </cell>
          <cell r="H1921" t="str">
            <v>SAFISCOR</v>
          </cell>
          <cell r="N1921">
            <v>1000</v>
          </cell>
          <cell r="Y1921">
            <v>46220</v>
          </cell>
          <cell r="Z1921">
            <v>1</v>
          </cell>
          <cell r="AA1921">
            <v>1000</v>
          </cell>
        </row>
        <row r="1922">
          <cell r="A1922">
            <v>46220</v>
          </cell>
          <cell r="D1922" t="str">
            <v>EASTERN CEBU</v>
          </cell>
          <cell r="E1922">
            <v>4</v>
          </cell>
          <cell r="H1922" t="str">
            <v>APLUS</v>
          </cell>
          <cell r="N1922">
            <v>500</v>
          </cell>
          <cell r="Y1922">
            <v>46220</v>
          </cell>
          <cell r="Z1922">
            <v>1</v>
          </cell>
          <cell r="AA1922">
            <v>500</v>
          </cell>
        </row>
        <row r="1923">
          <cell r="A1923">
            <v>46220</v>
          </cell>
          <cell r="D1923" t="str">
            <v>EASTERN CEBU</v>
          </cell>
          <cell r="E1923">
            <v>4</v>
          </cell>
          <cell r="H1923" t="str">
            <v>APLUS</v>
          </cell>
          <cell r="N1923">
            <v>500</v>
          </cell>
          <cell r="Y1923">
            <v>46220</v>
          </cell>
          <cell r="Z1923">
            <v>1</v>
          </cell>
          <cell r="AA1923">
            <v>500</v>
          </cell>
        </row>
        <row r="1924">
          <cell r="A1924">
            <v>46220</v>
          </cell>
          <cell r="D1924" t="str">
            <v>INFINITY 8</v>
          </cell>
          <cell r="E1924">
            <v>2</v>
          </cell>
          <cell r="H1924" t="str">
            <v>FULACHE</v>
          </cell>
          <cell r="N1924">
            <v>1000</v>
          </cell>
          <cell r="Y1924">
            <v>46220</v>
          </cell>
          <cell r="Z1924">
            <v>1</v>
          </cell>
          <cell r="AA1924">
            <v>1000</v>
          </cell>
        </row>
        <row r="1925">
          <cell r="A1925">
            <v>46220</v>
          </cell>
          <cell r="D1925" t="str">
            <v>J ANDI</v>
          </cell>
          <cell r="E1925">
            <v>1</v>
          </cell>
          <cell r="H1925" t="str">
            <v>SAFISCOR</v>
          </cell>
          <cell r="N1925">
            <v>1000</v>
          </cell>
          <cell r="Y1925">
            <v>46220</v>
          </cell>
          <cell r="Z1925">
            <v>1</v>
          </cell>
          <cell r="AA1925">
            <v>1000</v>
          </cell>
        </row>
        <row r="1926">
          <cell r="A1926">
            <v>46220</v>
          </cell>
          <cell r="D1926" t="str">
            <v>J ANDI</v>
          </cell>
          <cell r="E1926">
            <v>1</v>
          </cell>
          <cell r="H1926" t="str">
            <v>LAPU-LAPU</v>
          </cell>
          <cell r="N1926">
            <v>1000</v>
          </cell>
          <cell r="Y1926">
            <v>46220</v>
          </cell>
          <cell r="Z1926">
            <v>1</v>
          </cell>
          <cell r="AA1926">
            <v>1000</v>
          </cell>
        </row>
        <row r="1927">
          <cell r="A1927">
            <v>46220</v>
          </cell>
          <cell r="D1927" t="str">
            <v>J ANDI</v>
          </cell>
          <cell r="E1927">
            <v>1</v>
          </cell>
          <cell r="H1927" t="str">
            <v>LAPU-LAPU</v>
          </cell>
          <cell r="N1927">
            <v>1000</v>
          </cell>
          <cell r="Y1927">
            <v>46220</v>
          </cell>
          <cell r="Z1927">
            <v>1</v>
          </cell>
          <cell r="AA1927">
            <v>1000</v>
          </cell>
        </row>
        <row r="1928">
          <cell r="A1928">
            <v>46220</v>
          </cell>
          <cell r="D1928" t="str">
            <v>EASTERN CEBU</v>
          </cell>
          <cell r="E1928">
            <v>4</v>
          </cell>
          <cell r="H1928" t="str">
            <v>SAFISCOR</v>
          </cell>
          <cell r="N1928">
            <v>1000</v>
          </cell>
          <cell r="Y1928">
            <v>46220</v>
          </cell>
          <cell r="Z1928">
            <v>1</v>
          </cell>
          <cell r="AA1928">
            <v>1000</v>
          </cell>
        </row>
        <row r="1929">
          <cell r="A1929">
            <v>46220</v>
          </cell>
          <cell r="D1929" t="str">
            <v>J ANDI</v>
          </cell>
          <cell r="E1929">
            <v>1</v>
          </cell>
          <cell r="H1929" t="str">
            <v>SAFISCOR</v>
          </cell>
          <cell r="N1929">
            <v>1000</v>
          </cell>
          <cell r="Y1929">
            <v>46220</v>
          </cell>
          <cell r="Z1929">
            <v>1</v>
          </cell>
          <cell r="AA1929">
            <v>1000</v>
          </cell>
        </row>
        <row r="1930">
          <cell r="A1930">
            <v>46220</v>
          </cell>
          <cell r="D1930" t="str">
            <v>EASTERN CEBU</v>
          </cell>
          <cell r="E1930">
            <v>4</v>
          </cell>
          <cell r="H1930" t="str">
            <v>SAFISCOR</v>
          </cell>
          <cell r="N1930">
            <v>500</v>
          </cell>
          <cell r="Y1930">
            <v>46220</v>
          </cell>
          <cell r="Z1930">
            <v>1</v>
          </cell>
          <cell r="AA1930">
            <v>500</v>
          </cell>
        </row>
        <row r="1931">
          <cell r="A1931">
            <v>46220</v>
          </cell>
          <cell r="D1931" t="str">
            <v>EASTERN CEBU</v>
          </cell>
          <cell r="E1931">
            <v>4</v>
          </cell>
          <cell r="H1931" t="str">
            <v>SAFISCOR</v>
          </cell>
          <cell r="N1931">
            <v>500</v>
          </cell>
          <cell r="Y1931">
            <v>46220</v>
          </cell>
          <cell r="Z1931">
            <v>1</v>
          </cell>
          <cell r="AA1931">
            <v>500</v>
          </cell>
        </row>
        <row r="1932">
          <cell r="A1932">
            <v>46220</v>
          </cell>
          <cell r="D1932" t="str">
            <v>EASTERN CEBU</v>
          </cell>
          <cell r="E1932">
            <v>4</v>
          </cell>
          <cell r="H1932" t="str">
            <v>SAFISCOR</v>
          </cell>
          <cell r="N1932">
            <v>1000</v>
          </cell>
          <cell r="Y1932">
            <v>46220</v>
          </cell>
          <cell r="Z1932">
            <v>1</v>
          </cell>
          <cell r="AA1932">
            <v>1000</v>
          </cell>
        </row>
        <row r="1933">
          <cell r="A1933">
            <v>46220</v>
          </cell>
          <cell r="D1933" t="str">
            <v>INFINITY 8</v>
          </cell>
          <cell r="E1933">
            <v>2</v>
          </cell>
          <cell r="H1933" t="str">
            <v>SAFISCOR</v>
          </cell>
          <cell r="N1933">
            <v>1000</v>
          </cell>
          <cell r="Y1933">
            <v>46220</v>
          </cell>
          <cell r="Z1933">
            <v>1</v>
          </cell>
          <cell r="AA1933">
            <v>1000</v>
          </cell>
        </row>
        <row r="1934">
          <cell r="A1934">
            <v>46220</v>
          </cell>
          <cell r="D1934" t="str">
            <v>INFINITY 8</v>
          </cell>
          <cell r="E1934">
            <v>2</v>
          </cell>
          <cell r="H1934" t="str">
            <v>SAFISCOR</v>
          </cell>
          <cell r="N1934">
            <v>1000</v>
          </cell>
          <cell r="Y1934">
            <v>46220</v>
          </cell>
          <cell r="Z1934">
            <v>1</v>
          </cell>
          <cell r="AA1934">
            <v>1000</v>
          </cell>
        </row>
        <row r="1935">
          <cell r="A1935">
            <v>46220</v>
          </cell>
          <cell r="D1935" t="str">
            <v>JOHANNAH 7</v>
          </cell>
          <cell r="E1935">
            <v>3</v>
          </cell>
          <cell r="H1935" t="str">
            <v>LAPU-LAPU</v>
          </cell>
          <cell r="N1935">
            <v>1000</v>
          </cell>
          <cell r="Y1935">
            <v>46220</v>
          </cell>
          <cell r="Z1935">
            <v>1</v>
          </cell>
          <cell r="AA1935">
            <v>1000</v>
          </cell>
        </row>
        <row r="1936">
          <cell r="A1936">
            <v>46220</v>
          </cell>
          <cell r="D1936" t="str">
            <v>J ANDI</v>
          </cell>
          <cell r="E1936">
            <v>1</v>
          </cell>
          <cell r="H1936" t="str">
            <v>GEO</v>
          </cell>
          <cell r="N1936">
            <v>1000</v>
          </cell>
          <cell r="Y1936">
            <v>46220</v>
          </cell>
          <cell r="Z1936">
            <v>1</v>
          </cell>
          <cell r="AA1936">
            <v>1000</v>
          </cell>
        </row>
        <row r="1937">
          <cell r="A1937">
            <v>46220</v>
          </cell>
          <cell r="D1937" t="str">
            <v>J ANDI</v>
          </cell>
          <cell r="E1937">
            <v>1</v>
          </cell>
          <cell r="H1937" t="str">
            <v>SAFISCOR</v>
          </cell>
          <cell r="N1937">
            <v>1000</v>
          </cell>
          <cell r="Y1937">
            <v>46220</v>
          </cell>
          <cell r="Z1937">
            <v>1</v>
          </cell>
          <cell r="AA1937">
            <v>1000</v>
          </cell>
        </row>
        <row r="1938">
          <cell r="A1938">
            <v>46220</v>
          </cell>
          <cell r="D1938" t="str">
            <v>JOHANNAH 7</v>
          </cell>
          <cell r="E1938">
            <v>3</v>
          </cell>
          <cell r="H1938" t="str">
            <v>SAFISCOR</v>
          </cell>
          <cell r="N1938">
            <v>1000</v>
          </cell>
          <cell r="Y1938">
            <v>46220</v>
          </cell>
          <cell r="Z1938">
            <v>1</v>
          </cell>
          <cell r="AA1938">
            <v>1000</v>
          </cell>
        </row>
        <row r="1939">
          <cell r="A1939">
            <v>46220</v>
          </cell>
          <cell r="D1939" t="str">
            <v>INFINITY 8</v>
          </cell>
          <cell r="E1939">
            <v>2</v>
          </cell>
          <cell r="H1939" t="str">
            <v>APLUS</v>
          </cell>
          <cell r="N1939">
            <v>1000</v>
          </cell>
          <cell r="Y1939">
            <v>46220</v>
          </cell>
          <cell r="Z1939">
            <v>1</v>
          </cell>
          <cell r="AA1939">
            <v>1000</v>
          </cell>
        </row>
        <row r="1940">
          <cell r="A1940">
            <v>46220</v>
          </cell>
          <cell r="D1940" t="str">
            <v>JOHANNAH 7</v>
          </cell>
          <cell r="E1940">
            <v>3</v>
          </cell>
          <cell r="H1940" t="str">
            <v>LAPU-LAPU</v>
          </cell>
          <cell r="N1940">
            <v>1000</v>
          </cell>
          <cell r="Y1940">
            <v>46220</v>
          </cell>
          <cell r="Z1940">
            <v>2</v>
          </cell>
          <cell r="AA1940">
            <v>1000</v>
          </cell>
        </row>
        <row r="1941">
          <cell r="A1941">
            <v>46220</v>
          </cell>
          <cell r="D1941" t="str">
            <v>J ANDI</v>
          </cell>
          <cell r="E1941">
            <v>1</v>
          </cell>
          <cell r="H1941" t="str">
            <v>BADIE</v>
          </cell>
          <cell r="N1941">
            <v>1000</v>
          </cell>
          <cell r="Y1941">
            <v>46220</v>
          </cell>
          <cell r="Z1941">
            <v>2</v>
          </cell>
          <cell r="AA1941">
            <v>1000</v>
          </cell>
        </row>
        <row r="1942">
          <cell r="A1942">
            <v>46220</v>
          </cell>
          <cell r="D1942" t="str">
            <v>J ANDI</v>
          </cell>
          <cell r="E1942">
            <v>1</v>
          </cell>
          <cell r="H1942" t="str">
            <v>SAFISCOR</v>
          </cell>
          <cell r="N1942">
            <v>1000</v>
          </cell>
          <cell r="Y1942">
            <v>46220</v>
          </cell>
          <cell r="Z1942">
            <v>2</v>
          </cell>
          <cell r="AA1942">
            <v>1000</v>
          </cell>
        </row>
        <row r="1943">
          <cell r="A1943">
            <v>46220</v>
          </cell>
          <cell r="D1943" t="str">
            <v>STAR FREEDOM</v>
          </cell>
          <cell r="E1943">
            <v>5</v>
          </cell>
          <cell r="H1943" t="str">
            <v>SAFISCOR</v>
          </cell>
          <cell r="N1943">
            <v>1000</v>
          </cell>
          <cell r="Y1943">
            <v>46220</v>
          </cell>
          <cell r="Z1943">
            <v>2</v>
          </cell>
          <cell r="AA1943">
            <v>1000</v>
          </cell>
        </row>
        <row r="1944">
          <cell r="A1944">
            <v>46220</v>
          </cell>
          <cell r="D1944" t="str">
            <v>LADY OF COURAGE</v>
          </cell>
          <cell r="E1944">
            <v>4</v>
          </cell>
          <cell r="H1944" t="str">
            <v>SAFISCOR</v>
          </cell>
          <cell r="N1944">
            <v>1000</v>
          </cell>
          <cell r="Y1944">
            <v>46220</v>
          </cell>
          <cell r="Z1944">
            <v>2</v>
          </cell>
          <cell r="AA1944">
            <v>1000</v>
          </cell>
        </row>
        <row r="1945">
          <cell r="A1945">
            <v>46220</v>
          </cell>
          <cell r="D1945" t="str">
            <v>LADY OF COURAGE</v>
          </cell>
          <cell r="E1945">
            <v>4</v>
          </cell>
          <cell r="H1945" t="str">
            <v>SAFISCOR</v>
          </cell>
          <cell r="N1945">
            <v>1000</v>
          </cell>
          <cell r="Y1945">
            <v>46220</v>
          </cell>
          <cell r="Z1945">
            <v>2</v>
          </cell>
          <cell r="AA1945">
            <v>1000</v>
          </cell>
        </row>
        <row r="1946">
          <cell r="A1946">
            <v>46220</v>
          </cell>
          <cell r="D1946" t="str">
            <v>INFINITY 8</v>
          </cell>
          <cell r="E1946">
            <v>2</v>
          </cell>
          <cell r="H1946" t="str">
            <v>SAFISCOR</v>
          </cell>
          <cell r="N1946">
            <v>1000</v>
          </cell>
          <cell r="Y1946">
            <v>46220</v>
          </cell>
          <cell r="Z1946">
            <v>2</v>
          </cell>
          <cell r="AA1946">
            <v>1000</v>
          </cell>
        </row>
        <row r="1947">
          <cell r="A1947">
            <v>46220</v>
          </cell>
          <cell r="D1947" t="str">
            <v>JOHANNAH 7</v>
          </cell>
          <cell r="E1947">
            <v>3</v>
          </cell>
          <cell r="H1947" t="str">
            <v>LAPU-LAPU</v>
          </cell>
          <cell r="N1947">
            <v>1000</v>
          </cell>
          <cell r="Y1947">
            <v>46220</v>
          </cell>
          <cell r="Z1947">
            <v>2</v>
          </cell>
          <cell r="AA1947">
            <v>1000</v>
          </cell>
        </row>
        <row r="1948">
          <cell r="A1948">
            <v>46220</v>
          </cell>
          <cell r="D1948" t="str">
            <v>LADY OF COURAGE</v>
          </cell>
          <cell r="E1948">
            <v>4</v>
          </cell>
          <cell r="H1948" t="str">
            <v>SAFISCOR</v>
          </cell>
          <cell r="N1948">
            <v>1000</v>
          </cell>
          <cell r="Y1948">
            <v>46220</v>
          </cell>
          <cell r="Z1948">
            <v>2</v>
          </cell>
          <cell r="AA1948">
            <v>1000</v>
          </cell>
        </row>
        <row r="1949">
          <cell r="A1949">
            <v>46220</v>
          </cell>
          <cell r="D1949" t="str">
            <v>LADY OF COURAGE</v>
          </cell>
          <cell r="E1949">
            <v>4</v>
          </cell>
          <cell r="H1949" t="str">
            <v>LAPU-LAPU</v>
          </cell>
          <cell r="N1949">
            <v>1000</v>
          </cell>
          <cell r="Y1949">
            <v>46220</v>
          </cell>
          <cell r="Z1949">
            <v>2</v>
          </cell>
          <cell r="AA1949">
            <v>1000</v>
          </cell>
        </row>
        <row r="1950">
          <cell r="A1950">
            <v>46220</v>
          </cell>
          <cell r="D1950" t="str">
            <v>INFINITY 8</v>
          </cell>
          <cell r="E1950">
            <v>2</v>
          </cell>
          <cell r="H1950" t="str">
            <v>SAFISCOR</v>
          </cell>
          <cell r="N1950">
            <v>1000</v>
          </cell>
          <cell r="Y1950">
            <v>46220</v>
          </cell>
          <cell r="Z1950">
            <v>2</v>
          </cell>
          <cell r="AA1950">
            <v>1000</v>
          </cell>
        </row>
        <row r="1951">
          <cell r="A1951">
            <v>46220</v>
          </cell>
          <cell r="D1951" t="str">
            <v>JOHANNAH 7</v>
          </cell>
          <cell r="E1951">
            <v>3</v>
          </cell>
          <cell r="H1951" t="str">
            <v>APLUS</v>
          </cell>
          <cell r="N1951">
            <v>1000</v>
          </cell>
          <cell r="Y1951">
            <v>46220</v>
          </cell>
          <cell r="Z1951">
            <v>2</v>
          </cell>
          <cell r="AA1951">
            <v>1000</v>
          </cell>
        </row>
        <row r="1952">
          <cell r="A1952">
            <v>46220</v>
          </cell>
          <cell r="D1952" t="str">
            <v>LADY OF COURAGE</v>
          </cell>
          <cell r="E1952">
            <v>4</v>
          </cell>
          <cell r="H1952" t="str">
            <v>SAFISCOR</v>
          </cell>
          <cell r="N1952">
            <v>1000</v>
          </cell>
          <cell r="Y1952">
            <v>46220</v>
          </cell>
          <cell r="Z1952">
            <v>2</v>
          </cell>
          <cell r="AA1952">
            <v>1000</v>
          </cell>
        </row>
        <row r="1953">
          <cell r="A1953">
            <v>46220</v>
          </cell>
          <cell r="D1953" t="str">
            <v>LADY OF COURAGE</v>
          </cell>
          <cell r="E1953">
            <v>4</v>
          </cell>
          <cell r="H1953" t="str">
            <v>SAFISCOR</v>
          </cell>
          <cell r="N1953">
            <v>1000</v>
          </cell>
          <cell r="Y1953">
            <v>46220</v>
          </cell>
          <cell r="Z1953">
            <v>2</v>
          </cell>
          <cell r="AA1953">
            <v>1000</v>
          </cell>
        </row>
        <row r="1954">
          <cell r="A1954">
            <v>46220</v>
          </cell>
          <cell r="D1954" t="str">
            <v>STAR FREEDOM</v>
          </cell>
          <cell r="E1954">
            <v>5</v>
          </cell>
          <cell r="H1954" t="str">
            <v>SAFISCOR</v>
          </cell>
          <cell r="N1954">
            <v>1000</v>
          </cell>
          <cell r="Y1954">
            <v>46221</v>
          </cell>
          <cell r="Z1954">
            <v>1</v>
          </cell>
          <cell r="AA1954">
            <v>1000</v>
          </cell>
        </row>
        <row r="1955">
          <cell r="A1955">
            <v>46220</v>
          </cell>
          <cell r="D1955" t="str">
            <v>LADY OF COURAGE</v>
          </cell>
          <cell r="E1955">
            <v>4</v>
          </cell>
          <cell r="H1955" t="str">
            <v>SAFISCOR</v>
          </cell>
          <cell r="N1955">
            <v>1000</v>
          </cell>
          <cell r="Y1955">
            <v>46220</v>
          </cell>
          <cell r="Z1955">
            <v>2</v>
          </cell>
          <cell r="AA1955">
            <v>1000</v>
          </cell>
        </row>
        <row r="1956">
          <cell r="A1956">
            <v>46220</v>
          </cell>
          <cell r="D1956" t="str">
            <v>J ANDI</v>
          </cell>
          <cell r="E1956">
            <v>1</v>
          </cell>
          <cell r="H1956" t="str">
            <v>SAFISCOR</v>
          </cell>
          <cell r="N1956">
            <v>1000</v>
          </cell>
          <cell r="Y1956">
            <v>46220</v>
          </cell>
          <cell r="Z1956">
            <v>2</v>
          </cell>
          <cell r="AA1956">
            <v>1000</v>
          </cell>
        </row>
        <row r="1957">
          <cell r="A1957">
            <v>46220</v>
          </cell>
          <cell r="D1957" t="str">
            <v>STAR FREEDOM</v>
          </cell>
          <cell r="E1957">
            <v>5</v>
          </cell>
          <cell r="H1957" t="str">
            <v>SAFISCOR</v>
          </cell>
          <cell r="N1957">
            <v>1000</v>
          </cell>
          <cell r="Y1957">
            <v>46220</v>
          </cell>
          <cell r="Z1957">
            <v>2</v>
          </cell>
          <cell r="AA1957">
            <v>1000</v>
          </cell>
        </row>
        <row r="1958">
          <cell r="A1958">
            <v>46220</v>
          </cell>
          <cell r="D1958" t="str">
            <v>STAR FREEDOM</v>
          </cell>
          <cell r="E1958">
            <v>5</v>
          </cell>
          <cell r="H1958" t="str">
            <v>LAPU-LAPU</v>
          </cell>
          <cell r="N1958">
            <v>1000</v>
          </cell>
          <cell r="Y1958">
            <v>46221</v>
          </cell>
          <cell r="Z1958">
            <v>1</v>
          </cell>
          <cell r="AA1958">
            <v>1000</v>
          </cell>
        </row>
        <row r="1959">
          <cell r="A1959">
            <v>46220</v>
          </cell>
          <cell r="D1959" t="str">
            <v>STAR FREEDOM</v>
          </cell>
          <cell r="E1959">
            <v>5</v>
          </cell>
          <cell r="H1959" t="str">
            <v>SAFISCOR</v>
          </cell>
          <cell r="N1959">
            <v>1000</v>
          </cell>
          <cell r="Y1959">
            <v>46220</v>
          </cell>
          <cell r="Z1959">
            <v>2</v>
          </cell>
          <cell r="AA1959">
            <v>1000</v>
          </cell>
        </row>
        <row r="1960">
          <cell r="A1960">
            <v>46220</v>
          </cell>
          <cell r="D1960" t="str">
            <v>J ANDI</v>
          </cell>
          <cell r="E1960">
            <v>1</v>
          </cell>
          <cell r="H1960" t="str">
            <v>BADIE</v>
          </cell>
          <cell r="N1960">
            <v>1000</v>
          </cell>
          <cell r="Y1960">
            <v>46220</v>
          </cell>
          <cell r="Z1960">
            <v>2</v>
          </cell>
          <cell r="AA1960">
            <v>1000</v>
          </cell>
        </row>
        <row r="1961">
          <cell r="A1961">
            <v>46220</v>
          </cell>
          <cell r="D1961" t="str">
            <v>INFINITY 8</v>
          </cell>
          <cell r="E1961">
            <v>2</v>
          </cell>
          <cell r="H1961" t="str">
            <v>SAFISCOR</v>
          </cell>
          <cell r="N1961">
            <v>1000</v>
          </cell>
          <cell r="Y1961">
            <v>46220</v>
          </cell>
          <cell r="Z1961">
            <v>2</v>
          </cell>
          <cell r="AA1961">
            <v>1000</v>
          </cell>
        </row>
        <row r="1962">
          <cell r="A1962">
            <v>46220</v>
          </cell>
          <cell r="D1962" t="str">
            <v>STAR FREEDOM</v>
          </cell>
          <cell r="E1962">
            <v>5</v>
          </cell>
          <cell r="H1962" t="str">
            <v>SAFISCOR</v>
          </cell>
          <cell r="N1962">
            <v>1000</v>
          </cell>
          <cell r="Y1962">
            <v>46221</v>
          </cell>
          <cell r="Z1962">
            <v>1</v>
          </cell>
          <cell r="AA1962">
            <v>1000</v>
          </cell>
        </row>
        <row r="1963">
          <cell r="A1963">
            <v>46220</v>
          </cell>
          <cell r="D1963" t="str">
            <v>LADY OF COURAGE</v>
          </cell>
          <cell r="E1963">
            <v>4</v>
          </cell>
          <cell r="H1963" t="str">
            <v>GEO</v>
          </cell>
          <cell r="N1963">
            <v>1000</v>
          </cell>
          <cell r="Y1963">
            <v>46221</v>
          </cell>
          <cell r="Z1963">
            <v>1</v>
          </cell>
          <cell r="AA1963">
            <v>1000</v>
          </cell>
        </row>
        <row r="1964">
          <cell r="A1964">
            <v>46220</v>
          </cell>
          <cell r="D1964" t="str">
            <v>LADY OF COURAGE</v>
          </cell>
          <cell r="E1964">
            <v>4</v>
          </cell>
          <cell r="H1964" t="str">
            <v>SAFISCOR</v>
          </cell>
          <cell r="N1964">
            <v>1000</v>
          </cell>
          <cell r="Y1964">
            <v>46220</v>
          </cell>
          <cell r="Z1964">
            <v>2</v>
          </cell>
          <cell r="AA1964">
            <v>1000</v>
          </cell>
        </row>
        <row r="1965">
          <cell r="A1965">
            <v>46220</v>
          </cell>
          <cell r="D1965" t="str">
            <v>J ANDI</v>
          </cell>
          <cell r="E1965">
            <v>1</v>
          </cell>
          <cell r="H1965" t="str">
            <v>SAFISCOR</v>
          </cell>
          <cell r="N1965">
            <v>1000</v>
          </cell>
          <cell r="Y1965">
            <v>46220</v>
          </cell>
          <cell r="Z1965">
            <v>2</v>
          </cell>
          <cell r="AA1965">
            <v>1000</v>
          </cell>
        </row>
        <row r="1966">
          <cell r="A1966">
            <v>46220</v>
          </cell>
          <cell r="D1966" t="str">
            <v>J ANDI</v>
          </cell>
          <cell r="E1966">
            <v>1</v>
          </cell>
          <cell r="H1966" t="str">
            <v>LAPU-LAPU</v>
          </cell>
          <cell r="N1966">
            <v>1000</v>
          </cell>
          <cell r="Y1966">
            <v>46220</v>
          </cell>
          <cell r="Z1966">
            <v>2</v>
          </cell>
          <cell r="AA1966">
            <v>1000</v>
          </cell>
        </row>
        <row r="1967">
          <cell r="A1967">
            <v>46220</v>
          </cell>
          <cell r="D1967" t="str">
            <v>LADY OF COURAGE</v>
          </cell>
          <cell r="E1967">
            <v>4</v>
          </cell>
          <cell r="H1967" t="str">
            <v>SAFISCOR</v>
          </cell>
          <cell r="N1967">
            <v>1000</v>
          </cell>
          <cell r="Y1967">
            <v>46220</v>
          </cell>
          <cell r="Z1967">
            <v>2</v>
          </cell>
          <cell r="AA1967">
            <v>1000</v>
          </cell>
        </row>
        <row r="1968">
          <cell r="A1968">
            <v>46220</v>
          </cell>
          <cell r="D1968" t="str">
            <v>J ANDI</v>
          </cell>
          <cell r="E1968">
            <v>1</v>
          </cell>
          <cell r="H1968" t="str">
            <v>SAFISCOR</v>
          </cell>
          <cell r="N1968">
            <v>1000</v>
          </cell>
          <cell r="Y1968">
            <v>46220</v>
          </cell>
          <cell r="Z1968">
            <v>2</v>
          </cell>
          <cell r="AA1968">
            <v>1000</v>
          </cell>
        </row>
        <row r="1969">
          <cell r="A1969">
            <v>46220</v>
          </cell>
          <cell r="D1969" t="str">
            <v>STAR FREEDOM</v>
          </cell>
          <cell r="E1969">
            <v>5</v>
          </cell>
          <cell r="H1969" t="str">
            <v>SAFISCOR</v>
          </cell>
          <cell r="N1969">
            <v>1000</v>
          </cell>
          <cell r="Y1969">
            <v>46220</v>
          </cell>
          <cell r="Z1969">
            <v>2</v>
          </cell>
          <cell r="AA1969">
            <v>1000</v>
          </cell>
        </row>
        <row r="1970">
          <cell r="A1970">
            <v>46220</v>
          </cell>
          <cell r="D1970" t="str">
            <v>STAR FREEDOM</v>
          </cell>
          <cell r="E1970">
            <v>5</v>
          </cell>
          <cell r="H1970" t="str">
            <v>SAFISCOR</v>
          </cell>
          <cell r="N1970">
            <v>1000</v>
          </cell>
          <cell r="Y1970">
            <v>46220</v>
          </cell>
          <cell r="Z1970">
            <v>2</v>
          </cell>
          <cell r="AA1970">
            <v>1000</v>
          </cell>
        </row>
        <row r="1971">
          <cell r="A1971">
            <v>46220</v>
          </cell>
          <cell r="D1971" t="str">
            <v>STAR FREEDOM</v>
          </cell>
          <cell r="E1971">
            <v>5</v>
          </cell>
          <cell r="H1971" t="str">
            <v>BADIE</v>
          </cell>
          <cell r="N1971">
            <v>1000</v>
          </cell>
          <cell r="Y1971">
            <v>46220</v>
          </cell>
          <cell r="Z1971">
            <v>2</v>
          </cell>
          <cell r="AA1971">
            <v>1000</v>
          </cell>
        </row>
        <row r="1972">
          <cell r="A1972">
            <v>46220</v>
          </cell>
          <cell r="D1972" t="str">
            <v>LADY OF COURAGE</v>
          </cell>
          <cell r="E1972">
            <v>4</v>
          </cell>
          <cell r="H1972" t="str">
            <v>SAFISCOR</v>
          </cell>
          <cell r="N1972">
            <v>1000</v>
          </cell>
          <cell r="Y1972">
            <v>46220</v>
          </cell>
          <cell r="Z1972">
            <v>2</v>
          </cell>
          <cell r="AA1972">
            <v>1000</v>
          </cell>
        </row>
        <row r="1973">
          <cell r="A1973">
            <v>46220</v>
          </cell>
          <cell r="D1973" t="str">
            <v>STAR FREEDOM</v>
          </cell>
          <cell r="E1973">
            <v>5</v>
          </cell>
          <cell r="H1973" t="str">
            <v>SAFISCOR</v>
          </cell>
          <cell r="N1973">
            <v>1000</v>
          </cell>
          <cell r="Y1973">
            <v>46221</v>
          </cell>
          <cell r="Z1973">
            <v>1</v>
          </cell>
          <cell r="AA1973">
            <v>1000</v>
          </cell>
        </row>
        <row r="1974">
          <cell r="A1974">
            <v>46220</v>
          </cell>
          <cell r="D1974" t="str">
            <v>STAR FREEDOM</v>
          </cell>
          <cell r="E1974">
            <v>5</v>
          </cell>
          <cell r="H1974" t="str">
            <v>SAFISCOR</v>
          </cell>
          <cell r="N1974">
            <v>1000</v>
          </cell>
          <cell r="Y1974">
            <v>46221</v>
          </cell>
          <cell r="Z1974">
            <v>1</v>
          </cell>
          <cell r="AA1974">
            <v>1000</v>
          </cell>
        </row>
        <row r="1975">
          <cell r="A1975">
            <v>46220</v>
          </cell>
          <cell r="D1975" t="str">
            <v>LADY OF COURAGE</v>
          </cell>
          <cell r="E1975">
            <v>4</v>
          </cell>
          <cell r="H1975" t="str">
            <v>SAFISCOR</v>
          </cell>
          <cell r="N1975">
            <v>1000</v>
          </cell>
          <cell r="Y1975">
            <v>46220</v>
          </cell>
          <cell r="Z1975">
            <v>2</v>
          </cell>
          <cell r="AA1975">
            <v>1000</v>
          </cell>
        </row>
        <row r="1976">
          <cell r="A1976">
            <v>46220</v>
          </cell>
          <cell r="D1976" t="str">
            <v>STAR FREEDOM</v>
          </cell>
          <cell r="E1976">
            <v>5</v>
          </cell>
          <cell r="H1976" t="str">
            <v>SAFISCOR</v>
          </cell>
          <cell r="N1976">
            <v>1000</v>
          </cell>
          <cell r="Y1976">
            <v>46220</v>
          </cell>
          <cell r="Z1976">
            <v>2</v>
          </cell>
          <cell r="AA1976">
            <v>1000</v>
          </cell>
        </row>
        <row r="1977">
          <cell r="A1977">
            <v>46220</v>
          </cell>
          <cell r="D1977" t="str">
            <v>STAR FREEDOM</v>
          </cell>
          <cell r="E1977">
            <v>5</v>
          </cell>
          <cell r="H1977" t="str">
            <v>GEO</v>
          </cell>
          <cell r="N1977">
            <v>1000</v>
          </cell>
          <cell r="Y1977">
            <v>46221</v>
          </cell>
          <cell r="Z1977">
            <v>1</v>
          </cell>
          <cell r="AA1977">
            <v>1000</v>
          </cell>
        </row>
        <row r="1978">
          <cell r="A1978">
            <v>46220</v>
          </cell>
          <cell r="D1978" t="str">
            <v>JOHANNAH 7</v>
          </cell>
          <cell r="E1978">
            <v>3</v>
          </cell>
          <cell r="H1978" t="str">
            <v>SAFISCOR</v>
          </cell>
          <cell r="N1978">
            <v>1000</v>
          </cell>
          <cell r="Y1978">
            <v>46220</v>
          </cell>
          <cell r="Z1978">
            <v>2</v>
          </cell>
          <cell r="AA1978">
            <v>1000</v>
          </cell>
        </row>
        <row r="1979">
          <cell r="A1979">
            <v>46220</v>
          </cell>
          <cell r="D1979" t="str">
            <v>LADY OF COURAGE</v>
          </cell>
          <cell r="E1979">
            <v>4</v>
          </cell>
          <cell r="H1979" t="str">
            <v>SAFISCOR</v>
          </cell>
          <cell r="N1979">
            <v>1000</v>
          </cell>
          <cell r="Y1979">
            <v>46221</v>
          </cell>
          <cell r="Z1979">
            <v>1</v>
          </cell>
          <cell r="AA1979">
            <v>1000</v>
          </cell>
        </row>
        <row r="1980">
          <cell r="A1980">
            <v>46220</v>
          </cell>
          <cell r="D1980" t="str">
            <v>STAR FREEDOM</v>
          </cell>
          <cell r="E1980">
            <v>5</v>
          </cell>
          <cell r="H1980" t="str">
            <v>SAFISCOR</v>
          </cell>
          <cell r="N1980">
            <v>1000</v>
          </cell>
          <cell r="Y1980">
            <v>46221</v>
          </cell>
          <cell r="Z1980">
            <v>1</v>
          </cell>
          <cell r="AA1980">
            <v>1000</v>
          </cell>
        </row>
        <row r="1981">
          <cell r="A1981">
            <v>46221</v>
          </cell>
          <cell r="D1981" t="str">
            <v>STAR FREEDOM</v>
          </cell>
          <cell r="E1981">
            <v>5</v>
          </cell>
          <cell r="H1981" t="str">
            <v>LAPU-LAPU</v>
          </cell>
          <cell r="N1981">
            <v>1000</v>
          </cell>
          <cell r="Y1981">
            <v>46221</v>
          </cell>
          <cell r="Z1981">
            <v>1</v>
          </cell>
          <cell r="AA1981">
            <v>1000</v>
          </cell>
        </row>
        <row r="1982">
          <cell r="A1982">
            <v>46221</v>
          </cell>
          <cell r="D1982" t="str">
            <v>LADY OF COURAGE</v>
          </cell>
          <cell r="E1982">
            <v>4</v>
          </cell>
          <cell r="H1982" t="str">
            <v>SAFISCOR</v>
          </cell>
          <cell r="N1982">
            <v>1000</v>
          </cell>
          <cell r="Y1982">
            <v>46221</v>
          </cell>
          <cell r="Z1982">
            <v>1</v>
          </cell>
          <cell r="AA1982">
            <v>1000</v>
          </cell>
        </row>
        <row r="1983">
          <cell r="A1983">
            <v>46221</v>
          </cell>
          <cell r="D1983" t="str">
            <v>LADY OF COURAGE</v>
          </cell>
          <cell r="E1983">
            <v>4</v>
          </cell>
          <cell r="H1983" t="str">
            <v>SAFISCOR</v>
          </cell>
          <cell r="N1983">
            <v>1000</v>
          </cell>
          <cell r="Y1983">
            <v>46221</v>
          </cell>
          <cell r="Z1983">
            <v>1</v>
          </cell>
          <cell r="AA1983">
            <v>1000</v>
          </cell>
        </row>
        <row r="1984">
          <cell r="A1984">
            <v>46221</v>
          </cell>
          <cell r="D1984" t="str">
            <v>LADY OF COURAGE</v>
          </cell>
          <cell r="E1984">
            <v>4</v>
          </cell>
          <cell r="H1984" t="str">
            <v>LAPU-LAPU</v>
          </cell>
          <cell r="N1984">
            <v>1000</v>
          </cell>
          <cell r="Y1984">
            <v>46221</v>
          </cell>
          <cell r="Z1984">
            <v>1</v>
          </cell>
          <cell r="AA1984">
            <v>1000</v>
          </cell>
        </row>
        <row r="1985">
          <cell r="A1985">
            <v>46221</v>
          </cell>
          <cell r="D1985" t="str">
            <v>AGNES LILYGENE</v>
          </cell>
          <cell r="E1985">
            <v>1</v>
          </cell>
          <cell r="H1985" t="str">
            <v>FULACHE</v>
          </cell>
          <cell r="N1985">
            <v>1000</v>
          </cell>
          <cell r="Y1985">
            <v>46221</v>
          </cell>
          <cell r="Z1985">
            <v>1</v>
          </cell>
          <cell r="AA1985">
            <v>1000</v>
          </cell>
        </row>
        <row r="1986">
          <cell r="A1986">
            <v>46221</v>
          </cell>
          <cell r="D1986" t="str">
            <v>LADY OF COURAGE</v>
          </cell>
          <cell r="E1986">
            <v>4</v>
          </cell>
          <cell r="H1986" t="str">
            <v>SAFISCOR</v>
          </cell>
          <cell r="N1986">
            <v>1000</v>
          </cell>
          <cell r="Y1986">
            <v>46221</v>
          </cell>
          <cell r="Z1986">
            <v>1</v>
          </cell>
          <cell r="AA1986">
            <v>1000</v>
          </cell>
        </row>
        <row r="1987">
          <cell r="A1987">
            <v>46221</v>
          </cell>
          <cell r="D1987" t="str">
            <v>JOHANNAH 7</v>
          </cell>
          <cell r="E1987">
            <v>3</v>
          </cell>
          <cell r="H1987" t="str">
            <v>APLUS</v>
          </cell>
          <cell r="N1987">
            <v>1000</v>
          </cell>
          <cell r="Y1987">
            <v>46221</v>
          </cell>
          <cell r="Z1987">
            <v>1</v>
          </cell>
          <cell r="AA1987">
            <v>1000</v>
          </cell>
        </row>
        <row r="1988">
          <cell r="A1988">
            <v>46221</v>
          </cell>
          <cell r="D1988" t="str">
            <v>LADY OF COURAGE</v>
          </cell>
          <cell r="E1988">
            <v>4</v>
          </cell>
          <cell r="H1988" t="str">
            <v>SAFISCOR</v>
          </cell>
          <cell r="N1988">
            <v>1000</v>
          </cell>
          <cell r="Y1988">
            <v>46221</v>
          </cell>
          <cell r="Z1988">
            <v>1</v>
          </cell>
          <cell r="AA1988">
            <v>1000</v>
          </cell>
        </row>
        <row r="1989">
          <cell r="A1989">
            <v>46221</v>
          </cell>
          <cell r="D1989" t="str">
            <v>INFINITY 8</v>
          </cell>
          <cell r="E1989">
            <v>2</v>
          </cell>
          <cell r="H1989" t="str">
            <v>SAFISCOR</v>
          </cell>
          <cell r="N1989">
            <v>1000</v>
          </cell>
          <cell r="Y1989">
            <v>46221</v>
          </cell>
          <cell r="Z1989">
            <v>1</v>
          </cell>
          <cell r="AA1989">
            <v>1000</v>
          </cell>
        </row>
        <row r="1990">
          <cell r="A1990">
            <v>46221</v>
          </cell>
          <cell r="D1990" t="str">
            <v>INFINITY 8</v>
          </cell>
          <cell r="E1990">
            <v>2</v>
          </cell>
          <cell r="H1990" t="str">
            <v>SAFISCOR</v>
          </cell>
          <cell r="N1990">
            <v>1000</v>
          </cell>
          <cell r="Y1990">
            <v>46221</v>
          </cell>
          <cell r="Z1990">
            <v>1</v>
          </cell>
          <cell r="AA1990">
            <v>1000</v>
          </cell>
        </row>
        <row r="1991">
          <cell r="A1991">
            <v>46221</v>
          </cell>
          <cell r="D1991" t="str">
            <v>STAR FREEDOM</v>
          </cell>
          <cell r="E1991">
            <v>5</v>
          </cell>
          <cell r="H1991" t="str">
            <v>SAFISCOR</v>
          </cell>
          <cell r="N1991">
            <v>1000</v>
          </cell>
          <cell r="Y1991">
            <v>46221</v>
          </cell>
          <cell r="Z1991">
            <v>1</v>
          </cell>
          <cell r="AA1991">
            <v>1000</v>
          </cell>
        </row>
        <row r="1992">
          <cell r="A1992">
            <v>46221</v>
          </cell>
          <cell r="D1992" t="str">
            <v>NAPOLI</v>
          </cell>
          <cell r="E1992">
            <v>4</v>
          </cell>
          <cell r="H1992" t="str">
            <v>LAPU-LAPU</v>
          </cell>
          <cell r="N1992">
            <v>1000</v>
          </cell>
          <cell r="Y1992">
            <v>46221</v>
          </cell>
          <cell r="Z1992">
            <v>1</v>
          </cell>
          <cell r="AA1992">
            <v>1000</v>
          </cell>
        </row>
        <row r="1993">
          <cell r="A1993">
            <v>46221</v>
          </cell>
          <cell r="D1993" t="str">
            <v>JOHANNAH 7</v>
          </cell>
          <cell r="E1993">
            <v>3</v>
          </cell>
          <cell r="H1993" t="str">
            <v>SAFISCOR</v>
          </cell>
          <cell r="N1993">
            <v>1000</v>
          </cell>
          <cell r="Y1993">
            <v>46221</v>
          </cell>
          <cell r="Z1993">
            <v>1</v>
          </cell>
          <cell r="AA1993">
            <v>1000</v>
          </cell>
        </row>
        <row r="1994">
          <cell r="A1994">
            <v>46221</v>
          </cell>
          <cell r="D1994" t="str">
            <v>AGNES LILYGENE</v>
          </cell>
          <cell r="E1994">
            <v>1</v>
          </cell>
          <cell r="H1994" t="str">
            <v>SAFISCOR</v>
          </cell>
          <cell r="N1994">
            <v>1000</v>
          </cell>
          <cell r="Y1994">
            <v>46221</v>
          </cell>
          <cell r="Z1994">
            <v>2</v>
          </cell>
          <cell r="AA1994">
            <v>1000</v>
          </cell>
        </row>
        <row r="1995">
          <cell r="A1995">
            <v>46221</v>
          </cell>
          <cell r="D1995" t="str">
            <v>AGNES LILYGENE</v>
          </cell>
          <cell r="E1995">
            <v>1</v>
          </cell>
          <cell r="H1995" t="str">
            <v>GEO</v>
          </cell>
          <cell r="N1995">
            <v>1000</v>
          </cell>
          <cell r="Y1995">
            <v>46221</v>
          </cell>
          <cell r="Z1995">
            <v>1</v>
          </cell>
          <cell r="AA1995">
            <v>1000</v>
          </cell>
        </row>
        <row r="1996">
          <cell r="A1996">
            <v>46221</v>
          </cell>
          <cell r="D1996" t="str">
            <v>AGNES LILYGENE</v>
          </cell>
          <cell r="E1996">
            <v>1</v>
          </cell>
          <cell r="H1996" t="str">
            <v>LAPU-LAPU</v>
          </cell>
          <cell r="N1996">
            <v>1000</v>
          </cell>
          <cell r="Y1996">
            <v>46221</v>
          </cell>
          <cell r="Z1996">
            <v>1</v>
          </cell>
          <cell r="AA1996">
            <v>1000</v>
          </cell>
        </row>
        <row r="1997">
          <cell r="A1997">
            <v>46221</v>
          </cell>
          <cell r="D1997" t="str">
            <v>AGNES LILYGENE</v>
          </cell>
          <cell r="E1997">
            <v>1</v>
          </cell>
          <cell r="H1997" t="str">
            <v>FULACHE</v>
          </cell>
          <cell r="N1997">
            <v>1000</v>
          </cell>
          <cell r="Y1997">
            <v>46221</v>
          </cell>
          <cell r="Z1997">
            <v>1</v>
          </cell>
          <cell r="AA1997">
            <v>1000</v>
          </cell>
        </row>
        <row r="1998">
          <cell r="A1998">
            <v>46221</v>
          </cell>
          <cell r="D1998" t="str">
            <v>QUEEN CAROLYN</v>
          </cell>
          <cell r="E1998">
            <v>4</v>
          </cell>
          <cell r="H1998" t="str">
            <v>UCES</v>
          </cell>
          <cell r="N1998">
            <v>1000</v>
          </cell>
          <cell r="Y1998">
            <v>46221</v>
          </cell>
          <cell r="Z1998">
            <v>1</v>
          </cell>
          <cell r="AA1998">
            <v>1000</v>
          </cell>
        </row>
        <row r="1999">
          <cell r="A1999">
            <v>46221</v>
          </cell>
          <cell r="D1999" t="str">
            <v>QUEEN CAROLYN</v>
          </cell>
          <cell r="E1999">
            <v>4</v>
          </cell>
          <cell r="H1999" t="str">
            <v>SAFISCOR</v>
          </cell>
          <cell r="N1999">
            <v>1000</v>
          </cell>
          <cell r="Y1999">
            <v>46221</v>
          </cell>
          <cell r="Z1999">
            <v>1</v>
          </cell>
          <cell r="AA1999">
            <v>1000</v>
          </cell>
        </row>
        <row r="2000">
          <cell r="A2000">
            <v>46221</v>
          </cell>
          <cell r="D2000" t="str">
            <v>QUEEN CAROLYN</v>
          </cell>
          <cell r="E2000">
            <v>4</v>
          </cell>
          <cell r="H2000" t="str">
            <v>SAFISCOR</v>
          </cell>
          <cell r="N2000">
            <v>1000</v>
          </cell>
          <cell r="Y2000">
            <v>46221</v>
          </cell>
          <cell r="Z2000">
            <v>1</v>
          </cell>
          <cell r="AA2000">
            <v>1000</v>
          </cell>
        </row>
        <row r="2001">
          <cell r="A2001">
            <v>46221</v>
          </cell>
          <cell r="D2001" t="str">
            <v>LADY OF COURAGE</v>
          </cell>
          <cell r="E2001">
            <v>4</v>
          </cell>
          <cell r="H2001" t="str">
            <v>SAFISCOR</v>
          </cell>
          <cell r="N2001">
            <v>1000</v>
          </cell>
          <cell r="Y2001">
            <v>46221</v>
          </cell>
          <cell r="Z2001">
            <v>1</v>
          </cell>
          <cell r="AA2001">
            <v>1000</v>
          </cell>
        </row>
        <row r="2002">
          <cell r="A2002">
            <v>46221</v>
          </cell>
          <cell r="D2002" t="str">
            <v>LADY OF COURAGE</v>
          </cell>
          <cell r="E2002">
            <v>4</v>
          </cell>
          <cell r="H2002" t="str">
            <v>SAFISCOR</v>
          </cell>
          <cell r="N2002">
            <v>1000</v>
          </cell>
          <cell r="Y2002">
            <v>46221</v>
          </cell>
          <cell r="Z2002">
            <v>1</v>
          </cell>
          <cell r="AA2002">
            <v>1000</v>
          </cell>
        </row>
        <row r="2003">
          <cell r="A2003">
            <v>46221</v>
          </cell>
          <cell r="D2003" t="str">
            <v>LADY OF COURAGE</v>
          </cell>
          <cell r="E2003">
            <v>4</v>
          </cell>
          <cell r="H2003" t="str">
            <v>SAFISCOR</v>
          </cell>
          <cell r="N2003">
            <v>1000</v>
          </cell>
          <cell r="Y2003">
            <v>46221</v>
          </cell>
          <cell r="Z2003">
            <v>1</v>
          </cell>
          <cell r="AA2003">
            <v>1000</v>
          </cell>
        </row>
        <row r="2004">
          <cell r="A2004">
            <v>46221</v>
          </cell>
          <cell r="D2004" t="str">
            <v>STAR FREEDOM</v>
          </cell>
          <cell r="E2004">
            <v>5</v>
          </cell>
          <cell r="H2004" t="str">
            <v>LAPU-LAPU</v>
          </cell>
          <cell r="N2004">
            <v>1000</v>
          </cell>
          <cell r="Y2004">
            <v>46221</v>
          </cell>
          <cell r="Z2004">
            <v>2</v>
          </cell>
          <cell r="AA2004">
            <v>1000</v>
          </cell>
        </row>
        <row r="2005">
          <cell r="A2005">
            <v>46221</v>
          </cell>
          <cell r="D2005" t="str">
            <v>STAR FREEDOM</v>
          </cell>
          <cell r="E2005">
            <v>5</v>
          </cell>
          <cell r="H2005" t="str">
            <v>SAFISCOR</v>
          </cell>
          <cell r="N2005">
            <v>1000</v>
          </cell>
          <cell r="Y2005">
            <v>46221</v>
          </cell>
          <cell r="Z2005">
            <v>2</v>
          </cell>
          <cell r="AA2005">
            <v>1000</v>
          </cell>
        </row>
        <row r="2006">
          <cell r="A2006">
            <v>46221</v>
          </cell>
          <cell r="D2006" t="str">
            <v>STAR FREEDOM</v>
          </cell>
          <cell r="E2006">
            <v>5</v>
          </cell>
          <cell r="H2006" t="str">
            <v>SAFISCOR</v>
          </cell>
          <cell r="N2006">
            <v>1000</v>
          </cell>
          <cell r="Y2006">
            <v>46221</v>
          </cell>
          <cell r="Z2006">
            <v>1</v>
          </cell>
          <cell r="AA2006">
            <v>1000</v>
          </cell>
        </row>
        <row r="2007">
          <cell r="A2007">
            <v>46221</v>
          </cell>
          <cell r="D2007" t="str">
            <v>NAPOLI</v>
          </cell>
          <cell r="E2007">
            <v>4</v>
          </cell>
          <cell r="H2007" t="str">
            <v>BADIE</v>
          </cell>
          <cell r="N2007">
            <v>1000</v>
          </cell>
          <cell r="Y2007">
            <v>46221</v>
          </cell>
          <cell r="Z2007">
            <v>1</v>
          </cell>
          <cell r="AA2007">
            <v>1000</v>
          </cell>
        </row>
        <row r="2008">
          <cell r="A2008">
            <v>46221</v>
          </cell>
          <cell r="D2008" t="str">
            <v>QUEEN CAROLYN</v>
          </cell>
          <cell r="E2008">
            <v>4</v>
          </cell>
          <cell r="H2008" t="str">
            <v>SAFISCOR</v>
          </cell>
          <cell r="N2008">
            <v>1000</v>
          </cell>
          <cell r="Y2008">
            <v>46221</v>
          </cell>
          <cell r="Z2008">
            <v>2</v>
          </cell>
          <cell r="AA2008">
            <v>1000</v>
          </cell>
        </row>
        <row r="2009">
          <cell r="A2009">
            <v>46221</v>
          </cell>
          <cell r="D2009" t="str">
            <v>INFINITY 8</v>
          </cell>
          <cell r="E2009">
            <v>2</v>
          </cell>
          <cell r="H2009" t="str">
            <v>SAFISCOR</v>
          </cell>
          <cell r="N2009">
            <v>1000</v>
          </cell>
          <cell r="Y2009">
            <v>46221</v>
          </cell>
          <cell r="Z2009">
            <v>1</v>
          </cell>
          <cell r="AA2009">
            <v>1000</v>
          </cell>
        </row>
        <row r="2010">
          <cell r="A2010">
            <v>46221</v>
          </cell>
          <cell r="D2010" t="str">
            <v>STAR FREEDOM</v>
          </cell>
          <cell r="E2010">
            <v>5</v>
          </cell>
          <cell r="H2010" t="str">
            <v>SAFISCOR</v>
          </cell>
          <cell r="N2010">
            <v>1000</v>
          </cell>
          <cell r="Y2010">
            <v>46221</v>
          </cell>
          <cell r="Z2010">
            <v>2</v>
          </cell>
          <cell r="AA2010">
            <v>1000</v>
          </cell>
        </row>
        <row r="2011">
          <cell r="A2011">
            <v>46221</v>
          </cell>
          <cell r="D2011" t="str">
            <v>AGNES LILYGENE</v>
          </cell>
          <cell r="E2011">
            <v>1</v>
          </cell>
          <cell r="H2011" t="str">
            <v>SAFISCOR</v>
          </cell>
          <cell r="N2011">
            <v>1000</v>
          </cell>
          <cell r="Y2011">
            <v>46221</v>
          </cell>
          <cell r="Z2011">
            <v>2</v>
          </cell>
          <cell r="AA2011">
            <v>1000</v>
          </cell>
        </row>
        <row r="2012">
          <cell r="A2012">
            <v>46221</v>
          </cell>
          <cell r="D2012" t="str">
            <v>AGNES LILYGENE</v>
          </cell>
          <cell r="E2012">
            <v>1</v>
          </cell>
          <cell r="H2012" t="str">
            <v>LAPU-LAPU</v>
          </cell>
          <cell r="N2012">
            <v>1000</v>
          </cell>
          <cell r="Y2012">
            <v>46221</v>
          </cell>
          <cell r="Z2012">
            <v>1</v>
          </cell>
          <cell r="AA2012">
            <v>1000</v>
          </cell>
        </row>
        <row r="2013">
          <cell r="A2013">
            <v>46221</v>
          </cell>
          <cell r="D2013" t="str">
            <v>INFINITY 8</v>
          </cell>
          <cell r="E2013">
            <v>2</v>
          </cell>
          <cell r="H2013" t="str">
            <v>SAFISCOR</v>
          </cell>
          <cell r="N2013">
            <v>1000</v>
          </cell>
          <cell r="Y2013">
            <v>46221</v>
          </cell>
          <cell r="Z2013">
            <v>1</v>
          </cell>
          <cell r="AA2013">
            <v>1000</v>
          </cell>
        </row>
        <row r="2014">
          <cell r="A2014">
            <v>46221</v>
          </cell>
          <cell r="D2014" t="str">
            <v>QUEEN CAROLYN</v>
          </cell>
          <cell r="E2014">
            <v>4</v>
          </cell>
          <cell r="H2014" t="str">
            <v>SAFISCOR</v>
          </cell>
          <cell r="N2014">
            <v>1000</v>
          </cell>
          <cell r="Y2014">
            <v>46221</v>
          </cell>
          <cell r="Z2014">
            <v>2</v>
          </cell>
          <cell r="AA2014">
            <v>1000</v>
          </cell>
        </row>
        <row r="2015">
          <cell r="A2015">
            <v>46221</v>
          </cell>
          <cell r="D2015" t="str">
            <v>STAR FREEDOM</v>
          </cell>
          <cell r="E2015">
            <v>5</v>
          </cell>
          <cell r="H2015" t="str">
            <v>SAFISCOR</v>
          </cell>
          <cell r="N2015">
            <v>1000</v>
          </cell>
          <cell r="Y2015">
            <v>46221</v>
          </cell>
          <cell r="Z2015">
            <v>2</v>
          </cell>
          <cell r="AA2015">
            <v>1000</v>
          </cell>
        </row>
        <row r="2016">
          <cell r="A2016">
            <v>46221</v>
          </cell>
          <cell r="D2016" t="str">
            <v>INFINITY 8</v>
          </cell>
          <cell r="E2016">
            <v>2</v>
          </cell>
          <cell r="H2016" t="str">
            <v>SAFISCOR</v>
          </cell>
          <cell r="N2016">
            <v>1000</v>
          </cell>
          <cell r="Y2016">
            <v>46221</v>
          </cell>
          <cell r="Z2016">
            <v>2</v>
          </cell>
          <cell r="AA2016">
            <v>1000</v>
          </cell>
        </row>
        <row r="2017">
          <cell r="A2017">
            <v>46221</v>
          </cell>
          <cell r="D2017" t="str">
            <v>AGNES LILYGENE</v>
          </cell>
          <cell r="E2017">
            <v>1</v>
          </cell>
          <cell r="H2017" t="str">
            <v>SAFISCOR</v>
          </cell>
          <cell r="N2017">
            <v>1000</v>
          </cell>
          <cell r="Y2017">
            <v>46221</v>
          </cell>
          <cell r="Z2017">
            <v>2</v>
          </cell>
          <cell r="AA2017">
            <v>1000</v>
          </cell>
        </row>
        <row r="2018">
          <cell r="A2018">
            <v>46221</v>
          </cell>
          <cell r="D2018" t="str">
            <v>AGNES LILYGENE</v>
          </cell>
          <cell r="E2018">
            <v>1</v>
          </cell>
          <cell r="H2018" t="str">
            <v>APLUS</v>
          </cell>
          <cell r="N2018">
            <v>1000</v>
          </cell>
          <cell r="Y2018">
            <v>46221</v>
          </cell>
          <cell r="Z2018">
            <v>2</v>
          </cell>
          <cell r="AA2018">
            <v>1000</v>
          </cell>
        </row>
        <row r="2019">
          <cell r="A2019">
            <v>46221</v>
          </cell>
          <cell r="D2019" t="str">
            <v>AGNES LILYGENE</v>
          </cell>
          <cell r="E2019">
            <v>1</v>
          </cell>
          <cell r="H2019" t="str">
            <v>UCES</v>
          </cell>
          <cell r="N2019">
            <v>1000</v>
          </cell>
          <cell r="Y2019">
            <v>46221</v>
          </cell>
          <cell r="Z2019">
            <v>2</v>
          </cell>
          <cell r="AA2019">
            <v>1000</v>
          </cell>
        </row>
        <row r="2020">
          <cell r="A2020">
            <v>46221</v>
          </cell>
          <cell r="D2020" t="str">
            <v>LADY OF COURAGE</v>
          </cell>
          <cell r="E2020">
            <v>4</v>
          </cell>
          <cell r="H2020" t="str">
            <v>SAFISCOR</v>
          </cell>
          <cell r="N2020">
            <v>1000</v>
          </cell>
          <cell r="Y2020">
            <v>46221</v>
          </cell>
          <cell r="Z2020">
            <v>2</v>
          </cell>
          <cell r="AA2020">
            <v>1000</v>
          </cell>
        </row>
        <row r="2021">
          <cell r="A2021">
            <v>46221</v>
          </cell>
          <cell r="D2021" t="str">
            <v>QUEEN CAROLYN</v>
          </cell>
          <cell r="E2021">
            <v>4</v>
          </cell>
          <cell r="H2021" t="str">
            <v>GEO</v>
          </cell>
          <cell r="N2021">
            <v>1000</v>
          </cell>
          <cell r="Y2021">
            <v>46221</v>
          </cell>
          <cell r="Z2021">
            <v>2</v>
          </cell>
          <cell r="AA2021">
            <v>1000</v>
          </cell>
        </row>
        <row r="2022">
          <cell r="A2022">
            <v>46221</v>
          </cell>
          <cell r="D2022" t="str">
            <v>JOHANNAH 7</v>
          </cell>
          <cell r="E2022">
            <v>3</v>
          </cell>
          <cell r="H2022" t="str">
            <v>LAPU-LAPU</v>
          </cell>
          <cell r="N2022">
            <v>1000</v>
          </cell>
          <cell r="Y2022">
            <v>46221</v>
          </cell>
          <cell r="Z2022">
            <v>2</v>
          </cell>
          <cell r="AA2022">
            <v>1000</v>
          </cell>
        </row>
        <row r="2023">
          <cell r="A2023">
            <v>46221</v>
          </cell>
          <cell r="D2023" t="str">
            <v>QUEEN CAROLYN</v>
          </cell>
          <cell r="E2023">
            <v>4</v>
          </cell>
          <cell r="H2023" t="str">
            <v>BADIE</v>
          </cell>
          <cell r="N2023">
            <v>1000</v>
          </cell>
          <cell r="Y2023">
            <v>46221</v>
          </cell>
          <cell r="Z2023">
            <v>2</v>
          </cell>
          <cell r="AA2023">
            <v>1000</v>
          </cell>
        </row>
        <row r="2024">
          <cell r="A2024">
            <v>46221</v>
          </cell>
          <cell r="D2024" t="str">
            <v>INFINITY 8</v>
          </cell>
          <cell r="E2024">
            <v>2</v>
          </cell>
          <cell r="H2024" t="str">
            <v>SAFISCOR</v>
          </cell>
          <cell r="N2024">
            <v>1000</v>
          </cell>
          <cell r="Y2024">
            <v>46221</v>
          </cell>
          <cell r="Z2024">
            <v>2</v>
          </cell>
          <cell r="AA2024">
            <v>1000</v>
          </cell>
        </row>
        <row r="2025">
          <cell r="A2025">
            <v>46221</v>
          </cell>
          <cell r="D2025" t="str">
            <v>NAPOLI</v>
          </cell>
          <cell r="E2025">
            <v>4</v>
          </cell>
          <cell r="H2025" t="str">
            <v>SAFISCOR</v>
          </cell>
          <cell r="N2025">
            <v>1000</v>
          </cell>
          <cell r="Y2025">
            <v>46221</v>
          </cell>
          <cell r="Z2025">
            <v>2</v>
          </cell>
          <cell r="AA2025">
            <v>1000</v>
          </cell>
        </row>
        <row r="2026">
          <cell r="A2026">
            <v>46221</v>
          </cell>
          <cell r="D2026" t="str">
            <v>STAR FREEDOM</v>
          </cell>
          <cell r="E2026">
            <v>5</v>
          </cell>
          <cell r="H2026" t="str">
            <v>SAFISCOR</v>
          </cell>
          <cell r="N2026">
            <v>1000</v>
          </cell>
          <cell r="Y2026">
            <v>46221</v>
          </cell>
          <cell r="Z2026">
            <v>2</v>
          </cell>
          <cell r="AA2026">
            <v>1000</v>
          </cell>
        </row>
        <row r="2027">
          <cell r="A2027">
            <v>46221</v>
          </cell>
          <cell r="D2027" t="str">
            <v>JOHANNAH 7</v>
          </cell>
          <cell r="E2027">
            <v>3</v>
          </cell>
          <cell r="H2027" t="str">
            <v>SAFISCOR</v>
          </cell>
          <cell r="N2027">
            <v>1000</v>
          </cell>
          <cell r="Y2027">
            <v>46221</v>
          </cell>
          <cell r="Z2027">
            <v>2</v>
          </cell>
          <cell r="AA2027">
            <v>1000</v>
          </cell>
        </row>
        <row r="2028">
          <cell r="A2028">
            <v>46221</v>
          </cell>
          <cell r="D2028" t="str">
            <v>LADY OF COURAGE</v>
          </cell>
          <cell r="E2028">
            <v>4</v>
          </cell>
          <cell r="H2028" t="str">
            <v>SAFISCOR</v>
          </cell>
          <cell r="N2028">
            <v>1000</v>
          </cell>
          <cell r="Y2028">
            <v>46221</v>
          </cell>
          <cell r="Z2028">
            <v>2</v>
          </cell>
          <cell r="AA2028">
            <v>1000</v>
          </cell>
        </row>
        <row r="2029">
          <cell r="A2029">
            <v>46221</v>
          </cell>
          <cell r="D2029" t="str">
            <v>STAR FREEDOM</v>
          </cell>
          <cell r="E2029">
            <v>5</v>
          </cell>
          <cell r="H2029" t="str">
            <v>SAFISCOR</v>
          </cell>
          <cell r="N2029">
            <v>1000</v>
          </cell>
          <cell r="Y2029">
            <v>46221</v>
          </cell>
          <cell r="Z2029">
            <v>2</v>
          </cell>
          <cell r="AA2029">
            <v>1000</v>
          </cell>
        </row>
        <row r="2030">
          <cell r="A2030">
            <v>46221</v>
          </cell>
          <cell r="D2030" t="str">
            <v>INFINITY 8</v>
          </cell>
          <cell r="E2030">
            <v>2</v>
          </cell>
          <cell r="H2030" t="str">
            <v>SAFISCOR</v>
          </cell>
          <cell r="N2030">
            <v>1000</v>
          </cell>
          <cell r="Y2030">
            <v>46221</v>
          </cell>
          <cell r="Z2030">
            <v>2</v>
          </cell>
          <cell r="AA2030">
            <v>1000</v>
          </cell>
        </row>
        <row r="2031">
          <cell r="A2031">
            <v>46221</v>
          </cell>
          <cell r="D2031" t="str">
            <v>LADY OF COURAGE</v>
          </cell>
          <cell r="E2031">
            <v>4</v>
          </cell>
          <cell r="H2031" t="str">
            <v>SAFISCOR</v>
          </cell>
          <cell r="N2031">
            <v>1000</v>
          </cell>
          <cell r="Y2031">
            <v>46221</v>
          </cell>
          <cell r="Z2031">
            <v>2</v>
          </cell>
          <cell r="AA2031">
            <v>1000</v>
          </cell>
        </row>
        <row r="2032">
          <cell r="A2032">
            <v>46221</v>
          </cell>
          <cell r="D2032" t="str">
            <v>INFINITY 8</v>
          </cell>
          <cell r="E2032">
            <v>2</v>
          </cell>
          <cell r="H2032" t="str">
            <v>SAFISCOR</v>
          </cell>
          <cell r="N2032">
            <v>1000</v>
          </cell>
          <cell r="Y2032">
            <v>46221</v>
          </cell>
          <cell r="Z2032">
            <v>2</v>
          </cell>
          <cell r="AA2032">
            <v>1000</v>
          </cell>
        </row>
        <row r="2033">
          <cell r="A2033">
            <v>46221</v>
          </cell>
          <cell r="D2033" t="str">
            <v>NAPOLI</v>
          </cell>
          <cell r="E2033">
            <v>4</v>
          </cell>
          <cell r="H2033" t="str">
            <v>SAFISCOR</v>
          </cell>
          <cell r="N2033">
            <v>1000</v>
          </cell>
          <cell r="Y2033">
            <v>46221</v>
          </cell>
          <cell r="Z2033">
            <v>2</v>
          </cell>
          <cell r="AA2033">
            <v>1000</v>
          </cell>
        </row>
        <row r="2034">
          <cell r="A2034">
            <v>46221</v>
          </cell>
          <cell r="D2034" t="str">
            <v>STAR FREEDOM</v>
          </cell>
          <cell r="E2034">
            <v>5</v>
          </cell>
          <cell r="H2034" t="str">
            <v>SAFISCOR</v>
          </cell>
          <cell r="N2034">
            <v>1000</v>
          </cell>
          <cell r="Y2034">
            <v>46221</v>
          </cell>
          <cell r="Z2034">
            <v>2</v>
          </cell>
          <cell r="AA2034">
            <v>1000</v>
          </cell>
        </row>
        <row r="2035">
          <cell r="A2035">
            <v>46221</v>
          </cell>
          <cell r="D2035" t="str">
            <v>JOHANNAH 7</v>
          </cell>
          <cell r="E2035">
            <v>3</v>
          </cell>
          <cell r="H2035" t="str">
            <v>SAFISCOR</v>
          </cell>
          <cell r="N2035">
            <v>1000</v>
          </cell>
          <cell r="Y2035">
            <v>46221</v>
          </cell>
          <cell r="Z2035">
            <v>2</v>
          </cell>
          <cell r="AA2035">
            <v>1000</v>
          </cell>
        </row>
        <row r="2036">
          <cell r="A2036">
            <v>46221</v>
          </cell>
          <cell r="D2036" t="str">
            <v>INFINITY 8</v>
          </cell>
          <cell r="E2036">
            <v>2</v>
          </cell>
          <cell r="H2036" t="str">
            <v>SAFISCOR</v>
          </cell>
          <cell r="N2036">
            <v>1000</v>
          </cell>
          <cell r="Y2036">
            <v>46221</v>
          </cell>
          <cell r="Z2036">
            <v>2</v>
          </cell>
          <cell r="AA2036">
            <v>1000</v>
          </cell>
        </row>
        <row r="2037">
          <cell r="A2037">
            <v>46221</v>
          </cell>
          <cell r="D2037" t="str">
            <v>STAR FREEDOM</v>
          </cell>
          <cell r="E2037">
            <v>5</v>
          </cell>
          <cell r="H2037" t="str">
            <v>SAFISCOR</v>
          </cell>
          <cell r="N2037">
            <v>1000</v>
          </cell>
          <cell r="Y2037">
            <v>46221</v>
          </cell>
          <cell r="Z2037">
            <v>2</v>
          </cell>
          <cell r="AA2037">
            <v>1000</v>
          </cell>
        </row>
        <row r="2038">
          <cell r="A2038">
            <v>46221</v>
          </cell>
          <cell r="D2038" t="str">
            <v>LADY OF COURAGE</v>
          </cell>
          <cell r="E2038">
            <v>4</v>
          </cell>
          <cell r="H2038" t="str">
            <v>SAFISCOR</v>
          </cell>
          <cell r="N2038">
            <v>1000</v>
          </cell>
          <cell r="Y2038">
            <v>46221</v>
          </cell>
          <cell r="Z2038">
            <v>2</v>
          </cell>
          <cell r="AA2038">
            <v>1000</v>
          </cell>
        </row>
        <row r="2039">
          <cell r="A2039">
            <v>46221</v>
          </cell>
          <cell r="D2039" t="str">
            <v>QUEEN CAROLYN</v>
          </cell>
          <cell r="E2039">
            <v>4</v>
          </cell>
          <cell r="H2039" t="str">
            <v>SAFISCOR</v>
          </cell>
          <cell r="N2039">
            <v>1000</v>
          </cell>
          <cell r="Y2039">
            <v>46221</v>
          </cell>
          <cell r="Z2039">
            <v>2</v>
          </cell>
          <cell r="AA2039">
            <v>1000</v>
          </cell>
        </row>
        <row r="2040">
          <cell r="A2040">
            <v>46221</v>
          </cell>
          <cell r="D2040" t="str">
            <v>NAPOLI</v>
          </cell>
          <cell r="E2040">
            <v>4</v>
          </cell>
          <cell r="H2040" t="str">
            <v>BADIE</v>
          </cell>
          <cell r="N2040">
            <v>1000</v>
          </cell>
          <cell r="Y2040">
            <v>46221</v>
          </cell>
          <cell r="Z2040">
            <v>2</v>
          </cell>
          <cell r="AA2040">
            <v>1000</v>
          </cell>
        </row>
        <row r="2041">
          <cell r="A2041">
            <v>46221</v>
          </cell>
          <cell r="D2041" t="str">
            <v>JOHANNAH 7</v>
          </cell>
          <cell r="E2041">
            <v>3</v>
          </cell>
          <cell r="H2041" t="str">
            <v>LAPU-LAPU</v>
          </cell>
          <cell r="N2041">
            <v>800</v>
          </cell>
          <cell r="Y2041">
            <v>46221</v>
          </cell>
          <cell r="Z2041">
            <v>2</v>
          </cell>
          <cell r="AA2041">
            <v>800</v>
          </cell>
        </row>
        <row r="2042">
          <cell r="A2042">
            <v>46221</v>
          </cell>
          <cell r="D2042" t="str">
            <v>INFINITY 8</v>
          </cell>
          <cell r="E2042">
            <v>2</v>
          </cell>
          <cell r="H2042" t="str">
            <v>LAPU-LAPU</v>
          </cell>
          <cell r="N2042">
            <v>200</v>
          </cell>
          <cell r="Y2042">
            <v>46221</v>
          </cell>
          <cell r="Z2042">
            <v>2</v>
          </cell>
          <cell r="AA2042">
            <v>200</v>
          </cell>
        </row>
        <row r="2043">
          <cell r="A2043">
            <v>46221</v>
          </cell>
          <cell r="D2043" t="str">
            <v>QUEEN CAROLYN</v>
          </cell>
          <cell r="E2043">
            <v>4</v>
          </cell>
          <cell r="H2043" t="str">
            <v>GEO</v>
          </cell>
          <cell r="N2043">
            <v>1000</v>
          </cell>
          <cell r="Y2043">
            <v>46221</v>
          </cell>
          <cell r="Z2043">
            <v>2</v>
          </cell>
          <cell r="AA2043">
            <v>1000</v>
          </cell>
        </row>
        <row r="2044">
          <cell r="A2044">
            <v>46221</v>
          </cell>
          <cell r="D2044" t="str">
            <v>QUEEN CAROLYN</v>
          </cell>
          <cell r="E2044">
            <v>4</v>
          </cell>
          <cell r="H2044" t="str">
            <v>SAFISCOR</v>
          </cell>
          <cell r="N2044">
            <v>1000</v>
          </cell>
          <cell r="Y2044">
            <v>46221</v>
          </cell>
          <cell r="Z2044">
            <v>2</v>
          </cell>
          <cell r="AA2044">
            <v>1000</v>
          </cell>
        </row>
        <row r="2045">
          <cell r="A2045">
            <v>46221</v>
          </cell>
          <cell r="D2045" t="str">
            <v>INFINITY 8</v>
          </cell>
          <cell r="E2045">
            <v>2</v>
          </cell>
          <cell r="H2045" t="str">
            <v>SAFISCOR</v>
          </cell>
          <cell r="N2045">
            <v>1000</v>
          </cell>
          <cell r="Y2045">
            <v>46221</v>
          </cell>
          <cell r="Z2045">
            <v>2</v>
          </cell>
          <cell r="AA2045">
            <v>1000</v>
          </cell>
        </row>
        <row r="2046">
          <cell r="A2046">
            <v>46221</v>
          </cell>
          <cell r="D2046" t="str">
            <v>JOHANNAH 7</v>
          </cell>
          <cell r="E2046">
            <v>3</v>
          </cell>
          <cell r="H2046" t="str">
            <v>SAFISCOR</v>
          </cell>
          <cell r="N2046">
            <v>1000</v>
          </cell>
          <cell r="Y2046">
            <v>46221</v>
          </cell>
          <cell r="Z2046">
            <v>2</v>
          </cell>
          <cell r="AA2046">
            <v>1000</v>
          </cell>
        </row>
        <row r="2047">
          <cell r="A2047">
            <v>46221</v>
          </cell>
          <cell r="D2047" t="str">
            <v>NAPOLI</v>
          </cell>
          <cell r="E2047">
            <v>4</v>
          </cell>
          <cell r="H2047" t="str">
            <v>SAFISCOR</v>
          </cell>
          <cell r="N2047">
            <v>1000</v>
          </cell>
          <cell r="Y2047">
            <v>46221</v>
          </cell>
          <cell r="Z2047">
            <v>2</v>
          </cell>
          <cell r="AA2047">
            <v>1000</v>
          </cell>
        </row>
        <row r="2048">
          <cell r="A2048">
            <v>46221</v>
          </cell>
          <cell r="D2048" t="str">
            <v>INFINITY 8</v>
          </cell>
          <cell r="E2048">
            <v>2</v>
          </cell>
          <cell r="H2048" t="str">
            <v>SAFISCOR</v>
          </cell>
          <cell r="N2048">
            <v>1000</v>
          </cell>
          <cell r="Y2048">
            <v>46221</v>
          </cell>
          <cell r="Z2048">
            <v>2</v>
          </cell>
          <cell r="AA2048">
            <v>1000</v>
          </cell>
        </row>
        <row r="2049">
          <cell r="A2049">
            <v>46222</v>
          </cell>
          <cell r="D2049" t="str">
            <v>INFINITY 8</v>
          </cell>
          <cell r="E2049">
            <v>2</v>
          </cell>
          <cell r="H2049" t="str">
            <v>GEO</v>
          </cell>
          <cell r="N2049">
            <v>1000</v>
          </cell>
          <cell r="Y2049">
            <v>46222</v>
          </cell>
          <cell r="Z2049">
            <v>1</v>
          </cell>
          <cell r="AA2049">
            <v>1000</v>
          </cell>
        </row>
        <row r="2050">
          <cell r="A2050">
            <v>46222</v>
          </cell>
          <cell r="D2050" t="str">
            <v>NAPOLI</v>
          </cell>
          <cell r="E2050">
            <v>4</v>
          </cell>
          <cell r="H2050" t="str">
            <v>LAPU-LAPU</v>
          </cell>
          <cell r="N2050">
            <v>1000</v>
          </cell>
          <cell r="Y2050">
            <v>46222</v>
          </cell>
          <cell r="Z2050">
            <v>1</v>
          </cell>
          <cell r="AA2050">
            <v>1000</v>
          </cell>
        </row>
        <row r="2051">
          <cell r="A2051">
            <v>46222</v>
          </cell>
          <cell r="D2051" t="str">
            <v>INFINITY 8</v>
          </cell>
          <cell r="E2051">
            <v>2</v>
          </cell>
          <cell r="H2051" t="str">
            <v>SAFISCOR</v>
          </cell>
          <cell r="N2051">
            <v>1000</v>
          </cell>
          <cell r="Y2051">
            <v>46222</v>
          </cell>
          <cell r="Z2051">
            <v>1</v>
          </cell>
          <cell r="AA2051">
            <v>1000</v>
          </cell>
        </row>
        <row r="2052">
          <cell r="A2052">
            <v>46222</v>
          </cell>
          <cell r="D2052" t="str">
            <v>JOHANNAH 7</v>
          </cell>
          <cell r="E2052">
            <v>3</v>
          </cell>
          <cell r="H2052" t="str">
            <v>SAFISCOR</v>
          </cell>
          <cell r="N2052">
            <v>1000</v>
          </cell>
          <cell r="Y2052">
            <v>46222</v>
          </cell>
          <cell r="Z2052">
            <v>1</v>
          </cell>
          <cell r="AA2052">
            <v>1000</v>
          </cell>
        </row>
        <row r="2053">
          <cell r="A2053">
            <v>46222</v>
          </cell>
          <cell r="D2053" t="str">
            <v>INFINITY 8</v>
          </cell>
          <cell r="E2053">
            <v>2</v>
          </cell>
          <cell r="H2053" t="str">
            <v>GEO</v>
          </cell>
          <cell r="N2053">
            <v>1000</v>
          </cell>
          <cell r="Y2053">
            <v>46222</v>
          </cell>
          <cell r="Z2053">
            <v>1</v>
          </cell>
          <cell r="AA2053">
            <v>1000</v>
          </cell>
        </row>
        <row r="2054">
          <cell r="A2054">
            <v>46222</v>
          </cell>
          <cell r="D2054" t="str">
            <v>NAPOLI</v>
          </cell>
          <cell r="E2054">
            <v>4</v>
          </cell>
          <cell r="H2054" t="str">
            <v>SAFISCOR</v>
          </cell>
          <cell r="N2054">
            <v>1000</v>
          </cell>
          <cell r="Y2054">
            <v>46222</v>
          </cell>
          <cell r="Z2054">
            <v>1</v>
          </cell>
          <cell r="AA2054">
            <v>1000</v>
          </cell>
        </row>
        <row r="2055">
          <cell r="A2055">
            <v>46222</v>
          </cell>
          <cell r="D2055" t="str">
            <v>NAPOLI</v>
          </cell>
          <cell r="E2055">
            <v>4</v>
          </cell>
          <cell r="H2055" t="str">
            <v>LAPU-LAPU</v>
          </cell>
          <cell r="N2055">
            <v>1000</v>
          </cell>
          <cell r="Y2055">
            <v>46222</v>
          </cell>
          <cell r="Z2055">
            <v>1</v>
          </cell>
          <cell r="AA2055">
            <v>1000</v>
          </cell>
        </row>
        <row r="2056">
          <cell r="A2056">
            <v>46222</v>
          </cell>
          <cell r="D2056" t="str">
            <v>JOHANNAH 7</v>
          </cell>
          <cell r="E2056">
            <v>3</v>
          </cell>
          <cell r="H2056" t="str">
            <v>SAFISCOR</v>
          </cell>
          <cell r="N2056">
            <v>1000</v>
          </cell>
          <cell r="Y2056">
            <v>46222</v>
          </cell>
          <cell r="Z2056">
            <v>1</v>
          </cell>
          <cell r="AA2056">
            <v>1000</v>
          </cell>
        </row>
        <row r="2057">
          <cell r="A2057">
            <v>46222</v>
          </cell>
          <cell r="D2057" t="str">
            <v>SALVACION VI</v>
          </cell>
          <cell r="E2057">
            <v>3</v>
          </cell>
          <cell r="H2057" t="str">
            <v>SAFISCOR</v>
          </cell>
          <cell r="N2057">
            <v>1000</v>
          </cell>
          <cell r="Y2057">
            <v>46222</v>
          </cell>
          <cell r="Z2057">
            <v>1</v>
          </cell>
          <cell r="AA2057">
            <v>1000</v>
          </cell>
        </row>
        <row r="2058">
          <cell r="A2058">
            <v>46222</v>
          </cell>
          <cell r="D2058" t="str">
            <v>AGNES LILYGENE</v>
          </cell>
          <cell r="E2058">
            <v>1</v>
          </cell>
          <cell r="H2058" t="str">
            <v>SAFISCOR</v>
          </cell>
          <cell r="N2058">
            <v>1000</v>
          </cell>
          <cell r="Y2058">
            <v>46222</v>
          </cell>
          <cell r="Z2058">
            <v>1</v>
          </cell>
          <cell r="AA2058">
            <v>1000</v>
          </cell>
        </row>
        <row r="2059">
          <cell r="A2059">
            <v>46222</v>
          </cell>
          <cell r="D2059" t="str">
            <v>JOHANNAH 7</v>
          </cell>
          <cell r="E2059">
            <v>3</v>
          </cell>
          <cell r="H2059" t="str">
            <v>SAFISCOR</v>
          </cell>
          <cell r="N2059">
            <v>1000</v>
          </cell>
          <cell r="Y2059">
            <v>46222</v>
          </cell>
          <cell r="Z2059">
            <v>1</v>
          </cell>
          <cell r="AA2059">
            <v>1000</v>
          </cell>
        </row>
        <row r="2060">
          <cell r="A2060">
            <v>46222</v>
          </cell>
          <cell r="D2060" t="str">
            <v>INFINITY 8</v>
          </cell>
          <cell r="E2060">
            <v>2</v>
          </cell>
          <cell r="H2060" t="str">
            <v>SAFISCOR</v>
          </cell>
          <cell r="N2060">
            <v>1000</v>
          </cell>
          <cell r="Y2060">
            <v>46222</v>
          </cell>
          <cell r="Z2060">
            <v>1</v>
          </cell>
          <cell r="AA2060">
            <v>1000</v>
          </cell>
        </row>
        <row r="2061">
          <cell r="A2061">
            <v>46222</v>
          </cell>
          <cell r="D2061" t="str">
            <v>NAPOLI</v>
          </cell>
          <cell r="E2061">
            <v>4</v>
          </cell>
          <cell r="H2061" t="str">
            <v>SAFISCOR</v>
          </cell>
          <cell r="N2061">
            <v>1000</v>
          </cell>
          <cell r="Y2061">
            <v>46222</v>
          </cell>
          <cell r="Z2061">
            <v>1</v>
          </cell>
          <cell r="AA2061">
            <v>1000</v>
          </cell>
        </row>
        <row r="2062">
          <cell r="A2062">
            <v>46222</v>
          </cell>
          <cell r="D2062" t="str">
            <v>QUEEN CAROLYN</v>
          </cell>
          <cell r="E2062">
            <v>4</v>
          </cell>
          <cell r="H2062" t="str">
            <v>SAFISCOR</v>
          </cell>
          <cell r="N2062">
            <v>1000</v>
          </cell>
          <cell r="Y2062">
            <v>46222</v>
          </cell>
          <cell r="Z2062">
            <v>1</v>
          </cell>
          <cell r="AA2062">
            <v>1000</v>
          </cell>
        </row>
        <row r="2063">
          <cell r="A2063">
            <v>46222</v>
          </cell>
          <cell r="D2063" t="str">
            <v>STAR ILIGAN</v>
          </cell>
          <cell r="E2063">
            <v>4</v>
          </cell>
          <cell r="H2063" t="str">
            <v>SAFISCOR</v>
          </cell>
          <cell r="N2063">
            <v>1000</v>
          </cell>
          <cell r="Y2063">
            <v>46222</v>
          </cell>
          <cell r="Z2063">
            <v>1</v>
          </cell>
          <cell r="AA2063">
            <v>1000</v>
          </cell>
        </row>
        <row r="2064">
          <cell r="A2064">
            <v>46223</v>
          </cell>
          <cell r="D2064" t="str">
            <v>JOHANNAH 7</v>
          </cell>
          <cell r="E2064">
            <v>3</v>
          </cell>
          <cell r="H2064" t="str">
            <v>APLUS</v>
          </cell>
          <cell r="N2064">
            <v>1000</v>
          </cell>
          <cell r="Y2064">
            <v>46223</v>
          </cell>
          <cell r="Z2064">
            <v>1</v>
          </cell>
          <cell r="AA2064">
            <v>1000</v>
          </cell>
        </row>
        <row r="2065">
          <cell r="A2065">
            <v>46223</v>
          </cell>
          <cell r="D2065" t="str">
            <v>STAR ILIGAN</v>
          </cell>
          <cell r="E2065">
            <v>4</v>
          </cell>
          <cell r="H2065" t="str">
            <v>SAFISCOR</v>
          </cell>
          <cell r="N2065">
            <v>1000</v>
          </cell>
          <cell r="Y2065">
            <v>46223</v>
          </cell>
          <cell r="Z2065">
            <v>1</v>
          </cell>
          <cell r="AA2065">
            <v>1000</v>
          </cell>
        </row>
        <row r="2066">
          <cell r="A2066">
            <v>46223</v>
          </cell>
          <cell r="D2066" t="str">
            <v>JOHANNAH 7</v>
          </cell>
          <cell r="E2066">
            <v>3</v>
          </cell>
          <cell r="H2066" t="str">
            <v>LAPU-LAPU</v>
          </cell>
          <cell r="N2066">
            <v>1000</v>
          </cell>
          <cell r="Y2066">
            <v>46223</v>
          </cell>
          <cell r="Z2066">
            <v>1</v>
          </cell>
          <cell r="AA2066">
            <v>1000</v>
          </cell>
        </row>
        <row r="2067">
          <cell r="A2067">
            <v>46223</v>
          </cell>
          <cell r="D2067" t="str">
            <v>SALVACION VI</v>
          </cell>
          <cell r="E2067">
            <v>3</v>
          </cell>
          <cell r="H2067" t="str">
            <v>SAFISCOR</v>
          </cell>
          <cell r="N2067">
            <v>1000</v>
          </cell>
          <cell r="Y2067">
            <v>46223</v>
          </cell>
          <cell r="Z2067">
            <v>1</v>
          </cell>
          <cell r="AA2067">
            <v>1000</v>
          </cell>
        </row>
        <row r="2068">
          <cell r="A2068">
            <v>46223</v>
          </cell>
          <cell r="D2068" t="str">
            <v>NAPOLI</v>
          </cell>
          <cell r="E2068">
            <v>4</v>
          </cell>
          <cell r="H2068" t="str">
            <v>SAFISCOR</v>
          </cell>
          <cell r="N2068">
            <v>1000</v>
          </cell>
          <cell r="Y2068">
            <v>46224</v>
          </cell>
          <cell r="Z2068">
            <v>1</v>
          </cell>
          <cell r="AA2068">
            <v>1000</v>
          </cell>
        </row>
        <row r="2069">
          <cell r="A2069">
            <v>46223</v>
          </cell>
          <cell r="D2069" t="str">
            <v>QUEEN CAROLYN</v>
          </cell>
          <cell r="E2069">
            <v>4</v>
          </cell>
          <cell r="H2069" t="str">
            <v>SAFISCOR</v>
          </cell>
          <cell r="N2069">
            <v>1000</v>
          </cell>
          <cell r="Y2069">
            <v>46223</v>
          </cell>
          <cell r="Z2069">
            <v>1</v>
          </cell>
          <cell r="AA2069">
            <v>1000</v>
          </cell>
        </row>
        <row r="2070">
          <cell r="A2070">
            <v>46223</v>
          </cell>
          <cell r="D2070" t="str">
            <v>STAR ILIGAN</v>
          </cell>
          <cell r="E2070">
            <v>4</v>
          </cell>
          <cell r="H2070" t="str">
            <v>SAFISCOR</v>
          </cell>
          <cell r="N2070">
            <v>1000</v>
          </cell>
          <cell r="Y2070">
            <v>46224</v>
          </cell>
          <cell r="Z2070">
            <v>1</v>
          </cell>
          <cell r="AA2070">
            <v>1000</v>
          </cell>
        </row>
        <row r="2071">
          <cell r="A2071">
            <v>46223</v>
          </cell>
          <cell r="D2071" t="str">
            <v>STAR ILIGAN</v>
          </cell>
          <cell r="E2071">
            <v>4</v>
          </cell>
          <cell r="H2071" t="str">
            <v>SAFISCOR</v>
          </cell>
          <cell r="N2071">
            <v>1000</v>
          </cell>
          <cell r="Y2071">
            <v>46225</v>
          </cell>
          <cell r="Z2071">
            <v>1</v>
          </cell>
          <cell r="AA2071">
            <v>1000</v>
          </cell>
        </row>
        <row r="2072">
          <cell r="A2072">
            <v>46223</v>
          </cell>
          <cell r="D2072" t="str">
            <v>LADY OF DIVINE GRACE</v>
          </cell>
          <cell r="E2072">
            <v>4</v>
          </cell>
          <cell r="H2072" t="str">
            <v>LAPU-LAPU</v>
          </cell>
          <cell r="N2072">
            <v>1000</v>
          </cell>
          <cell r="Y2072">
            <v>46224</v>
          </cell>
          <cell r="Z2072">
            <v>1</v>
          </cell>
          <cell r="AA2072">
            <v>1000</v>
          </cell>
        </row>
        <row r="2073">
          <cell r="A2073">
            <v>46223</v>
          </cell>
          <cell r="D2073" t="str">
            <v>LADY OF DIVINE GRACE</v>
          </cell>
          <cell r="E2073">
            <v>4</v>
          </cell>
          <cell r="H2073" t="str">
            <v>SAFISCOR</v>
          </cell>
          <cell r="N2073">
            <v>1000</v>
          </cell>
          <cell r="Y2073">
            <v>46224</v>
          </cell>
          <cell r="Z2073">
            <v>1</v>
          </cell>
          <cell r="AA2073">
            <v>1000</v>
          </cell>
        </row>
        <row r="2074">
          <cell r="A2074">
            <v>46223</v>
          </cell>
          <cell r="D2074" t="str">
            <v>JOHANNAH 7</v>
          </cell>
          <cell r="E2074">
            <v>3</v>
          </cell>
          <cell r="H2074" t="str">
            <v>SAFISCOR</v>
          </cell>
          <cell r="N2074">
            <v>1000</v>
          </cell>
          <cell r="Y2074">
            <v>46223</v>
          </cell>
          <cell r="Z2074">
            <v>1</v>
          </cell>
          <cell r="AA2074">
            <v>1000</v>
          </cell>
        </row>
        <row r="2075">
          <cell r="A2075">
            <v>46223</v>
          </cell>
          <cell r="D2075" t="str">
            <v>JOHANNAH 7</v>
          </cell>
          <cell r="E2075">
            <v>3</v>
          </cell>
          <cell r="H2075" t="str">
            <v>SAFISCOR</v>
          </cell>
          <cell r="N2075">
            <v>1000</v>
          </cell>
          <cell r="Y2075">
            <v>46223</v>
          </cell>
          <cell r="Z2075">
            <v>1</v>
          </cell>
          <cell r="AA2075">
            <v>1000</v>
          </cell>
        </row>
        <row r="2076">
          <cell r="A2076">
            <v>46223</v>
          </cell>
          <cell r="D2076" t="str">
            <v>JOHANNAH 7</v>
          </cell>
          <cell r="E2076">
            <v>3</v>
          </cell>
          <cell r="H2076" t="str">
            <v>BADIE</v>
          </cell>
          <cell r="N2076">
            <v>1000</v>
          </cell>
          <cell r="Y2076">
            <v>46223</v>
          </cell>
          <cell r="Z2076">
            <v>1</v>
          </cell>
          <cell r="AA2076">
            <v>1000</v>
          </cell>
        </row>
        <row r="2077">
          <cell r="A2077">
            <v>46223</v>
          </cell>
          <cell r="D2077" t="str">
            <v>INFINITY 8</v>
          </cell>
          <cell r="E2077">
            <v>2</v>
          </cell>
          <cell r="H2077" t="str">
            <v>SAFISCOR</v>
          </cell>
          <cell r="N2077">
            <v>1000</v>
          </cell>
          <cell r="Y2077">
            <v>46223</v>
          </cell>
          <cell r="Z2077">
            <v>2</v>
          </cell>
          <cell r="AA2077">
            <v>1000</v>
          </cell>
        </row>
        <row r="2078">
          <cell r="A2078">
            <v>46223</v>
          </cell>
          <cell r="D2078" t="str">
            <v>LADY OF DIVINE GRACE</v>
          </cell>
          <cell r="E2078">
            <v>4</v>
          </cell>
          <cell r="H2078" t="str">
            <v>SAFISCOR</v>
          </cell>
          <cell r="N2078">
            <v>1000</v>
          </cell>
          <cell r="Y2078">
            <v>46225</v>
          </cell>
          <cell r="Z2078">
            <v>1</v>
          </cell>
          <cell r="AA2078">
            <v>1000</v>
          </cell>
        </row>
        <row r="2079">
          <cell r="A2079">
            <v>46223</v>
          </cell>
          <cell r="D2079" t="str">
            <v xml:space="preserve">STAR SOGOD </v>
          </cell>
          <cell r="E2079">
            <v>5</v>
          </cell>
          <cell r="H2079" t="str">
            <v>LAPU-LAPU</v>
          </cell>
          <cell r="N2079">
            <v>1000</v>
          </cell>
          <cell r="Y2079">
            <v>46224</v>
          </cell>
          <cell r="Z2079">
            <v>2</v>
          </cell>
          <cell r="AA2079">
            <v>1000</v>
          </cell>
        </row>
        <row r="2080">
          <cell r="A2080">
            <v>46223</v>
          </cell>
          <cell r="D2080" t="str">
            <v>SALVACION VI</v>
          </cell>
          <cell r="E2080">
            <v>3</v>
          </cell>
          <cell r="H2080" t="str">
            <v>GEO</v>
          </cell>
          <cell r="N2080">
            <v>1000</v>
          </cell>
          <cell r="Y2080">
            <v>46223</v>
          </cell>
          <cell r="Z2080">
            <v>1</v>
          </cell>
          <cell r="AA2080">
            <v>1000</v>
          </cell>
        </row>
        <row r="2081">
          <cell r="A2081">
            <v>46223</v>
          </cell>
          <cell r="D2081" t="str">
            <v>STAR ILIGAN</v>
          </cell>
          <cell r="E2081">
            <v>4</v>
          </cell>
          <cell r="H2081" t="str">
            <v>SAFISCOR</v>
          </cell>
          <cell r="N2081">
            <v>1000</v>
          </cell>
          <cell r="Y2081">
            <v>46225</v>
          </cell>
          <cell r="Z2081">
            <v>1</v>
          </cell>
          <cell r="AA2081">
            <v>1000</v>
          </cell>
        </row>
        <row r="2082">
          <cell r="A2082">
            <v>46223</v>
          </cell>
          <cell r="D2082" t="str">
            <v>INFINITY 8</v>
          </cell>
          <cell r="E2082">
            <v>2</v>
          </cell>
          <cell r="H2082" t="str">
            <v>SAFISCOR</v>
          </cell>
          <cell r="N2082">
            <v>1000</v>
          </cell>
          <cell r="Y2082">
            <v>46223</v>
          </cell>
          <cell r="Z2082">
            <v>2</v>
          </cell>
          <cell r="AA2082">
            <v>1000</v>
          </cell>
        </row>
        <row r="2083">
          <cell r="A2083">
            <v>46223</v>
          </cell>
          <cell r="D2083" t="str">
            <v>LADY OF DIVINE GRACE</v>
          </cell>
          <cell r="E2083">
            <v>4</v>
          </cell>
          <cell r="H2083" t="str">
            <v>LAPU-LAPU</v>
          </cell>
          <cell r="N2083">
            <v>1000</v>
          </cell>
          <cell r="Y2083">
            <v>46225</v>
          </cell>
          <cell r="Z2083">
            <v>1</v>
          </cell>
          <cell r="AA2083">
            <v>1000</v>
          </cell>
        </row>
        <row r="2084">
          <cell r="A2084">
            <v>46223</v>
          </cell>
          <cell r="D2084" t="str">
            <v>AGNES LILYGENE</v>
          </cell>
          <cell r="E2084">
            <v>1</v>
          </cell>
          <cell r="H2084" t="str">
            <v>SAFISCOR</v>
          </cell>
          <cell r="N2084">
            <v>1000</v>
          </cell>
          <cell r="Y2084">
            <v>46223</v>
          </cell>
          <cell r="Z2084">
            <v>1</v>
          </cell>
          <cell r="AA2084">
            <v>1000</v>
          </cell>
        </row>
        <row r="2085">
          <cell r="A2085">
            <v>46223</v>
          </cell>
          <cell r="D2085" t="str">
            <v>LADY OF DIVINE GRACE</v>
          </cell>
          <cell r="E2085">
            <v>4</v>
          </cell>
          <cell r="H2085" t="str">
            <v>SAFISCOR</v>
          </cell>
          <cell r="N2085">
            <v>1000</v>
          </cell>
          <cell r="Y2085">
            <v>46225</v>
          </cell>
          <cell r="Z2085">
            <v>1</v>
          </cell>
          <cell r="AA2085">
            <v>1000</v>
          </cell>
        </row>
        <row r="2086">
          <cell r="A2086">
            <v>46223</v>
          </cell>
          <cell r="D2086" t="str">
            <v>JOHANNAH 7</v>
          </cell>
          <cell r="E2086">
            <v>3</v>
          </cell>
          <cell r="H2086" t="str">
            <v>LAPU-LAPU</v>
          </cell>
          <cell r="N2086">
            <v>1000</v>
          </cell>
          <cell r="Y2086">
            <v>46223</v>
          </cell>
          <cell r="Z2086">
            <v>2</v>
          </cell>
          <cell r="AA2086">
            <v>1000</v>
          </cell>
        </row>
        <row r="2087">
          <cell r="A2087">
            <v>46223</v>
          </cell>
          <cell r="D2087" t="str">
            <v>INFINITY 8</v>
          </cell>
          <cell r="E2087">
            <v>2</v>
          </cell>
          <cell r="H2087" t="str">
            <v>LAPU-LAPU</v>
          </cell>
          <cell r="N2087">
            <v>1000</v>
          </cell>
          <cell r="Y2087">
            <v>46223</v>
          </cell>
          <cell r="Z2087">
            <v>2</v>
          </cell>
          <cell r="AA2087">
            <v>1000</v>
          </cell>
        </row>
        <row r="2088">
          <cell r="A2088">
            <v>46223</v>
          </cell>
          <cell r="D2088" t="str">
            <v>INFINITY 8</v>
          </cell>
          <cell r="E2088">
            <v>2</v>
          </cell>
          <cell r="H2088" t="str">
            <v>SAFISCOR</v>
          </cell>
          <cell r="N2088">
            <v>1000</v>
          </cell>
          <cell r="Y2088">
            <v>46223</v>
          </cell>
          <cell r="Z2088">
            <v>1</v>
          </cell>
          <cell r="AA2088">
            <v>1000</v>
          </cell>
        </row>
        <row r="2089">
          <cell r="A2089">
            <v>46223</v>
          </cell>
          <cell r="D2089" t="str">
            <v>AGNES LILYGENE</v>
          </cell>
          <cell r="E2089">
            <v>1</v>
          </cell>
          <cell r="H2089" t="str">
            <v>SAFISCOR</v>
          </cell>
          <cell r="N2089">
            <v>1000</v>
          </cell>
          <cell r="Y2089">
            <v>46223</v>
          </cell>
          <cell r="Z2089">
            <v>2</v>
          </cell>
          <cell r="AA2089">
            <v>1000</v>
          </cell>
        </row>
        <row r="2090">
          <cell r="A2090">
            <v>46223</v>
          </cell>
          <cell r="D2090" t="str">
            <v>STAR ILIGAN</v>
          </cell>
          <cell r="E2090">
            <v>4</v>
          </cell>
          <cell r="H2090" t="str">
            <v>SAFISCOR</v>
          </cell>
          <cell r="N2090">
            <v>1000</v>
          </cell>
          <cell r="Y2090">
            <v>46225</v>
          </cell>
          <cell r="Z2090">
            <v>1</v>
          </cell>
          <cell r="AA2090">
            <v>1000</v>
          </cell>
        </row>
        <row r="2091">
          <cell r="A2091">
            <v>46223</v>
          </cell>
          <cell r="D2091" t="str">
            <v>JOHANNAH 7</v>
          </cell>
          <cell r="E2091">
            <v>3</v>
          </cell>
          <cell r="H2091" t="str">
            <v>SAFISCOR</v>
          </cell>
          <cell r="N2091">
            <v>1000</v>
          </cell>
          <cell r="Y2091">
            <v>46223</v>
          </cell>
          <cell r="Z2091">
            <v>2</v>
          </cell>
          <cell r="AA2091">
            <v>1000</v>
          </cell>
        </row>
        <row r="2092">
          <cell r="A2092">
            <v>46223</v>
          </cell>
          <cell r="D2092" t="str">
            <v>STAR ILIGAN</v>
          </cell>
          <cell r="E2092">
            <v>4</v>
          </cell>
          <cell r="H2092" t="str">
            <v>SAFISCOR</v>
          </cell>
          <cell r="N2092">
            <v>1000</v>
          </cell>
          <cell r="Y2092">
            <v>46226</v>
          </cell>
          <cell r="Z2092">
            <v>1</v>
          </cell>
          <cell r="AA2092">
            <v>1000</v>
          </cell>
        </row>
        <row r="2093">
          <cell r="A2093">
            <v>46223</v>
          </cell>
          <cell r="D2093" t="str">
            <v>JOHANNAH 7</v>
          </cell>
          <cell r="E2093">
            <v>3</v>
          </cell>
          <cell r="H2093" t="str">
            <v>APLUS</v>
          </cell>
          <cell r="N2093">
            <v>1000</v>
          </cell>
          <cell r="Y2093">
            <v>46224</v>
          </cell>
          <cell r="Z2093">
            <v>2</v>
          </cell>
          <cell r="AA2093">
            <v>1000</v>
          </cell>
        </row>
        <row r="2095">
          <cell r="A2095">
            <v>46223</v>
          </cell>
          <cell r="D2095" t="str">
            <v>AGNES LILYGENE</v>
          </cell>
          <cell r="E2095">
            <v>1</v>
          </cell>
          <cell r="H2095" t="str">
            <v>LAPU-LAPU</v>
          </cell>
          <cell r="N2095">
            <v>1000</v>
          </cell>
          <cell r="Y2095">
            <v>46223</v>
          </cell>
          <cell r="Z2095">
            <v>2</v>
          </cell>
          <cell r="AA2095">
            <v>1000</v>
          </cell>
        </row>
        <row r="2096">
          <cell r="A2096">
            <v>46223</v>
          </cell>
          <cell r="D2096" t="str">
            <v>STAR ILIGAN</v>
          </cell>
          <cell r="E2096">
            <v>4</v>
          </cell>
          <cell r="H2096" t="str">
            <v>GEO</v>
          </cell>
          <cell r="N2096">
            <v>1000</v>
          </cell>
          <cell r="Y2096">
            <v>46224</v>
          </cell>
          <cell r="Z2096">
            <v>1</v>
          </cell>
          <cell r="AA2096">
            <v>1000</v>
          </cell>
        </row>
        <row r="2097">
          <cell r="A2097">
            <v>46223</v>
          </cell>
          <cell r="D2097" t="str">
            <v>JOHANNAH 7</v>
          </cell>
          <cell r="E2097">
            <v>3</v>
          </cell>
          <cell r="H2097" t="str">
            <v>SAFISCOR</v>
          </cell>
          <cell r="N2097">
            <v>1000</v>
          </cell>
          <cell r="Y2097">
            <v>46223</v>
          </cell>
          <cell r="Z2097">
            <v>2</v>
          </cell>
          <cell r="AA2097">
            <v>1000</v>
          </cell>
        </row>
        <row r="2100">
          <cell r="A2100">
            <v>46223</v>
          </cell>
          <cell r="D2100" t="str">
            <v>JOHANNAH 7</v>
          </cell>
          <cell r="E2100">
            <v>3</v>
          </cell>
          <cell r="H2100" t="str">
            <v>SAFISCOR</v>
          </cell>
          <cell r="N2100">
            <v>1000</v>
          </cell>
          <cell r="Y2100">
            <v>46223</v>
          </cell>
          <cell r="Z2100">
            <v>2</v>
          </cell>
          <cell r="AA2100">
            <v>1000</v>
          </cell>
        </row>
        <row r="2101">
          <cell r="A2101">
            <v>46223</v>
          </cell>
          <cell r="D2101" t="str">
            <v>QUEEN CAROLYN</v>
          </cell>
          <cell r="E2101">
            <v>4</v>
          </cell>
          <cell r="H2101" t="str">
            <v>SAFISCOR</v>
          </cell>
          <cell r="N2101">
            <v>1000</v>
          </cell>
          <cell r="Y2101">
            <v>46223</v>
          </cell>
          <cell r="Z2101">
            <v>2</v>
          </cell>
          <cell r="AA2101">
            <v>1000</v>
          </cell>
        </row>
        <row r="2102">
          <cell r="A2102">
            <v>46223</v>
          </cell>
          <cell r="D2102" t="str">
            <v>SALVACION VI</v>
          </cell>
          <cell r="E2102">
            <v>3</v>
          </cell>
          <cell r="H2102" t="str">
            <v>LAPU-LAPU</v>
          </cell>
          <cell r="N2102">
            <v>1000</v>
          </cell>
          <cell r="Y2102">
            <v>46224</v>
          </cell>
          <cell r="Z2102">
            <v>1</v>
          </cell>
          <cell r="AA2102">
            <v>1000</v>
          </cell>
        </row>
        <row r="2103">
          <cell r="A2103">
            <v>46223</v>
          </cell>
          <cell r="D2103" t="str">
            <v>STAR ILIGAN</v>
          </cell>
          <cell r="E2103">
            <v>4</v>
          </cell>
          <cell r="H2103" t="str">
            <v>SAFISCOR</v>
          </cell>
          <cell r="N2103">
            <v>1000</v>
          </cell>
          <cell r="Y2103">
            <v>46226</v>
          </cell>
          <cell r="Z2103">
            <v>1</v>
          </cell>
          <cell r="AA2103">
            <v>1000</v>
          </cell>
        </row>
        <row r="2105">
          <cell r="A2105">
            <v>46223</v>
          </cell>
          <cell r="D2105" t="str">
            <v>STAR ILIGAN</v>
          </cell>
          <cell r="E2105">
            <v>4</v>
          </cell>
          <cell r="H2105" t="str">
            <v>SAFISCOR</v>
          </cell>
          <cell r="N2105">
            <v>1000</v>
          </cell>
          <cell r="Y2105">
            <v>46225</v>
          </cell>
          <cell r="Z2105">
            <v>1</v>
          </cell>
          <cell r="AA2105">
            <v>1000</v>
          </cell>
        </row>
        <row r="2106">
          <cell r="A2106">
            <v>46223</v>
          </cell>
          <cell r="D2106" t="str">
            <v>NAPOLI</v>
          </cell>
          <cell r="E2106">
            <v>4</v>
          </cell>
          <cell r="H2106" t="str">
            <v>SAFISCOR</v>
          </cell>
          <cell r="N2106">
            <v>1000</v>
          </cell>
          <cell r="Y2106">
            <v>46224</v>
          </cell>
          <cell r="Z2106">
            <v>1</v>
          </cell>
          <cell r="AA2106">
            <v>1000</v>
          </cell>
        </row>
        <row r="2107">
          <cell r="A2107">
            <v>46223</v>
          </cell>
          <cell r="D2107" t="str">
            <v>LADY OF DIVINE GRACE</v>
          </cell>
          <cell r="E2107">
            <v>4</v>
          </cell>
          <cell r="H2107" t="str">
            <v>SAFISCOR</v>
          </cell>
          <cell r="N2107">
            <v>1000</v>
          </cell>
          <cell r="Y2107">
            <v>46225</v>
          </cell>
          <cell r="Z2107">
            <v>1</v>
          </cell>
          <cell r="AA2107">
            <v>1000</v>
          </cell>
        </row>
        <row r="2108">
          <cell r="A2108">
            <v>46223</v>
          </cell>
        </row>
        <row r="2109">
          <cell r="A2109">
            <v>46223</v>
          </cell>
          <cell r="D2109" t="str">
            <v>STAR ILIGAN</v>
          </cell>
          <cell r="E2109">
            <v>4</v>
          </cell>
          <cell r="H2109" t="str">
            <v>SAFISCOR</v>
          </cell>
          <cell r="N2109">
            <v>1000</v>
          </cell>
          <cell r="Y2109">
            <v>46225</v>
          </cell>
          <cell r="Z2109">
            <v>1</v>
          </cell>
          <cell r="AA2109">
            <v>1000</v>
          </cell>
        </row>
        <row r="2110">
          <cell r="A2110">
            <v>46223</v>
          </cell>
          <cell r="D2110" t="str">
            <v>LADY OF DIVINE GRACE</v>
          </cell>
          <cell r="E2110">
            <v>4</v>
          </cell>
          <cell r="H2110" t="str">
            <v>SAFISCOR</v>
          </cell>
          <cell r="N2110">
            <v>500</v>
          </cell>
          <cell r="Y2110">
            <v>46225</v>
          </cell>
          <cell r="Z2110">
            <v>1</v>
          </cell>
          <cell r="AA2110">
            <v>500</v>
          </cell>
        </row>
        <row r="2111">
          <cell r="A2111">
            <v>46223</v>
          </cell>
          <cell r="D2111" t="str">
            <v>LADY OF DIVINE GRACE</v>
          </cell>
          <cell r="E2111">
            <v>4</v>
          </cell>
          <cell r="H2111" t="str">
            <v>SAFISCOR</v>
          </cell>
          <cell r="N2111">
            <v>500</v>
          </cell>
          <cell r="Y2111">
            <v>46225</v>
          </cell>
          <cell r="Z2111">
            <v>1</v>
          </cell>
          <cell r="AA2111">
            <v>500</v>
          </cell>
        </row>
        <row r="2115">
          <cell r="A2115">
            <v>46223</v>
          </cell>
          <cell r="D2115" t="str">
            <v>LADY OF DIVINE GRACE</v>
          </cell>
          <cell r="E2115">
            <v>4</v>
          </cell>
          <cell r="H2115" t="str">
            <v>SAFISCOR</v>
          </cell>
          <cell r="N2115">
            <v>1000</v>
          </cell>
          <cell r="Y2115">
            <v>46224</v>
          </cell>
          <cell r="Z2115">
            <v>1</v>
          </cell>
          <cell r="AA2115">
            <v>1000</v>
          </cell>
        </row>
        <row r="2118">
          <cell r="A2118">
            <v>46223</v>
          </cell>
          <cell r="D2118" t="str">
            <v>STAR ILIGAN</v>
          </cell>
          <cell r="E2118">
            <v>4</v>
          </cell>
          <cell r="H2118" t="str">
            <v>SAFISCOR</v>
          </cell>
          <cell r="N2118">
            <v>1000</v>
          </cell>
          <cell r="Y2118">
            <v>46226</v>
          </cell>
          <cell r="Z2118">
            <v>1</v>
          </cell>
          <cell r="AA2118">
            <v>1000</v>
          </cell>
        </row>
        <row r="2119">
          <cell r="A2119">
            <v>46223</v>
          </cell>
        </row>
        <row r="2120">
          <cell r="A2120">
            <v>46223</v>
          </cell>
          <cell r="D2120" t="str">
            <v>JOHANNAH 7</v>
          </cell>
          <cell r="E2120">
            <v>3</v>
          </cell>
          <cell r="H2120" t="str">
            <v>APLUS</v>
          </cell>
          <cell r="N2120">
            <v>1000</v>
          </cell>
          <cell r="Y2120">
            <v>46223</v>
          </cell>
          <cell r="Z2120">
            <v>2</v>
          </cell>
          <cell r="AA2120">
            <v>1000</v>
          </cell>
        </row>
        <row r="2121">
          <cell r="A2121">
            <v>46223</v>
          </cell>
          <cell r="D2121" t="str">
            <v>STAR ILIGAN</v>
          </cell>
          <cell r="E2121">
            <v>4</v>
          </cell>
          <cell r="H2121" t="str">
            <v>LAPU-LAPU</v>
          </cell>
          <cell r="N2121">
            <v>1000</v>
          </cell>
          <cell r="Y2121">
            <v>46226</v>
          </cell>
          <cell r="Z2121">
            <v>1</v>
          </cell>
          <cell r="AA2121">
            <v>1000</v>
          </cell>
        </row>
        <row r="2125">
          <cell r="A2125">
            <v>46223</v>
          </cell>
          <cell r="D2125" t="str">
            <v>STAR ILIGAN</v>
          </cell>
          <cell r="E2125">
            <v>4</v>
          </cell>
          <cell r="H2125" t="str">
            <v>LAPU-LAPU</v>
          </cell>
          <cell r="N2125">
            <v>1000</v>
          </cell>
          <cell r="Y2125">
            <v>46225</v>
          </cell>
          <cell r="Z2125">
            <v>1</v>
          </cell>
          <cell r="AA2125">
            <v>1000</v>
          </cell>
        </row>
        <row r="2126">
          <cell r="A2126">
            <v>46223</v>
          </cell>
          <cell r="D2126" t="str">
            <v>LADY OF DIVINE GRACE</v>
          </cell>
          <cell r="E2126">
            <v>4</v>
          </cell>
          <cell r="H2126" t="str">
            <v>SAFISCOR</v>
          </cell>
          <cell r="N2126">
            <v>1000</v>
          </cell>
          <cell r="Y2126">
            <v>46225</v>
          </cell>
          <cell r="Z2126">
            <v>1</v>
          </cell>
          <cell r="AA2126">
            <v>1000</v>
          </cell>
        </row>
        <row r="2127">
          <cell r="A2127">
            <v>46223</v>
          </cell>
          <cell r="D2127" t="str">
            <v>QUEEN CAROLYN</v>
          </cell>
          <cell r="E2127">
            <v>4</v>
          </cell>
          <cell r="H2127" t="str">
            <v>BADIE</v>
          </cell>
          <cell r="N2127">
            <v>1000</v>
          </cell>
          <cell r="Y2127">
            <v>46223</v>
          </cell>
          <cell r="Z2127">
            <v>2</v>
          </cell>
          <cell r="AA2127">
            <v>1000</v>
          </cell>
        </row>
        <row r="2129">
          <cell r="A2129">
            <v>46224</v>
          </cell>
          <cell r="D2129" t="str">
            <v>STAR ILIGAN</v>
          </cell>
          <cell r="E2129">
            <v>4</v>
          </cell>
          <cell r="H2129" t="str">
            <v>SAFISCOR</v>
          </cell>
          <cell r="N2129">
            <v>1000</v>
          </cell>
          <cell r="Y2129">
            <v>46226</v>
          </cell>
          <cell r="Z2129">
            <v>1</v>
          </cell>
          <cell r="AA2129">
            <v>1000</v>
          </cell>
        </row>
        <row r="2130">
          <cell r="A2130">
            <v>46224</v>
          </cell>
          <cell r="D2130" t="str">
            <v>STAR ILIGAN</v>
          </cell>
          <cell r="E2130">
            <v>4</v>
          </cell>
          <cell r="H2130" t="str">
            <v>SAFISCOR</v>
          </cell>
          <cell r="N2130">
            <v>1000</v>
          </cell>
          <cell r="Y2130">
            <v>46226</v>
          </cell>
          <cell r="Z2130">
            <v>1</v>
          </cell>
          <cell r="AA2130">
            <v>1000</v>
          </cell>
        </row>
        <row r="2131">
          <cell r="A2131">
            <v>46224</v>
          </cell>
          <cell r="D2131" t="str">
            <v>JOHANNAH 7</v>
          </cell>
          <cell r="E2131">
            <v>3</v>
          </cell>
          <cell r="H2131" t="str">
            <v>LAPU-LAPU</v>
          </cell>
          <cell r="N2131">
            <v>1000</v>
          </cell>
          <cell r="Y2131">
            <v>46224</v>
          </cell>
          <cell r="Z2131">
            <v>1</v>
          </cell>
          <cell r="AA2131">
            <v>1000</v>
          </cell>
        </row>
        <row r="2133">
          <cell r="A2133">
            <v>46224</v>
          </cell>
          <cell r="D2133" t="str">
            <v>NAPOLI</v>
          </cell>
          <cell r="E2133">
            <v>4</v>
          </cell>
          <cell r="H2133" t="str">
            <v>LAPU-LAPU</v>
          </cell>
          <cell r="N2133">
            <v>1000</v>
          </cell>
          <cell r="Y2133">
            <v>46224</v>
          </cell>
          <cell r="Z2133">
            <v>1</v>
          </cell>
          <cell r="AA2133">
            <v>1000</v>
          </cell>
        </row>
        <row r="2134">
          <cell r="A2134">
            <v>46224</v>
          </cell>
          <cell r="D2134" t="str">
            <v>JOHANNAH 7</v>
          </cell>
          <cell r="E2134">
            <v>3</v>
          </cell>
          <cell r="H2134" t="str">
            <v>APLUS</v>
          </cell>
          <cell r="N2134">
            <v>1000</v>
          </cell>
          <cell r="Y2134">
            <v>46224</v>
          </cell>
          <cell r="Z2134">
            <v>1</v>
          </cell>
          <cell r="AA2134">
            <v>1000</v>
          </cell>
        </row>
        <row r="2135">
          <cell r="A2135">
            <v>46224</v>
          </cell>
          <cell r="D2135" t="str">
            <v>STAR ILIGAN</v>
          </cell>
          <cell r="E2135">
            <v>4</v>
          </cell>
          <cell r="H2135" t="str">
            <v>SAFISCOR</v>
          </cell>
          <cell r="N2135">
            <v>1000</v>
          </cell>
          <cell r="Y2135">
            <v>46225</v>
          </cell>
          <cell r="Z2135">
            <v>1</v>
          </cell>
          <cell r="AA2135">
            <v>1000</v>
          </cell>
        </row>
        <row r="2136">
          <cell r="A2136">
            <v>46224</v>
          </cell>
          <cell r="D2136" t="str">
            <v>JOHANNAH 7</v>
          </cell>
          <cell r="E2136">
            <v>3</v>
          </cell>
          <cell r="H2136" t="str">
            <v>BADIE</v>
          </cell>
          <cell r="N2136">
            <v>1000</v>
          </cell>
          <cell r="Y2136">
            <v>46224</v>
          </cell>
          <cell r="Z2136">
            <v>1</v>
          </cell>
          <cell r="AA2136">
            <v>1000</v>
          </cell>
        </row>
        <row r="2137">
          <cell r="A2137">
            <v>46224</v>
          </cell>
          <cell r="D2137" t="str">
            <v>STAR ILIGAN</v>
          </cell>
          <cell r="E2137">
            <v>4</v>
          </cell>
          <cell r="H2137" t="str">
            <v>FULACHE</v>
          </cell>
          <cell r="N2137">
            <v>1000</v>
          </cell>
          <cell r="Y2137">
            <v>46224</v>
          </cell>
          <cell r="Z2137">
            <v>1</v>
          </cell>
          <cell r="AA2137">
            <v>1000</v>
          </cell>
        </row>
        <row r="2138">
          <cell r="A2138">
            <v>46224</v>
          </cell>
          <cell r="D2138" t="str">
            <v>LADY OF DIVINE GRACE</v>
          </cell>
          <cell r="E2138">
            <v>4</v>
          </cell>
          <cell r="H2138" t="str">
            <v>SAFISCOR</v>
          </cell>
          <cell r="N2138">
            <v>1000</v>
          </cell>
          <cell r="Y2138">
            <v>46225</v>
          </cell>
          <cell r="Z2138">
            <v>1</v>
          </cell>
          <cell r="AA2138">
            <v>1000</v>
          </cell>
        </row>
        <row r="2139">
          <cell r="A2139">
            <v>46224</v>
          </cell>
          <cell r="D2139" t="str">
            <v>JOHANNAH 7</v>
          </cell>
          <cell r="E2139">
            <v>3</v>
          </cell>
          <cell r="H2139" t="str">
            <v>LAPU-LAPU</v>
          </cell>
          <cell r="N2139">
            <v>1000</v>
          </cell>
          <cell r="Y2139">
            <v>46224</v>
          </cell>
          <cell r="Z2139">
            <v>1</v>
          </cell>
          <cell r="AA2139">
            <v>1000</v>
          </cell>
        </row>
        <row r="2140">
          <cell r="A2140">
            <v>46224</v>
          </cell>
          <cell r="D2140" t="str">
            <v>LADY OF DIVINE GRACE</v>
          </cell>
          <cell r="E2140">
            <v>4</v>
          </cell>
          <cell r="H2140" t="str">
            <v>SAFISCOR</v>
          </cell>
          <cell r="N2140">
            <v>1000</v>
          </cell>
          <cell r="Y2140">
            <v>46225</v>
          </cell>
          <cell r="Z2140">
            <v>1</v>
          </cell>
          <cell r="AA2140">
            <v>1000</v>
          </cell>
        </row>
        <row r="2143">
          <cell r="A2143">
            <v>46224</v>
          </cell>
          <cell r="D2143" t="str">
            <v>JOHANNAH 7</v>
          </cell>
          <cell r="E2143">
            <v>3</v>
          </cell>
          <cell r="H2143" t="str">
            <v>LAPU-LAPU</v>
          </cell>
          <cell r="N2143">
            <v>1000</v>
          </cell>
          <cell r="Y2143">
            <v>46224</v>
          </cell>
          <cell r="Z2143">
            <v>1</v>
          </cell>
          <cell r="AA2143">
            <v>1000</v>
          </cell>
        </row>
        <row r="2144">
          <cell r="A2144">
            <v>46224</v>
          </cell>
          <cell r="D2144" t="str">
            <v>JOHANNAH 7</v>
          </cell>
          <cell r="E2144">
            <v>3</v>
          </cell>
          <cell r="H2144" t="str">
            <v>GEO</v>
          </cell>
          <cell r="N2144">
            <v>1000</v>
          </cell>
          <cell r="Y2144">
            <v>46225</v>
          </cell>
          <cell r="Z2144">
            <v>1</v>
          </cell>
          <cell r="AA2144">
            <v>1000</v>
          </cell>
        </row>
        <row r="2145">
          <cell r="A2145">
            <v>46224</v>
          </cell>
          <cell r="D2145" t="str">
            <v>JOHANNAH 7</v>
          </cell>
          <cell r="E2145">
            <v>3</v>
          </cell>
          <cell r="H2145" t="str">
            <v>APLUS</v>
          </cell>
          <cell r="N2145">
            <v>1000</v>
          </cell>
          <cell r="Y2145">
            <v>46224</v>
          </cell>
          <cell r="Z2145">
            <v>1</v>
          </cell>
          <cell r="AA2145">
            <v>1000</v>
          </cell>
        </row>
        <row r="2146">
          <cell r="A2146">
            <v>46224</v>
          </cell>
          <cell r="D2146" t="str">
            <v>QUEEN CAROLYN</v>
          </cell>
          <cell r="E2146">
            <v>4</v>
          </cell>
          <cell r="H2146" t="str">
            <v>SAFISCOR</v>
          </cell>
          <cell r="N2146">
            <v>1000</v>
          </cell>
          <cell r="Y2146">
            <v>46224</v>
          </cell>
          <cell r="Z2146">
            <v>2</v>
          </cell>
          <cell r="AA2146">
            <v>1000</v>
          </cell>
        </row>
        <row r="2147">
          <cell r="A2147">
            <v>46224</v>
          </cell>
          <cell r="D2147" t="str">
            <v>QUEEN CAROLYN</v>
          </cell>
          <cell r="E2147">
            <v>4</v>
          </cell>
          <cell r="H2147" t="str">
            <v>SAFISCOR</v>
          </cell>
          <cell r="N2147">
            <v>1000</v>
          </cell>
          <cell r="Y2147">
            <v>46224</v>
          </cell>
          <cell r="Z2147">
            <v>1</v>
          </cell>
          <cell r="AA2147">
            <v>1000</v>
          </cell>
        </row>
        <row r="2148">
          <cell r="A2148">
            <v>46224</v>
          </cell>
          <cell r="D2148" t="str">
            <v>QUEEN CAROLYN</v>
          </cell>
          <cell r="E2148">
            <v>4</v>
          </cell>
          <cell r="H2148" t="str">
            <v>BADIE</v>
          </cell>
          <cell r="N2148">
            <v>1000</v>
          </cell>
          <cell r="Y2148">
            <v>46224</v>
          </cell>
          <cell r="Z2148">
            <v>2</v>
          </cell>
          <cell r="AA2148">
            <v>1000</v>
          </cell>
        </row>
        <row r="2149">
          <cell r="A2149">
            <v>46224</v>
          </cell>
          <cell r="D2149" t="str">
            <v>QUEEN CAROLYN</v>
          </cell>
          <cell r="E2149">
            <v>4</v>
          </cell>
          <cell r="H2149" t="str">
            <v>LAPU-LAPU</v>
          </cell>
          <cell r="N2149">
            <v>1000</v>
          </cell>
          <cell r="Y2149">
            <v>46224</v>
          </cell>
          <cell r="Z2149">
            <v>2</v>
          </cell>
          <cell r="AA2149">
            <v>1000</v>
          </cell>
        </row>
        <row r="2150">
          <cell r="A2150">
            <v>46224</v>
          </cell>
          <cell r="D2150" t="str">
            <v>JOHANNAH 7</v>
          </cell>
          <cell r="E2150">
            <v>3</v>
          </cell>
          <cell r="H2150" t="str">
            <v>GEO</v>
          </cell>
          <cell r="N2150">
            <v>1000</v>
          </cell>
          <cell r="Y2150">
            <v>46224</v>
          </cell>
          <cell r="Z2150">
            <v>2</v>
          </cell>
          <cell r="AA2150">
            <v>1000</v>
          </cell>
        </row>
        <row r="2151">
          <cell r="A2151">
            <v>46224</v>
          </cell>
          <cell r="D2151" t="str">
            <v>JOHANNAH 7</v>
          </cell>
          <cell r="E2151">
            <v>3</v>
          </cell>
          <cell r="H2151" t="str">
            <v>LAPU-LAPU</v>
          </cell>
          <cell r="N2151">
            <v>1000</v>
          </cell>
          <cell r="Y2151">
            <v>46225</v>
          </cell>
          <cell r="Z2151">
            <v>1</v>
          </cell>
          <cell r="AA2151">
            <v>1000</v>
          </cell>
        </row>
        <row r="2152">
          <cell r="A2152">
            <v>46224</v>
          </cell>
          <cell r="D2152" t="str">
            <v>JOHANNAH 7</v>
          </cell>
          <cell r="E2152">
            <v>3</v>
          </cell>
          <cell r="H2152" t="str">
            <v>APLUS</v>
          </cell>
          <cell r="N2152">
            <v>1000</v>
          </cell>
          <cell r="Y2152">
            <v>46224</v>
          </cell>
          <cell r="Z2152">
            <v>2</v>
          </cell>
          <cell r="AA2152">
            <v>1000</v>
          </cell>
        </row>
        <row r="2153">
          <cell r="A2153">
            <v>46224</v>
          </cell>
          <cell r="D2153" t="str">
            <v>JOHANNAH 7</v>
          </cell>
          <cell r="E2153">
            <v>3</v>
          </cell>
          <cell r="H2153" t="str">
            <v>LAPU-LAPU</v>
          </cell>
          <cell r="N2153">
            <v>1000</v>
          </cell>
          <cell r="Y2153">
            <v>46224</v>
          </cell>
          <cell r="Z2153">
            <v>2</v>
          </cell>
          <cell r="AA2153">
            <v>1000</v>
          </cell>
        </row>
        <row r="2154">
          <cell r="A2154">
            <v>46224</v>
          </cell>
          <cell r="D2154" t="str">
            <v>QUEEN CAROLYN</v>
          </cell>
          <cell r="E2154">
            <v>4</v>
          </cell>
          <cell r="H2154" t="str">
            <v>SAFISCOR</v>
          </cell>
          <cell r="N2154">
            <v>1000</v>
          </cell>
          <cell r="Y2154">
            <v>46224</v>
          </cell>
          <cell r="Z2154">
            <v>2</v>
          </cell>
          <cell r="AA2154">
            <v>1000</v>
          </cell>
        </row>
        <row r="2155">
          <cell r="A2155">
            <v>46224</v>
          </cell>
          <cell r="D2155" t="str">
            <v>JOHANNAH 7</v>
          </cell>
          <cell r="E2155">
            <v>3</v>
          </cell>
          <cell r="H2155" t="str">
            <v>SAFISCOR</v>
          </cell>
          <cell r="N2155">
            <v>1000</v>
          </cell>
          <cell r="Y2155">
            <v>46225</v>
          </cell>
          <cell r="Z2155">
            <v>1</v>
          </cell>
          <cell r="AA2155">
            <v>1000</v>
          </cell>
        </row>
        <row r="2156">
          <cell r="A2156">
            <v>46225</v>
          </cell>
          <cell r="D2156" t="str">
            <v>LADY OF DIVINE GRACE</v>
          </cell>
          <cell r="E2156">
            <v>4</v>
          </cell>
          <cell r="H2156" t="str">
            <v>SAFISCOR</v>
          </cell>
          <cell r="N2156">
            <v>1000</v>
          </cell>
          <cell r="Y2156">
            <v>46225</v>
          </cell>
          <cell r="Z2156">
            <v>1</v>
          </cell>
          <cell r="AA2156">
            <v>1000</v>
          </cell>
        </row>
        <row r="2157">
          <cell r="A2157">
            <v>46225</v>
          </cell>
          <cell r="D2157" t="str">
            <v>JOHANNAH 7</v>
          </cell>
          <cell r="E2157">
            <v>3</v>
          </cell>
          <cell r="H2157" t="str">
            <v>LAPU-LAPU</v>
          </cell>
          <cell r="N2157">
            <v>1000</v>
          </cell>
          <cell r="Y2157">
            <v>46225</v>
          </cell>
          <cell r="Z2157">
            <v>1</v>
          </cell>
          <cell r="AA2157">
            <v>1000</v>
          </cell>
        </row>
        <row r="2158">
          <cell r="A2158">
            <v>46225</v>
          </cell>
          <cell r="D2158" t="str">
            <v>AGNES LILYGENE</v>
          </cell>
          <cell r="E2158">
            <v>1</v>
          </cell>
          <cell r="H2158" t="str">
            <v>LAPU-LAPU</v>
          </cell>
          <cell r="N2158">
            <v>1000</v>
          </cell>
          <cell r="Y2158">
            <v>46225</v>
          </cell>
          <cell r="Z2158">
            <v>1</v>
          </cell>
          <cell r="AA2158">
            <v>1000</v>
          </cell>
        </row>
        <row r="2159">
          <cell r="A2159">
            <v>46225</v>
          </cell>
          <cell r="D2159" t="str">
            <v>JOHANNAH 7</v>
          </cell>
          <cell r="E2159">
            <v>3</v>
          </cell>
          <cell r="H2159" t="str">
            <v>SAFISCOR</v>
          </cell>
          <cell r="N2159">
            <v>1000</v>
          </cell>
          <cell r="Y2159">
            <v>46225</v>
          </cell>
          <cell r="Z2159">
            <v>1</v>
          </cell>
          <cell r="AA2159">
            <v>1000</v>
          </cell>
        </row>
        <row r="2160">
          <cell r="A2160">
            <v>46225</v>
          </cell>
          <cell r="D2160" t="str">
            <v>QUEEN CAROLYN</v>
          </cell>
          <cell r="E2160">
            <v>4</v>
          </cell>
          <cell r="H2160" t="str">
            <v>FULACHE</v>
          </cell>
          <cell r="N2160">
            <v>1000</v>
          </cell>
          <cell r="Y2160">
            <v>46225</v>
          </cell>
          <cell r="Z2160">
            <v>1</v>
          </cell>
          <cell r="AA2160">
            <v>1000</v>
          </cell>
        </row>
        <row r="2161">
          <cell r="A2161">
            <v>46225</v>
          </cell>
          <cell r="D2161" t="str">
            <v>JOHANNAH 7</v>
          </cell>
          <cell r="E2161">
            <v>3</v>
          </cell>
          <cell r="H2161" t="str">
            <v>LAPU-LAPU</v>
          </cell>
          <cell r="N2161">
            <v>1000</v>
          </cell>
          <cell r="Y2161">
            <v>46225</v>
          </cell>
          <cell r="Z2161">
            <v>1</v>
          </cell>
          <cell r="AA2161">
            <v>1000</v>
          </cell>
        </row>
        <row r="2162">
          <cell r="A2162">
            <v>46225</v>
          </cell>
          <cell r="D2162" t="str">
            <v>JOHANNAH 7</v>
          </cell>
          <cell r="E2162">
            <v>3</v>
          </cell>
          <cell r="H2162" t="str">
            <v>GEO</v>
          </cell>
          <cell r="N2162">
            <v>1000</v>
          </cell>
          <cell r="Y2162">
            <v>46225</v>
          </cell>
          <cell r="Z2162">
            <v>1</v>
          </cell>
          <cell r="AA2162">
            <v>1000</v>
          </cell>
        </row>
        <row r="2163">
          <cell r="A2163">
            <v>46225</v>
          </cell>
          <cell r="D2163" t="str">
            <v>JOHANNAH 7</v>
          </cell>
          <cell r="E2163">
            <v>3</v>
          </cell>
          <cell r="H2163" t="str">
            <v>APLUS</v>
          </cell>
          <cell r="N2163">
            <v>1000</v>
          </cell>
          <cell r="Y2163">
            <v>46225</v>
          </cell>
          <cell r="Z2163">
            <v>1</v>
          </cell>
          <cell r="AA2163">
            <v>1000</v>
          </cell>
        </row>
        <row r="2164">
          <cell r="A2164">
            <v>46225</v>
          </cell>
          <cell r="D2164" t="str">
            <v>EFG 7</v>
          </cell>
          <cell r="E2164">
            <v>3</v>
          </cell>
          <cell r="H2164" t="str">
            <v>SAFISCOR</v>
          </cell>
          <cell r="N2164">
            <v>1000</v>
          </cell>
          <cell r="Y2164">
            <v>46229</v>
          </cell>
          <cell r="Z2164">
            <v>1</v>
          </cell>
          <cell r="AA2164">
            <v>1000</v>
          </cell>
        </row>
        <row r="2165">
          <cell r="A2165">
            <v>46225</v>
          </cell>
          <cell r="D2165" t="str">
            <v xml:space="preserve">STAR SOGOD </v>
          </cell>
          <cell r="E2165">
            <v>5</v>
          </cell>
          <cell r="H2165" t="str">
            <v>SAFISCOR</v>
          </cell>
          <cell r="N2165">
            <v>1000</v>
          </cell>
          <cell r="Y2165">
            <v>46225</v>
          </cell>
          <cell r="Z2165">
            <v>1</v>
          </cell>
          <cell r="AA2165">
            <v>1000</v>
          </cell>
        </row>
        <row r="2166">
          <cell r="A2166">
            <v>46225</v>
          </cell>
          <cell r="D2166" t="str">
            <v>QUEEN CAROLYN</v>
          </cell>
          <cell r="E2166">
            <v>4</v>
          </cell>
          <cell r="H2166" t="str">
            <v>SAFISCOR</v>
          </cell>
          <cell r="N2166">
            <v>1000</v>
          </cell>
          <cell r="Y2166">
            <v>46225</v>
          </cell>
          <cell r="Z2166">
            <v>1</v>
          </cell>
          <cell r="AA2166">
            <v>1000</v>
          </cell>
        </row>
        <row r="2167">
          <cell r="A2167">
            <v>46225</v>
          </cell>
          <cell r="D2167" t="str">
            <v>SALVACION VI</v>
          </cell>
          <cell r="E2167">
            <v>3</v>
          </cell>
          <cell r="H2167" t="str">
            <v>BADIE</v>
          </cell>
          <cell r="N2167">
            <v>1000</v>
          </cell>
          <cell r="Y2167">
            <v>46225</v>
          </cell>
          <cell r="Z2167">
            <v>1</v>
          </cell>
          <cell r="AA2167">
            <v>1000</v>
          </cell>
        </row>
        <row r="2168">
          <cell r="A2168">
            <v>46225</v>
          </cell>
          <cell r="D2168" t="str">
            <v>JOHANNAH 7</v>
          </cell>
          <cell r="E2168">
            <v>3</v>
          </cell>
          <cell r="H2168" t="str">
            <v>SAFISCOR</v>
          </cell>
          <cell r="N2168">
            <v>1000</v>
          </cell>
          <cell r="Y2168">
            <v>46225</v>
          </cell>
          <cell r="Z2168">
            <v>1</v>
          </cell>
          <cell r="AA2168">
            <v>1000</v>
          </cell>
        </row>
        <row r="2169">
          <cell r="A2169">
            <v>46225</v>
          </cell>
          <cell r="D2169" t="str">
            <v>QUEEN CAROLYN</v>
          </cell>
          <cell r="E2169">
            <v>4</v>
          </cell>
          <cell r="H2169" t="str">
            <v>SAFISCOR</v>
          </cell>
          <cell r="N2169">
            <v>1000</v>
          </cell>
          <cell r="Y2169">
            <v>46225</v>
          </cell>
          <cell r="Z2169">
            <v>1</v>
          </cell>
          <cell r="AA2169">
            <v>1000</v>
          </cell>
        </row>
        <row r="2170">
          <cell r="A2170">
            <v>46225</v>
          </cell>
          <cell r="D2170" t="str">
            <v>AGNES LILYGENE</v>
          </cell>
          <cell r="E2170">
            <v>1</v>
          </cell>
          <cell r="H2170" t="str">
            <v>LAPU-LAPU</v>
          </cell>
          <cell r="N2170">
            <v>1000</v>
          </cell>
          <cell r="Y2170">
            <v>46225</v>
          </cell>
          <cell r="Z2170">
            <v>1</v>
          </cell>
          <cell r="AA2170">
            <v>1000</v>
          </cell>
        </row>
        <row r="2171">
          <cell r="A2171">
            <v>46225</v>
          </cell>
          <cell r="D2171" t="str">
            <v>AGNES LILYGENE</v>
          </cell>
          <cell r="E2171">
            <v>1</v>
          </cell>
          <cell r="H2171" t="str">
            <v>SAFISCOR</v>
          </cell>
          <cell r="N2171">
            <v>1000</v>
          </cell>
          <cell r="Y2171">
            <v>46225</v>
          </cell>
          <cell r="Z2171">
            <v>1</v>
          </cell>
          <cell r="AA2171">
            <v>1000</v>
          </cell>
        </row>
        <row r="2172">
          <cell r="A2172">
            <v>46225</v>
          </cell>
          <cell r="D2172" t="str">
            <v>JOHANNAH 7</v>
          </cell>
          <cell r="E2172">
            <v>3</v>
          </cell>
          <cell r="H2172" t="str">
            <v>LAPU-LAPU</v>
          </cell>
          <cell r="N2172">
            <v>1000</v>
          </cell>
          <cell r="Y2172">
            <v>46225</v>
          </cell>
          <cell r="Z2172">
            <v>1</v>
          </cell>
          <cell r="AA2172">
            <v>1000</v>
          </cell>
        </row>
        <row r="2173">
          <cell r="A2173">
            <v>46225</v>
          </cell>
          <cell r="D2173" t="str">
            <v>NAPOLI</v>
          </cell>
          <cell r="E2173">
            <v>4</v>
          </cell>
          <cell r="H2173" t="str">
            <v>SAFISCOR</v>
          </cell>
          <cell r="N2173">
            <v>1000</v>
          </cell>
          <cell r="Y2173">
            <v>46226</v>
          </cell>
          <cell r="Z2173">
            <v>1</v>
          </cell>
          <cell r="AA2173">
            <v>1000</v>
          </cell>
        </row>
        <row r="2174">
          <cell r="A2174">
            <v>46225</v>
          </cell>
          <cell r="D2174" t="str">
            <v>NAPOLI</v>
          </cell>
          <cell r="E2174">
            <v>4</v>
          </cell>
          <cell r="H2174" t="str">
            <v>LAPU-LAPU</v>
          </cell>
          <cell r="N2174">
            <v>1000</v>
          </cell>
          <cell r="Y2174">
            <v>46225</v>
          </cell>
          <cell r="Z2174">
            <v>1</v>
          </cell>
          <cell r="AA2174">
            <v>1000</v>
          </cell>
        </row>
        <row r="2175">
          <cell r="A2175">
            <v>46225</v>
          </cell>
          <cell r="D2175" t="str">
            <v>NAPOLI</v>
          </cell>
          <cell r="E2175">
            <v>4</v>
          </cell>
          <cell r="H2175" t="str">
            <v>LAPU-LAPU</v>
          </cell>
          <cell r="N2175">
            <v>1000</v>
          </cell>
          <cell r="Y2175">
            <v>46225</v>
          </cell>
          <cell r="Z2175">
            <v>1</v>
          </cell>
          <cell r="AA2175">
            <v>1000</v>
          </cell>
        </row>
        <row r="2176">
          <cell r="A2176">
            <v>46225</v>
          </cell>
          <cell r="D2176" t="str">
            <v>NAPOLI</v>
          </cell>
          <cell r="E2176">
            <v>4</v>
          </cell>
          <cell r="H2176" t="str">
            <v>LAPU-LAPU</v>
          </cell>
          <cell r="N2176">
            <v>1000</v>
          </cell>
          <cell r="Y2176">
            <v>46225</v>
          </cell>
          <cell r="Z2176">
            <v>1</v>
          </cell>
          <cell r="AA2176">
            <v>1000</v>
          </cell>
        </row>
        <row r="2177">
          <cell r="A2177">
            <v>46225</v>
          </cell>
          <cell r="D2177" t="str">
            <v>AGNES LILYGENE</v>
          </cell>
          <cell r="E2177">
            <v>1</v>
          </cell>
          <cell r="H2177" t="str">
            <v>SAFISCOR</v>
          </cell>
          <cell r="N2177">
            <v>1000</v>
          </cell>
          <cell r="Y2177">
            <v>46225</v>
          </cell>
          <cell r="Z2177">
            <v>1</v>
          </cell>
          <cell r="AA2177">
            <v>1000</v>
          </cell>
        </row>
        <row r="2178">
          <cell r="A2178">
            <v>46225</v>
          </cell>
          <cell r="D2178" t="str">
            <v>NAPOLI</v>
          </cell>
          <cell r="E2178">
            <v>4</v>
          </cell>
          <cell r="H2178" t="str">
            <v>SAFISCOR</v>
          </cell>
          <cell r="N2178">
            <v>1000</v>
          </cell>
          <cell r="Y2178">
            <v>46226</v>
          </cell>
          <cell r="Z2178">
            <v>1</v>
          </cell>
          <cell r="AA2178">
            <v>1000</v>
          </cell>
        </row>
        <row r="2179">
          <cell r="A2179">
            <v>46225</v>
          </cell>
          <cell r="D2179" t="str">
            <v>NAPOLI</v>
          </cell>
          <cell r="E2179">
            <v>4</v>
          </cell>
          <cell r="H2179" t="str">
            <v>SAFISCOR</v>
          </cell>
          <cell r="N2179">
            <v>1000</v>
          </cell>
          <cell r="Y2179">
            <v>46226</v>
          </cell>
          <cell r="Z2179">
            <v>1</v>
          </cell>
          <cell r="AA2179">
            <v>1000</v>
          </cell>
        </row>
        <row r="2180">
          <cell r="A2180">
            <v>46225</v>
          </cell>
          <cell r="D2180" t="str">
            <v>NAPOLI</v>
          </cell>
          <cell r="E2180">
            <v>4</v>
          </cell>
          <cell r="H2180" t="str">
            <v>SAFISCOR</v>
          </cell>
          <cell r="N2180">
            <v>1000</v>
          </cell>
          <cell r="Y2180">
            <v>46226</v>
          </cell>
          <cell r="Z2180">
            <v>1</v>
          </cell>
          <cell r="AA2180">
            <v>1000</v>
          </cell>
        </row>
        <row r="2181">
          <cell r="A2181">
            <v>46225</v>
          </cell>
          <cell r="D2181" t="str">
            <v>NAPOLI</v>
          </cell>
          <cell r="E2181">
            <v>4</v>
          </cell>
          <cell r="H2181" t="str">
            <v>SAFISCOR</v>
          </cell>
          <cell r="N2181">
            <v>1000</v>
          </cell>
          <cell r="Y2181">
            <v>46226</v>
          </cell>
          <cell r="Z2181">
            <v>1</v>
          </cell>
          <cell r="AA2181">
            <v>1000</v>
          </cell>
        </row>
        <row r="2182">
          <cell r="A2182">
            <v>46225</v>
          </cell>
          <cell r="D2182" t="str">
            <v>SALVACION VI</v>
          </cell>
          <cell r="E2182">
            <v>3</v>
          </cell>
          <cell r="H2182" t="str">
            <v>GEO</v>
          </cell>
          <cell r="N2182">
            <v>1000</v>
          </cell>
          <cell r="Y2182">
            <v>46225</v>
          </cell>
          <cell r="Z2182">
            <v>1</v>
          </cell>
          <cell r="AA2182">
            <v>1000</v>
          </cell>
        </row>
        <row r="2183">
          <cell r="A2183">
            <v>46225</v>
          </cell>
          <cell r="D2183" t="str">
            <v>SALVACION VI</v>
          </cell>
          <cell r="E2183">
            <v>3</v>
          </cell>
          <cell r="H2183" t="str">
            <v>SAFISCOR</v>
          </cell>
          <cell r="N2183">
            <v>300</v>
          </cell>
          <cell r="Y2183">
            <v>46225</v>
          </cell>
          <cell r="Z2183">
            <v>2</v>
          </cell>
          <cell r="AA2183">
            <v>300</v>
          </cell>
        </row>
        <row r="2184">
          <cell r="A2184">
            <v>46225</v>
          </cell>
          <cell r="D2184" t="str">
            <v>JOHANNAH 7</v>
          </cell>
          <cell r="E2184">
            <v>3</v>
          </cell>
          <cell r="H2184" t="str">
            <v>SAFISCOR</v>
          </cell>
          <cell r="N2184">
            <v>700</v>
          </cell>
          <cell r="Y2184">
            <v>46225</v>
          </cell>
          <cell r="Z2184">
            <v>2</v>
          </cell>
          <cell r="AA2184">
            <v>700</v>
          </cell>
        </row>
        <row r="2185">
          <cell r="A2185">
            <v>46225</v>
          </cell>
          <cell r="D2185" t="str">
            <v>JOHANNAH 7</v>
          </cell>
          <cell r="E2185">
            <v>3</v>
          </cell>
          <cell r="H2185" t="str">
            <v>SAFISCOR</v>
          </cell>
          <cell r="N2185">
            <v>1000</v>
          </cell>
          <cell r="Y2185">
            <v>46225</v>
          </cell>
          <cell r="Z2185">
            <v>1</v>
          </cell>
          <cell r="AA2185">
            <v>1000</v>
          </cell>
        </row>
        <row r="2186">
          <cell r="A2186">
            <v>46225</v>
          </cell>
          <cell r="D2186" t="str">
            <v>AGNES LILYGENE</v>
          </cell>
          <cell r="E2186">
            <v>1</v>
          </cell>
          <cell r="H2186" t="str">
            <v>APLUS</v>
          </cell>
          <cell r="N2186">
            <v>1000</v>
          </cell>
          <cell r="Y2186">
            <v>46225</v>
          </cell>
          <cell r="Z2186">
            <v>1</v>
          </cell>
          <cell r="AA2186">
            <v>1000</v>
          </cell>
        </row>
        <row r="2187">
          <cell r="A2187">
            <v>46225</v>
          </cell>
          <cell r="D2187" t="str">
            <v>EFG 7</v>
          </cell>
          <cell r="E2187">
            <v>3</v>
          </cell>
          <cell r="H2187" t="str">
            <v>SAFISCOR</v>
          </cell>
          <cell r="N2187">
            <v>1000</v>
          </cell>
          <cell r="Y2187">
            <v>46228</v>
          </cell>
          <cell r="Z2187">
            <v>2</v>
          </cell>
          <cell r="AA2187">
            <v>1000</v>
          </cell>
        </row>
        <row r="2188">
          <cell r="A2188">
            <v>46225</v>
          </cell>
          <cell r="D2188" t="str">
            <v>EFG 7</v>
          </cell>
          <cell r="E2188">
            <v>3</v>
          </cell>
          <cell r="H2188" t="str">
            <v>SAFISCOR</v>
          </cell>
          <cell r="N2188">
            <v>1000</v>
          </cell>
          <cell r="Y2188">
            <v>46228</v>
          </cell>
          <cell r="Z2188">
            <v>2</v>
          </cell>
          <cell r="AA2188">
            <v>1000</v>
          </cell>
        </row>
        <row r="2189">
          <cell r="A2189">
            <v>46225</v>
          </cell>
          <cell r="D2189" t="str">
            <v>EFG 7</v>
          </cell>
          <cell r="E2189">
            <v>3</v>
          </cell>
          <cell r="H2189" t="str">
            <v>SAFISCOR</v>
          </cell>
          <cell r="N2189">
            <v>1000</v>
          </cell>
          <cell r="Y2189">
            <v>46226</v>
          </cell>
          <cell r="Z2189">
            <v>1</v>
          </cell>
          <cell r="AA2189">
            <v>1000</v>
          </cell>
        </row>
        <row r="2190">
          <cell r="A2190">
            <v>46225</v>
          </cell>
          <cell r="D2190" t="str">
            <v>EFG 7</v>
          </cell>
          <cell r="E2190">
            <v>3</v>
          </cell>
          <cell r="H2190" t="str">
            <v>SAFISCOR</v>
          </cell>
          <cell r="N2190">
            <v>1000</v>
          </cell>
          <cell r="Y2190">
            <v>46229</v>
          </cell>
          <cell r="Z2190">
            <v>1</v>
          </cell>
          <cell r="AA2190">
            <v>1000</v>
          </cell>
        </row>
        <row r="2191">
          <cell r="A2191">
            <v>46225</v>
          </cell>
          <cell r="D2191" t="str">
            <v>EFG 7</v>
          </cell>
          <cell r="E2191">
            <v>3</v>
          </cell>
          <cell r="H2191" t="str">
            <v>SAFISCOR</v>
          </cell>
          <cell r="N2191">
            <v>1000</v>
          </cell>
          <cell r="Y2191">
            <v>46228</v>
          </cell>
          <cell r="Z2191">
            <v>1</v>
          </cell>
          <cell r="AA2191">
            <v>1000</v>
          </cell>
        </row>
        <row r="2192">
          <cell r="A2192">
            <v>46225</v>
          </cell>
          <cell r="D2192" t="str">
            <v>EFG 7</v>
          </cell>
          <cell r="E2192">
            <v>3</v>
          </cell>
          <cell r="H2192" t="str">
            <v>SAFISCOR</v>
          </cell>
          <cell r="N2192">
            <v>1000</v>
          </cell>
          <cell r="Y2192">
            <v>46228</v>
          </cell>
          <cell r="Z2192">
            <v>1</v>
          </cell>
          <cell r="AA2192">
            <v>1000</v>
          </cell>
        </row>
        <row r="2193">
          <cell r="A2193">
            <v>46225</v>
          </cell>
          <cell r="D2193" t="str">
            <v>EFG 7</v>
          </cell>
          <cell r="E2193">
            <v>3</v>
          </cell>
          <cell r="H2193" t="str">
            <v>SAFISCOR</v>
          </cell>
          <cell r="N2193">
            <v>1000</v>
          </cell>
          <cell r="Y2193">
            <v>46228</v>
          </cell>
          <cell r="Z2193">
            <v>1</v>
          </cell>
          <cell r="AA2193">
            <v>1000</v>
          </cell>
        </row>
        <row r="2194">
          <cell r="A2194">
            <v>46225</v>
          </cell>
          <cell r="D2194" t="str">
            <v xml:space="preserve">STAR SOGOD </v>
          </cell>
          <cell r="E2194">
            <v>5</v>
          </cell>
          <cell r="H2194" t="str">
            <v>SAFISCOR</v>
          </cell>
          <cell r="N2194">
            <v>1000</v>
          </cell>
          <cell r="Y2194">
            <v>46225</v>
          </cell>
          <cell r="Z2194">
            <v>2</v>
          </cell>
          <cell r="AA2194">
            <v>1000</v>
          </cell>
        </row>
        <row r="2195">
          <cell r="A2195">
            <v>46225</v>
          </cell>
          <cell r="D2195" t="str">
            <v>SALVACION VI</v>
          </cell>
          <cell r="E2195">
            <v>3</v>
          </cell>
          <cell r="H2195" t="str">
            <v>SAFISCOR</v>
          </cell>
          <cell r="N2195">
            <v>1000</v>
          </cell>
          <cell r="Y2195">
            <v>46225</v>
          </cell>
          <cell r="Z2195">
            <v>2</v>
          </cell>
          <cell r="AA2195">
            <v>1000</v>
          </cell>
        </row>
        <row r="2196">
          <cell r="A2196">
            <v>46225</v>
          </cell>
          <cell r="D2196" t="str">
            <v>JOHANNAH 7</v>
          </cell>
          <cell r="E2196">
            <v>3</v>
          </cell>
          <cell r="H2196" t="str">
            <v>SAFISCOR</v>
          </cell>
          <cell r="N2196">
            <v>1000</v>
          </cell>
          <cell r="Y2196">
            <v>46226</v>
          </cell>
          <cell r="Z2196">
            <v>1</v>
          </cell>
          <cell r="AA2196">
            <v>1000</v>
          </cell>
        </row>
        <row r="2197">
          <cell r="A2197">
            <v>46225</v>
          </cell>
          <cell r="D2197" t="str">
            <v xml:space="preserve">STAR SOGOD </v>
          </cell>
          <cell r="E2197">
            <v>5</v>
          </cell>
          <cell r="H2197" t="str">
            <v>SAFISCOR</v>
          </cell>
          <cell r="N2197">
            <v>1000</v>
          </cell>
          <cell r="Y2197">
            <v>46225</v>
          </cell>
          <cell r="Z2197">
            <v>2</v>
          </cell>
          <cell r="AA2197">
            <v>1000</v>
          </cell>
        </row>
        <row r="2198">
          <cell r="A2198">
            <v>46225</v>
          </cell>
          <cell r="D2198" t="str">
            <v xml:space="preserve">STAR SOGOD </v>
          </cell>
          <cell r="E2198">
            <v>5</v>
          </cell>
          <cell r="H2198" t="str">
            <v>SAFISCOR</v>
          </cell>
          <cell r="N2198">
            <v>1000</v>
          </cell>
          <cell r="Y2198">
            <v>46225</v>
          </cell>
          <cell r="Z2198">
            <v>2</v>
          </cell>
          <cell r="AA2198">
            <v>1000</v>
          </cell>
        </row>
        <row r="2199">
          <cell r="A2199">
            <v>46225</v>
          </cell>
          <cell r="D2199" t="str">
            <v>SALVACION VI</v>
          </cell>
          <cell r="E2199">
            <v>3</v>
          </cell>
          <cell r="H2199" t="str">
            <v>LAPU-LAPU</v>
          </cell>
          <cell r="N2199">
            <v>1000</v>
          </cell>
          <cell r="Y2199">
            <v>46225</v>
          </cell>
          <cell r="Z2199">
            <v>2</v>
          </cell>
          <cell r="AA2199">
            <v>1000</v>
          </cell>
        </row>
        <row r="2200">
          <cell r="A2200">
            <v>46225</v>
          </cell>
          <cell r="D2200" t="str">
            <v>NAPOLI</v>
          </cell>
          <cell r="E2200">
            <v>4</v>
          </cell>
          <cell r="H2200" t="str">
            <v>SAFISCOR</v>
          </cell>
          <cell r="N2200">
            <v>1000</v>
          </cell>
          <cell r="Y2200">
            <v>46226</v>
          </cell>
          <cell r="Z2200">
            <v>1</v>
          </cell>
          <cell r="AA2200">
            <v>1000</v>
          </cell>
        </row>
        <row r="2201">
          <cell r="A2201">
            <v>46225</v>
          </cell>
          <cell r="D2201" t="str">
            <v xml:space="preserve">STAR SOGOD </v>
          </cell>
          <cell r="E2201">
            <v>5</v>
          </cell>
          <cell r="H2201" t="str">
            <v>SAFISCOR</v>
          </cell>
          <cell r="N2201">
            <v>1000</v>
          </cell>
          <cell r="Y2201">
            <v>46225</v>
          </cell>
          <cell r="Z2201">
            <v>2</v>
          </cell>
          <cell r="AA2201">
            <v>1000</v>
          </cell>
        </row>
        <row r="2202">
          <cell r="A2202">
            <v>46225</v>
          </cell>
          <cell r="D2202" t="str">
            <v>JOHANNAH 7</v>
          </cell>
          <cell r="E2202">
            <v>3</v>
          </cell>
          <cell r="H2202" t="str">
            <v>SAFISCOR</v>
          </cell>
          <cell r="N2202">
            <v>1000</v>
          </cell>
          <cell r="Y2202">
            <v>46225</v>
          </cell>
          <cell r="Z2202">
            <v>2</v>
          </cell>
          <cell r="AA2202">
            <v>1000</v>
          </cell>
        </row>
        <row r="2203">
          <cell r="A2203">
            <v>46225</v>
          </cell>
          <cell r="D2203" t="str">
            <v xml:space="preserve">STAR SOGOD </v>
          </cell>
          <cell r="E2203">
            <v>5</v>
          </cell>
          <cell r="H2203" t="str">
            <v>SAFISCOR</v>
          </cell>
          <cell r="N2203">
            <v>1000</v>
          </cell>
          <cell r="Y2203">
            <v>46225</v>
          </cell>
          <cell r="Z2203">
            <v>2</v>
          </cell>
          <cell r="AA2203">
            <v>1000</v>
          </cell>
        </row>
        <row r="2204">
          <cell r="A2204">
            <v>46225</v>
          </cell>
          <cell r="D2204" t="str">
            <v>SALVACION VI</v>
          </cell>
          <cell r="E2204">
            <v>3</v>
          </cell>
          <cell r="H2204" t="str">
            <v>LAPU-LAPU</v>
          </cell>
          <cell r="N2204">
            <v>1000</v>
          </cell>
          <cell r="Y2204">
            <v>46225</v>
          </cell>
          <cell r="Z2204">
            <v>2</v>
          </cell>
          <cell r="AA2204">
            <v>1000</v>
          </cell>
        </row>
        <row r="2205">
          <cell r="A2205">
            <v>46225</v>
          </cell>
          <cell r="D2205" t="str">
            <v>EFG 7</v>
          </cell>
          <cell r="E2205">
            <v>3</v>
          </cell>
          <cell r="H2205" t="str">
            <v>LAPU-LAPU</v>
          </cell>
          <cell r="N2205">
            <v>1000</v>
          </cell>
          <cell r="Y2205">
            <v>46225</v>
          </cell>
          <cell r="Z2205">
            <v>2</v>
          </cell>
          <cell r="AA2205">
            <v>1000</v>
          </cell>
        </row>
        <row r="2206">
          <cell r="A2206">
            <v>46225</v>
          </cell>
          <cell r="D2206" t="str">
            <v>SALVACION VI</v>
          </cell>
          <cell r="E2206">
            <v>3</v>
          </cell>
          <cell r="H2206" t="str">
            <v>BADIE</v>
          </cell>
          <cell r="N2206">
            <v>1000</v>
          </cell>
          <cell r="Y2206">
            <v>46225</v>
          </cell>
          <cell r="Z2206">
            <v>2</v>
          </cell>
          <cell r="AA2206">
            <v>1000</v>
          </cell>
        </row>
        <row r="2207">
          <cell r="A2207">
            <v>46225</v>
          </cell>
          <cell r="D2207" t="str">
            <v xml:space="preserve">STAR SOGOD </v>
          </cell>
          <cell r="E2207">
            <v>5</v>
          </cell>
          <cell r="H2207" t="str">
            <v>LAPU-LAPU</v>
          </cell>
          <cell r="N2207">
            <v>1000</v>
          </cell>
          <cell r="Y2207">
            <v>46225</v>
          </cell>
          <cell r="Z2207">
            <v>2</v>
          </cell>
          <cell r="AA2207">
            <v>1000</v>
          </cell>
        </row>
        <row r="2208">
          <cell r="A2208">
            <v>46225</v>
          </cell>
          <cell r="D2208" t="str">
            <v>JOHANNAH 7</v>
          </cell>
          <cell r="E2208">
            <v>3</v>
          </cell>
          <cell r="H2208" t="str">
            <v>SAFISCOR</v>
          </cell>
          <cell r="N2208">
            <v>1000</v>
          </cell>
          <cell r="Y2208">
            <v>46225</v>
          </cell>
          <cell r="Z2208">
            <v>2</v>
          </cell>
          <cell r="AA2208">
            <v>1000</v>
          </cell>
        </row>
        <row r="2209">
          <cell r="A2209">
            <v>46225</v>
          </cell>
          <cell r="D2209" t="str">
            <v>JOHANNAH 7</v>
          </cell>
          <cell r="E2209">
            <v>3</v>
          </cell>
          <cell r="H2209" t="str">
            <v>SAFISCOR</v>
          </cell>
          <cell r="N2209">
            <v>1000</v>
          </cell>
          <cell r="Y2209">
            <v>46225</v>
          </cell>
          <cell r="Z2209">
            <v>2</v>
          </cell>
          <cell r="AA2209">
            <v>1000</v>
          </cell>
        </row>
        <row r="2210">
          <cell r="A2210">
            <v>46225</v>
          </cell>
          <cell r="D2210" t="str">
            <v>SALVACION VI</v>
          </cell>
          <cell r="E2210">
            <v>3</v>
          </cell>
          <cell r="H2210" t="str">
            <v>SAFISCOR</v>
          </cell>
          <cell r="N2210">
            <v>1000</v>
          </cell>
          <cell r="Y2210">
            <v>46225</v>
          </cell>
          <cell r="Z2210">
            <v>2</v>
          </cell>
          <cell r="AA2210">
            <v>1000</v>
          </cell>
        </row>
        <row r="2211">
          <cell r="A2211">
            <v>46225</v>
          </cell>
          <cell r="D2211" t="str">
            <v>JOHANNAH 7</v>
          </cell>
          <cell r="E2211">
            <v>3</v>
          </cell>
          <cell r="H2211" t="str">
            <v>APLUS</v>
          </cell>
          <cell r="N2211">
            <v>1000</v>
          </cell>
          <cell r="Y2211">
            <v>46225</v>
          </cell>
          <cell r="Z2211">
            <v>2</v>
          </cell>
          <cell r="AA2211">
            <v>1000</v>
          </cell>
        </row>
        <row r="2212">
          <cell r="A2212">
            <v>46225</v>
          </cell>
          <cell r="D2212" t="str">
            <v xml:space="preserve">STAR SOGOD </v>
          </cell>
          <cell r="E2212">
            <v>5</v>
          </cell>
          <cell r="H2212" t="str">
            <v>SAFISCOR</v>
          </cell>
          <cell r="N2212">
            <v>1000</v>
          </cell>
          <cell r="Y2212">
            <v>46225</v>
          </cell>
          <cell r="Z2212">
            <v>2</v>
          </cell>
          <cell r="AA2212">
            <v>1000</v>
          </cell>
        </row>
        <row r="2213">
          <cell r="A2213">
            <v>46225</v>
          </cell>
          <cell r="D2213" t="str">
            <v>JOHANNAH 7</v>
          </cell>
          <cell r="E2213">
            <v>3</v>
          </cell>
          <cell r="H2213" t="str">
            <v>GEO</v>
          </cell>
          <cell r="N2213">
            <v>1000</v>
          </cell>
          <cell r="Y2213">
            <v>46225</v>
          </cell>
          <cell r="Z2213">
            <v>2</v>
          </cell>
          <cell r="AA2213">
            <v>1000</v>
          </cell>
        </row>
        <row r="2214">
          <cell r="A2214">
            <v>46225</v>
          </cell>
          <cell r="D2214" t="str">
            <v>JOHANNAH 7</v>
          </cell>
          <cell r="E2214">
            <v>3</v>
          </cell>
          <cell r="H2214" t="str">
            <v>SAFISCOR</v>
          </cell>
          <cell r="N2214">
            <v>1000</v>
          </cell>
          <cell r="Y2214">
            <v>46225</v>
          </cell>
          <cell r="Z2214">
            <v>2</v>
          </cell>
          <cell r="AA2214">
            <v>1000</v>
          </cell>
        </row>
        <row r="2215">
          <cell r="A2215">
            <v>46225</v>
          </cell>
          <cell r="D2215" t="str">
            <v>EFG 7</v>
          </cell>
          <cell r="E2215">
            <v>3</v>
          </cell>
          <cell r="H2215" t="str">
            <v>SAFISCOR</v>
          </cell>
          <cell r="N2215">
            <v>1000</v>
          </cell>
          <cell r="Y2215">
            <v>46226</v>
          </cell>
          <cell r="Z2215">
            <v>1</v>
          </cell>
          <cell r="AA2215">
            <v>1000</v>
          </cell>
        </row>
        <row r="2216">
          <cell r="A2216">
            <v>46225</v>
          </cell>
          <cell r="D2216" t="str">
            <v>JOHANNAH 7</v>
          </cell>
          <cell r="E2216">
            <v>3</v>
          </cell>
          <cell r="H2216" t="str">
            <v>LAPU-LAPU</v>
          </cell>
          <cell r="N2216">
            <v>1000</v>
          </cell>
          <cell r="Y2216">
            <v>46225</v>
          </cell>
          <cell r="Z2216">
            <v>2</v>
          </cell>
          <cell r="AA2216">
            <v>1000</v>
          </cell>
        </row>
        <row r="2217">
          <cell r="A2217">
            <v>46225</v>
          </cell>
          <cell r="D2217" t="str">
            <v>JOHANNAH 7</v>
          </cell>
          <cell r="E2217">
            <v>3</v>
          </cell>
          <cell r="H2217" t="str">
            <v>LAPU-LAPU</v>
          </cell>
          <cell r="N2217">
            <v>1000</v>
          </cell>
          <cell r="Y2217">
            <v>46226</v>
          </cell>
          <cell r="Z2217">
            <v>1</v>
          </cell>
          <cell r="AA2217">
            <v>1000</v>
          </cell>
        </row>
        <row r="2218">
          <cell r="A2218">
            <v>46225</v>
          </cell>
          <cell r="D2218" t="str">
            <v>JOHANNAH 7</v>
          </cell>
          <cell r="E2218">
            <v>3</v>
          </cell>
          <cell r="H2218" t="str">
            <v>SAFISCOR</v>
          </cell>
          <cell r="N2218">
            <v>1000</v>
          </cell>
          <cell r="Y2218">
            <v>46226</v>
          </cell>
          <cell r="Z2218">
            <v>1</v>
          </cell>
          <cell r="AA2218">
            <v>1000</v>
          </cell>
        </row>
        <row r="2219">
          <cell r="A2219">
            <v>46226</v>
          </cell>
          <cell r="D2219" t="str">
            <v xml:space="preserve">STAR SOGOD </v>
          </cell>
          <cell r="E2219">
            <v>5</v>
          </cell>
          <cell r="H2219" t="str">
            <v>SAFISCOR</v>
          </cell>
          <cell r="N2219">
            <v>1000</v>
          </cell>
          <cell r="Y2219">
            <v>46226</v>
          </cell>
          <cell r="Z2219">
            <v>1</v>
          </cell>
          <cell r="AA2219">
            <v>1000</v>
          </cell>
        </row>
        <row r="2220">
          <cell r="A2220">
            <v>46226</v>
          </cell>
          <cell r="D2220" t="str">
            <v xml:space="preserve">STAR SOGOD </v>
          </cell>
          <cell r="E2220">
            <v>5</v>
          </cell>
          <cell r="H2220" t="str">
            <v>SAFISCOR</v>
          </cell>
          <cell r="N2220">
            <v>1000</v>
          </cell>
          <cell r="Y2220">
            <v>46226</v>
          </cell>
          <cell r="Z2220">
            <v>1</v>
          </cell>
          <cell r="AA2220">
            <v>1000</v>
          </cell>
        </row>
        <row r="2221">
          <cell r="A2221">
            <v>46226</v>
          </cell>
          <cell r="D2221" t="str">
            <v xml:space="preserve">STAR SOGOD </v>
          </cell>
          <cell r="E2221">
            <v>5</v>
          </cell>
          <cell r="H2221" t="str">
            <v>FULACHE</v>
          </cell>
          <cell r="N2221">
            <v>1000</v>
          </cell>
          <cell r="Y2221">
            <v>46226</v>
          </cell>
          <cell r="Z2221">
            <v>1</v>
          </cell>
          <cell r="AA2221">
            <v>1000</v>
          </cell>
        </row>
        <row r="2222">
          <cell r="A2222">
            <v>46226</v>
          </cell>
          <cell r="D2222" t="str">
            <v xml:space="preserve">STAR SOGOD </v>
          </cell>
          <cell r="E2222">
            <v>5</v>
          </cell>
          <cell r="H2222" t="str">
            <v>GEO</v>
          </cell>
          <cell r="N2222">
            <v>1000</v>
          </cell>
          <cell r="Y2222">
            <v>46226</v>
          </cell>
          <cell r="Z2222">
            <v>1</v>
          </cell>
          <cell r="AA2222">
            <v>1000</v>
          </cell>
        </row>
        <row r="2223">
          <cell r="A2223">
            <v>46226</v>
          </cell>
          <cell r="D2223" t="str">
            <v>JOHANNAH 7</v>
          </cell>
          <cell r="E2223">
            <v>3</v>
          </cell>
          <cell r="H2223" t="str">
            <v>LAPU-LAPU</v>
          </cell>
          <cell r="N2223">
            <v>1000</v>
          </cell>
          <cell r="Y2223">
            <v>46226</v>
          </cell>
          <cell r="Z2223">
            <v>1</v>
          </cell>
          <cell r="AA2223">
            <v>1000</v>
          </cell>
        </row>
        <row r="2224">
          <cell r="A2224">
            <v>46226</v>
          </cell>
          <cell r="D2224" t="str">
            <v>EFG 7</v>
          </cell>
          <cell r="E2224">
            <v>3</v>
          </cell>
          <cell r="H2224" t="str">
            <v>GEO</v>
          </cell>
          <cell r="N2224">
            <v>1000</v>
          </cell>
          <cell r="Y2224">
            <v>46226</v>
          </cell>
          <cell r="Z2224">
            <v>1</v>
          </cell>
          <cell r="AA2224">
            <v>1000</v>
          </cell>
        </row>
        <row r="2225">
          <cell r="A2225">
            <v>46226</v>
          </cell>
          <cell r="D2225" t="str">
            <v>EFG 7</v>
          </cell>
          <cell r="E2225">
            <v>3</v>
          </cell>
          <cell r="H2225" t="str">
            <v>SAFISCOR</v>
          </cell>
          <cell r="N2225">
            <v>1000</v>
          </cell>
          <cell r="Y2225">
            <v>46228</v>
          </cell>
          <cell r="Z2225">
            <v>2</v>
          </cell>
          <cell r="AA2225">
            <v>1000</v>
          </cell>
        </row>
        <row r="2226">
          <cell r="A2226">
            <v>46226</v>
          </cell>
          <cell r="D2226" t="str">
            <v>QUEEN CAROLYN</v>
          </cell>
          <cell r="E2226">
            <v>4</v>
          </cell>
          <cell r="H2226" t="str">
            <v>LAPU-LAPU</v>
          </cell>
          <cell r="N2226">
            <v>1000</v>
          </cell>
          <cell r="Y2226">
            <v>46226</v>
          </cell>
          <cell r="Z2226">
            <v>1</v>
          </cell>
          <cell r="AA2226">
            <v>1000</v>
          </cell>
        </row>
        <row r="2227">
          <cell r="A2227">
            <v>46226</v>
          </cell>
          <cell r="D2227" t="str">
            <v>EFG 7</v>
          </cell>
          <cell r="E2227">
            <v>3</v>
          </cell>
          <cell r="H2227" t="str">
            <v>SAFISCOR</v>
          </cell>
          <cell r="N2227">
            <v>1000</v>
          </cell>
          <cell r="Y2227">
            <v>46228</v>
          </cell>
          <cell r="Z2227">
            <v>2</v>
          </cell>
          <cell r="AA2227">
            <v>1000</v>
          </cell>
        </row>
        <row r="2228">
          <cell r="A2228">
            <v>46226</v>
          </cell>
          <cell r="D2228" t="str">
            <v>EFG 7</v>
          </cell>
          <cell r="E2228">
            <v>3</v>
          </cell>
          <cell r="H2228" t="str">
            <v>SAFISCOR</v>
          </cell>
          <cell r="N2228">
            <v>500</v>
          </cell>
          <cell r="Y2228">
            <v>46226</v>
          </cell>
          <cell r="Z2228">
            <v>1</v>
          </cell>
          <cell r="AA2228">
            <v>500</v>
          </cell>
        </row>
        <row r="2229">
          <cell r="A2229">
            <v>46226</v>
          </cell>
          <cell r="D2229" t="str">
            <v xml:space="preserve">STAR SOGOD </v>
          </cell>
          <cell r="E2229">
            <v>5</v>
          </cell>
          <cell r="H2229" t="str">
            <v>SAFISCOR</v>
          </cell>
          <cell r="N2229">
            <v>500</v>
          </cell>
          <cell r="Y2229">
            <v>46226</v>
          </cell>
          <cell r="Z2229">
            <v>1</v>
          </cell>
          <cell r="AA2229">
            <v>500</v>
          </cell>
        </row>
        <row r="2230">
          <cell r="A2230">
            <v>46226</v>
          </cell>
          <cell r="D2230" t="str">
            <v>LADY OF DIVINE GRACE</v>
          </cell>
          <cell r="E2230">
            <v>4</v>
          </cell>
          <cell r="H2230" t="str">
            <v>SAFISCOR</v>
          </cell>
          <cell r="N2230">
            <v>500</v>
          </cell>
          <cell r="Y2230">
            <v>46226</v>
          </cell>
          <cell r="Z2230">
            <v>1</v>
          </cell>
          <cell r="AA2230">
            <v>500</v>
          </cell>
        </row>
        <row r="2231">
          <cell r="A2231">
            <v>46226</v>
          </cell>
          <cell r="D2231" t="str">
            <v>JOHANNAH 7</v>
          </cell>
          <cell r="E2231">
            <v>3</v>
          </cell>
          <cell r="H2231" t="str">
            <v>SAFISCOR</v>
          </cell>
          <cell r="N2231">
            <v>500</v>
          </cell>
          <cell r="Y2231">
            <v>46226</v>
          </cell>
          <cell r="Z2231">
            <v>1</v>
          </cell>
          <cell r="AA2231">
            <v>500</v>
          </cell>
        </row>
        <row r="2232">
          <cell r="A2232">
            <v>46226</v>
          </cell>
          <cell r="D2232" t="str">
            <v>SALVACION VI</v>
          </cell>
          <cell r="E2232">
            <v>3</v>
          </cell>
          <cell r="H2232" t="str">
            <v>APLUS</v>
          </cell>
          <cell r="N2232">
            <v>300</v>
          </cell>
          <cell r="Y2232">
            <v>46226</v>
          </cell>
          <cell r="Z2232">
            <v>1</v>
          </cell>
          <cell r="AA2232">
            <v>300</v>
          </cell>
        </row>
        <row r="2233">
          <cell r="A2233">
            <v>46226</v>
          </cell>
          <cell r="D2233" t="str">
            <v>SALVACION VI</v>
          </cell>
          <cell r="E2233">
            <v>3</v>
          </cell>
          <cell r="H2233" t="str">
            <v>APLUS</v>
          </cell>
          <cell r="N2233">
            <v>700</v>
          </cell>
          <cell r="Y2233">
            <v>46226</v>
          </cell>
          <cell r="Z2233">
            <v>1</v>
          </cell>
          <cell r="AA2233">
            <v>700</v>
          </cell>
        </row>
        <row r="2234">
          <cell r="A2234">
            <v>46226</v>
          </cell>
          <cell r="D2234" t="str">
            <v>AGNES LILYGENE</v>
          </cell>
          <cell r="E2234">
            <v>1</v>
          </cell>
          <cell r="H2234" t="str">
            <v>BADIE</v>
          </cell>
          <cell r="N2234">
            <v>1000</v>
          </cell>
          <cell r="Y2234">
            <v>46226</v>
          </cell>
          <cell r="Z2234">
            <v>1</v>
          </cell>
          <cell r="AA2234">
            <v>1000</v>
          </cell>
        </row>
        <row r="2235">
          <cell r="A2235">
            <v>46226</v>
          </cell>
          <cell r="D2235" t="str">
            <v>QUEEN CAROLYN</v>
          </cell>
          <cell r="E2235">
            <v>4</v>
          </cell>
          <cell r="H2235" t="str">
            <v>SAFISCOR</v>
          </cell>
          <cell r="N2235">
            <v>1000</v>
          </cell>
          <cell r="Y2235">
            <v>46226</v>
          </cell>
          <cell r="Z2235">
            <v>1</v>
          </cell>
          <cell r="AA2235">
            <v>1000</v>
          </cell>
        </row>
        <row r="2236">
          <cell r="A2236">
            <v>46226</v>
          </cell>
          <cell r="D2236" t="str">
            <v>LADY OF DIVINE GRACE</v>
          </cell>
          <cell r="E2236">
            <v>4</v>
          </cell>
          <cell r="H2236" t="str">
            <v>SAFISCOR</v>
          </cell>
          <cell r="N2236">
            <v>1000</v>
          </cell>
          <cell r="Y2236">
            <v>46227</v>
          </cell>
          <cell r="Z2236">
            <v>1</v>
          </cell>
          <cell r="AA2236">
            <v>1000</v>
          </cell>
        </row>
        <row r="2237">
          <cell r="A2237">
            <v>46226</v>
          </cell>
          <cell r="D2237" t="str">
            <v>EFG 7</v>
          </cell>
          <cell r="E2237">
            <v>3</v>
          </cell>
          <cell r="H2237" t="str">
            <v>SAFISCOR</v>
          </cell>
          <cell r="N2237">
            <v>1000</v>
          </cell>
          <cell r="Y2237">
            <v>46228</v>
          </cell>
          <cell r="Z2237">
            <v>2</v>
          </cell>
          <cell r="AA2237">
            <v>1000</v>
          </cell>
        </row>
        <row r="2238">
          <cell r="A2238">
            <v>46226</v>
          </cell>
          <cell r="D2238" t="str">
            <v>EFG 7</v>
          </cell>
          <cell r="E2238">
            <v>3</v>
          </cell>
          <cell r="H2238" t="str">
            <v>LAPU-LAPU</v>
          </cell>
          <cell r="N2238">
            <v>1000</v>
          </cell>
          <cell r="Y2238">
            <v>46226</v>
          </cell>
          <cell r="Z2238">
            <v>1</v>
          </cell>
          <cell r="AA2238">
            <v>1000</v>
          </cell>
        </row>
        <row r="2239">
          <cell r="A2239">
            <v>46226</v>
          </cell>
          <cell r="D2239" t="str">
            <v>EFG 7</v>
          </cell>
          <cell r="E2239">
            <v>3</v>
          </cell>
          <cell r="H2239" t="str">
            <v>LAPU-LAPU</v>
          </cell>
          <cell r="N2239">
            <v>1000</v>
          </cell>
          <cell r="Y2239">
            <v>46228</v>
          </cell>
          <cell r="Z2239">
            <v>1</v>
          </cell>
          <cell r="AA2239">
            <v>1000</v>
          </cell>
        </row>
        <row r="2240">
          <cell r="A2240">
            <v>46226</v>
          </cell>
          <cell r="D2240" t="str">
            <v>SALVACION VI</v>
          </cell>
          <cell r="E2240">
            <v>3</v>
          </cell>
          <cell r="H2240" t="str">
            <v>GEO</v>
          </cell>
          <cell r="N2240">
            <v>1000</v>
          </cell>
          <cell r="Y2240">
            <v>46226</v>
          </cell>
          <cell r="Z2240">
            <v>1</v>
          </cell>
          <cell r="AA2240">
            <v>1000</v>
          </cell>
        </row>
        <row r="2241">
          <cell r="A2241">
            <v>46226</v>
          </cell>
          <cell r="D2241" t="str">
            <v>EFG 7</v>
          </cell>
          <cell r="E2241">
            <v>3</v>
          </cell>
          <cell r="H2241" t="str">
            <v>SAFISCOR</v>
          </cell>
          <cell r="N2241">
            <v>1000</v>
          </cell>
          <cell r="Y2241">
            <v>46228</v>
          </cell>
          <cell r="Z2241">
            <v>2</v>
          </cell>
          <cell r="AA2241">
            <v>1000</v>
          </cell>
        </row>
        <row r="2242">
          <cell r="A2242">
            <v>46226</v>
          </cell>
          <cell r="D2242" t="str">
            <v>QUEEN CAROLYN</v>
          </cell>
          <cell r="E2242">
            <v>4</v>
          </cell>
          <cell r="H2242" t="str">
            <v>SAFISCOR</v>
          </cell>
          <cell r="N2242">
            <v>1000</v>
          </cell>
          <cell r="Y2242">
            <v>46226</v>
          </cell>
          <cell r="Z2242">
            <v>1</v>
          </cell>
          <cell r="AA2242">
            <v>1000</v>
          </cell>
        </row>
        <row r="2243">
          <cell r="A2243">
            <v>46226</v>
          </cell>
          <cell r="D2243" t="str">
            <v>EFG 7</v>
          </cell>
          <cell r="E2243">
            <v>3</v>
          </cell>
          <cell r="H2243" t="str">
            <v>LAPU-LAPU</v>
          </cell>
          <cell r="N2243">
            <v>1000</v>
          </cell>
          <cell r="Y2243">
            <v>46228</v>
          </cell>
          <cell r="Z2243">
            <v>1</v>
          </cell>
          <cell r="AA2243">
            <v>1000</v>
          </cell>
        </row>
        <row r="2244">
          <cell r="A2244">
            <v>46226</v>
          </cell>
          <cell r="D2244" t="str">
            <v>LADY OF DIVINE GRACE</v>
          </cell>
          <cell r="E2244">
            <v>4</v>
          </cell>
          <cell r="H2244" t="str">
            <v>SAFISCOR</v>
          </cell>
          <cell r="N2244">
            <v>1000</v>
          </cell>
          <cell r="Y2244">
            <v>46227</v>
          </cell>
          <cell r="Z2244">
            <v>1</v>
          </cell>
          <cell r="AA2244">
            <v>1000</v>
          </cell>
        </row>
        <row r="2245">
          <cell r="A2245">
            <v>46226</v>
          </cell>
          <cell r="D2245" t="str">
            <v>LADY OF DIVINE GRACE</v>
          </cell>
          <cell r="E2245">
            <v>4</v>
          </cell>
          <cell r="H2245" t="str">
            <v>SAFISCOR</v>
          </cell>
          <cell r="N2245">
            <v>1000</v>
          </cell>
          <cell r="Y2245">
            <v>46226</v>
          </cell>
          <cell r="Z2245">
            <v>1</v>
          </cell>
          <cell r="AA2245">
            <v>1000</v>
          </cell>
        </row>
        <row r="2246">
          <cell r="A2246">
            <v>46226</v>
          </cell>
          <cell r="D2246" t="str">
            <v>QUEEN CAROLYN</v>
          </cell>
          <cell r="E2246">
            <v>4</v>
          </cell>
          <cell r="H2246" t="str">
            <v>LAPU-LAPU</v>
          </cell>
          <cell r="N2246">
            <v>1000</v>
          </cell>
          <cell r="Y2246">
            <v>46226</v>
          </cell>
          <cell r="Z2246">
            <v>1</v>
          </cell>
          <cell r="AA2246">
            <v>1000</v>
          </cell>
        </row>
        <row r="2247">
          <cell r="A2247">
            <v>46226</v>
          </cell>
          <cell r="D2247" t="str">
            <v>SALVACION VI</v>
          </cell>
          <cell r="E2247">
            <v>3</v>
          </cell>
          <cell r="H2247" t="str">
            <v>SAFISCOR</v>
          </cell>
          <cell r="N2247">
            <v>1000</v>
          </cell>
          <cell r="Y2247">
            <v>46226</v>
          </cell>
          <cell r="Z2247">
            <v>1</v>
          </cell>
          <cell r="AA2247">
            <v>1000</v>
          </cell>
        </row>
        <row r="2248">
          <cell r="A2248">
            <v>46226</v>
          </cell>
          <cell r="D2248" t="str">
            <v>SALVACION VI</v>
          </cell>
          <cell r="E2248">
            <v>3</v>
          </cell>
          <cell r="H2248" t="str">
            <v>SAFISCOR</v>
          </cell>
          <cell r="N2248">
            <v>1000</v>
          </cell>
          <cell r="Y2248">
            <v>46227</v>
          </cell>
          <cell r="Z2248">
            <v>1</v>
          </cell>
          <cell r="AA2248">
            <v>1000</v>
          </cell>
        </row>
        <row r="2249">
          <cell r="A2249">
            <v>46226</v>
          </cell>
          <cell r="D2249" t="str">
            <v>LADY OF DIVINE GRACE</v>
          </cell>
          <cell r="E2249">
            <v>4</v>
          </cell>
          <cell r="H2249" t="str">
            <v>SAFISCOR</v>
          </cell>
          <cell r="N2249">
            <v>1000</v>
          </cell>
          <cell r="Y2249">
            <v>46227</v>
          </cell>
          <cell r="Z2249">
            <v>1</v>
          </cell>
          <cell r="AA2249">
            <v>1000</v>
          </cell>
        </row>
        <row r="2250">
          <cell r="A2250">
            <v>46226</v>
          </cell>
          <cell r="D2250" t="str">
            <v>LADY OF DIVINE GRACE</v>
          </cell>
          <cell r="E2250">
            <v>4</v>
          </cell>
          <cell r="H2250" t="str">
            <v>LAPU-LAPU</v>
          </cell>
          <cell r="N2250">
            <v>1000</v>
          </cell>
          <cell r="Y2250">
            <v>46227</v>
          </cell>
          <cell r="Z2250">
            <v>1</v>
          </cell>
          <cell r="AA2250">
            <v>1000</v>
          </cell>
        </row>
        <row r="2251">
          <cell r="A2251">
            <v>46227</v>
          </cell>
          <cell r="D2251" t="str">
            <v>EFG 7</v>
          </cell>
          <cell r="E2251">
            <v>3</v>
          </cell>
          <cell r="H2251" t="str">
            <v>GEO</v>
          </cell>
          <cell r="N2251">
            <v>1000</v>
          </cell>
          <cell r="Y2251">
            <v>46228</v>
          </cell>
          <cell r="Z2251">
            <v>1</v>
          </cell>
          <cell r="AA2251">
            <v>1000</v>
          </cell>
        </row>
        <row r="2252">
          <cell r="A2252">
            <v>46227</v>
          </cell>
          <cell r="D2252" t="str">
            <v>EFG 7</v>
          </cell>
          <cell r="E2252">
            <v>3</v>
          </cell>
          <cell r="H2252" t="str">
            <v>SAFISCOR</v>
          </cell>
          <cell r="N2252">
            <v>1000</v>
          </cell>
          <cell r="Y2252">
            <v>46228</v>
          </cell>
          <cell r="Z2252">
            <v>2</v>
          </cell>
          <cell r="AA2252">
            <v>1000</v>
          </cell>
        </row>
        <row r="2253">
          <cell r="A2253">
            <v>46227</v>
          </cell>
          <cell r="D2253" t="str">
            <v>EFG 7</v>
          </cell>
          <cell r="E2253">
            <v>3</v>
          </cell>
          <cell r="H2253" t="str">
            <v>SAFISCOR</v>
          </cell>
          <cell r="N2253">
            <v>500</v>
          </cell>
          <cell r="Y2253">
            <v>46229</v>
          </cell>
          <cell r="Z2253">
            <v>1</v>
          </cell>
          <cell r="AA2253">
            <v>500</v>
          </cell>
        </row>
        <row r="2254">
          <cell r="A2254">
            <v>46227</v>
          </cell>
          <cell r="D2254" t="str">
            <v>EFG 7</v>
          </cell>
          <cell r="E2254">
            <v>3</v>
          </cell>
          <cell r="H2254" t="str">
            <v>SAFISCOR</v>
          </cell>
          <cell r="N2254">
            <v>1000</v>
          </cell>
          <cell r="Y2254">
            <v>46228</v>
          </cell>
          <cell r="Z2254">
            <v>2</v>
          </cell>
          <cell r="AA2254">
            <v>1000</v>
          </cell>
        </row>
        <row r="2255">
          <cell r="A2255">
            <v>46227</v>
          </cell>
          <cell r="D2255" t="str">
            <v>EFG 7</v>
          </cell>
          <cell r="E2255">
            <v>3</v>
          </cell>
          <cell r="H2255" t="str">
            <v>SAFISCOR</v>
          </cell>
          <cell r="N2255">
            <v>1000</v>
          </cell>
          <cell r="Y2255">
            <v>46228</v>
          </cell>
          <cell r="Z2255">
            <v>2</v>
          </cell>
          <cell r="AA2255">
            <v>1000</v>
          </cell>
        </row>
        <row r="2256">
          <cell r="A2256">
            <v>46227</v>
          </cell>
          <cell r="D2256" t="str">
            <v>EFG 7</v>
          </cell>
          <cell r="E2256">
            <v>3</v>
          </cell>
          <cell r="H2256" t="str">
            <v>SAFISCOR</v>
          </cell>
          <cell r="N2256">
            <v>1000</v>
          </cell>
          <cell r="Y2256">
            <v>46229</v>
          </cell>
          <cell r="Z2256">
            <v>1</v>
          </cell>
          <cell r="AA2256">
            <v>1000</v>
          </cell>
        </row>
        <row r="2257">
          <cell r="A2257">
            <v>46227</v>
          </cell>
          <cell r="D2257" t="str">
            <v>EFG 7</v>
          </cell>
          <cell r="E2257">
            <v>3</v>
          </cell>
          <cell r="H2257" t="str">
            <v>SAFISCOR</v>
          </cell>
          <cell r="N2257">
            <v>1000</v>
          </cell>
          <cell r="Y2257">
            <v>46228</v>
          </cell>
          <cell r="Z2257">
            <v>1</v>
          </cell>
          <cell r="AA2257">
            <v>1000</v>
          </cell>
        </row>
        <row r="2258">
          <cell r="A2258">
            <v>46227</v>
          </cell>
          <cell r="D2258" t="str">
            <v>QUEEN CAROLYN</v>
          </cell>
          <cell r="E2258">
            <v>4</v>
          </cell>
          <cell r="H2258" t="str">
            <v>SAFISCOR</v>
          </cell>
          <cell r="N2258">
            <v>1000</v>
          </cell>
          <cell r="Y2258">
            <v>46227</v>
          </cell>
          <cell r="Z2258">
            <v>1</v>
          </cell>
          <cell r="AA2258">
            <v>1000</v>
          </cell>
        </row>
        <row r="2259">
          <cell r="A2259">
            <v>46227</v>
          </cell>
          <cell r="D2259" t="str">
            <v>QUEEN CAROLYN</v>
          </cell>
          <cell r="E2259">
            <v>4</v>
          </cell>
          <cell r="H2259" t="str">
            <v>BADIE</v>
          </cell>
          <cell r="N2259">
            <v>1000</v>
          </cell>
          <cell r="Y2259">
            <v>46227</v>
          </cell>
          <cell r="Z2259">
            <v>1</v>
          </cell>
          <cell r="AA2259">
            <v>1000</v>
          </cell>
        </row>
        <row r="2260">
          <cell r="A2260">
            <v>46227</v>
          </cell>
          <cell r="D2260" t="str">
            <v>SALVACION VI</v>
          </cell>
          <cell r="E2260">
            <v>3</v>
          </cell>
          <cell r="H2260" t="str">
            <v>GEO</v>
          </cell>
          <cell r="N2260">
            <v>1000</v>
          </cell>
          <cell r="Y2260">
            <v>46227</v>
          </cell>
          <cell r="Z2260">
            <v>1</v>
          </cell>
          <cell r="AA2260">
            <v>1000</v>
          </cell>
        </row>
        <row r="2261">
          <cell r="A2261">
            <v>46227</v>
          </cell>
          <cell r="D2261" t="str">
            <v>SALVACION VI</v>
          </cell>
          <cell r="E2261">
            <v>3</v>
          </cell>
          <cell r="H2261" t="str">
            <v>APLUS</v>
          </cell>
          <cell r="N2261">
            <v>1000</v>
          </cell>
          <cell r="Y2261">
            <v>46227</v>
          </cell>
          <cell r="Z2261">
            <v>1</v>
          </cell>
          <cell r="AA2261">
            <v>1000</v>
          </cell>
        </row>
        <row r="2262">
          <cell r="A2262">
            <v>46227</v>
          </cell>
          <cell r="D2262" t="str">
            <v>NAPOLI</v>
          </cell>
          <cell r="E2262">
            <v>4</v>
          </cell>
          <cell r="H2262" t="str">
            <v>SAFISCOR</v>
          </cell>
          <cell r="N2262">
            <v>1000</v>
          </cell>
          <cell r="Y2262">
            <v>46227</v>
          </cell>
          <cell r="Z2262">
            <v>1</v>
          </cell>
          <cell r="AA2262">
            <v>1000</v>
          </cell>
        </row>
        <row r="2263">
          <cell r="A2263">
            <v>46227</v>
          </cell>
          <cell r="D2263" t="str">
            <v>NAPOLI</v>
          </cell>
          <cell r="E2263">
            <v>4</v>
          </cell>
          <cell r="H2263" t="str">
            <v>SAFISCOR</v>
          </cell>
          <cell r="N2263">
            <v>1000</v>
          </cell>
          <cell r="Y2263">
            <v>46227</v>
          </cell>
          <cell r="Z2263">
            <v>1</v>
          </cell>
          <cell r="AA2263">
            <v>1000</v>
          </cell>
        </row>
        <row r="2264">
          <cell r="A2264">
            <v>46227</v>
          </cell>
          <cell r="D2264" t="str">
            <v>NAPOLI</v>
          </cell>
          <cell r="E2264">
            <v>4</v>
          </cell>
          <cell r="H2264" t="str">
            <v>SAFISCOR</v>
          </cell>
          <cell r="N2264">
            <v>1000</v>
          </cell>
          <cell r="Y2264">
            <v>46227</v>
          </cell>
          <cell r="Z2264">
            <v>1</v>
          </cell>
          <cell r="AA2264">
            <v>1000</v>
          </cell>
        </row>
        <row r="2265">
          <cell r="A2265">
            <v>46227</v>
          </cell>
          <cell r="D2265" t="str">
            <v>NAPOLI</v>
          </cell>
          <cell r="E2265">
            <v>4</v>
          </cell>
          <cell r="H2265" t="str">
            <v>LAPU-LAPU</v>
          </cell>
          <cell r="N2265">
            <v>1000</v>
          </cell>
          <cell r="Y2265">
            <v>46227</v>
          </cell>
          <cell r="Z2265">
            <v>1</v>
          </cell>
          <cell r="AA2265">
            <v>1000</v>
          </cell>
        </row>
        <row r="2266">
          <cell r="A2266">
            <v>46227</v>
          </cell>
          <cell r="D2266" t="str">
            <v xml:space="preserve">STAR SOGOD </v>
          </cell>
          <cell r="E2266">
            <v>5</v>
          </cell>
          <cell r="H2266" t="str">
            <v>SAFISCOR</v>
          </cell>
          <cell r="N2266">
            <v>1080</v>
          </cell>
          <cell r="Y2266">
            <v>46228</v>
          </cell>
          <cell r="Z2266">
            <v>1</v>
          </cell>
          <cell r="AA2266">
            <v>1080</v>
          </cell>
        </row>
        <row r="2267">
          <cell r="A2267">
            <v>46227</v>
          </cell>
          <cell r="D2267" t="str">
            <v xml:space="preserve">STAR SOGOD </v>
          </cell>
          <cell r="E2267">
            <v>5</v>
          </cell>
          <cell r="H2267" t="str">
            <v>SAFISCOR</v>
          </cell>
          <cell r="N2267">
            <v>1080</v>
          </cell>
          <cell r="Y2267">
            <v>46228</v>
          </cell>
          <cell r="Z2267">
            <v>1</v>
          </cell>
          <cell r="AA2267">
            <v>1080</v>
          </cell>
        </row>
        <row r="2268">
          <cell r="A2268">
            <v>46227</v>
          </cell>
          <cell r="D2268" t="str">
            <v xml:space="preserve">STAR SOGOD </v>
          </cell>
          <cell r="E2268">
            <v>5</v>
          </cell>
          <cell r="H2268" t="str">
            <v>LAPU-LAPU</v>
          </cell>
          <cell r="N2268">
            <v>1000</v>
          </cell>
          <cell r="Y2268">
            <v>46228</v>
          </cell>
          <cell r="Z2268">
            <v>1</v>
          </cell>
          <cell r="AA2268">
            <v>1000</v>
          </cell>
        </row>
        <row r="2269">
          <cell r="A2269">
            <v>46227</v>
          </cell>
          <cell r="D2269" t="str">
            <v xml:space="preserve">STAR SOGOD </v>
          </cell>
          <cell r="E2269">
            <v>5</v>
          </cell>
          <cell r="H2269" t="str">
            <v>SAFISCOR</v>
          </cell>
          <cell r="N2269">
            <v>1080</v>
          </cell>
          <cell r="Y2269">
            <v>46227</v>
          </cell>
          <cell r="Z2269">
            <v>1</v>
          </cell>
          <cell r="AA2269">
            <v>1080</v>
          </cell>
        </row>
        <row r="2270">
          <cell r="A2270">
            <v>46227</v>
          </cell>
          <cell r="D2270" t="str">
            <v>SALVACION VI</v>
          </cell>
          <cell r="E2270">
            <v>3</v>
          </cell>
          <cell r="H2270" t="str">
            <v>SAFISCOR</v>
          </cell>
          <cell r="N2270">
            <v>1000</v>
          </cell>
          <cell r="Y2270">
            <v>46227</v>
          </cell>
          <cell r="Z2270">
            <v>1</v>
          </cell>
          <cell r="AA2270">
            <v>1000</v>
          </cell>
        </row>
        <row r="2271">
          <cell r="A2271">
            <v>46227</v>
          </cell>
          <cell r="D2271" t="str">
            <v>QUEEN CAROLYN</v>
          </cell>
          <cell r="E2271">
            <v>4</v>
          </cell>
          <cell r="H2271" t="str">
            <v>APLUS</v>
          </cell>
          <cell r="N2271">
            <v>1000</v>
          </cell>
          <cell r="Y2271">
            <v>46227</v>
          </cell>
          <cell r="Z2271">
            <v>1</v>
          </cell>
          <cell r="AA2271">
            <v>1000</v>
          </cell>
        </row>
        <row r="2272">
          <cell r="A2272">
            <v>46227</v>
          </cell>
          <cell r="D2272" t="str">
            <v>SALVACION VI</v>
          </cell>
          <cell r="E2272">
            <v>3</v>
          </cell>
          <cell r="H2272" t="str">
            <v>SAFISCOR</v>
          </cell>
          <cell r="N2272">
            <v>1000</v>
          </cell>
          <cell r="Y2272">
            <v>46227</v>
          </cell>
          <cell r="Z2272">
            <v>1</v>
          </cell>
          <cell r="AA2272">
            <v>1000</v>
          </cell>
        </row>
        <row r="2273">
          <cell r="A2273">
            <v>46227</v>
          </cell>
          <cell r="D2273" t="str">
            <v>SALVACION VI</v>
          </cell>
          <cell r="E2273">
            <v>3</v>
          </cell>
          <cell r="H2273" t="str">
            <v>SAFISCOR</v>
          </cell>
          <cell r="N2273">
            <v>1000</v>
          </cell>
          <cell r="Y2273">
            <v>46227</v>
          </cell>
          <cell r="Z2273">
            <v>1</v>
          </cell>
          <cell r="AA2273">
            <v>1000</v>
          </cell>
        </row>
        <row r="2274">
          <cell r="A2274">
            <v>46227</v>
          </cell>
          <cell r="D2274" t="str">
            <v>SALVACION VI</v>
          </cell>
          <cell r="E2274">
            <v>3</v>
          </cell>
          <cell r="H2274" t="str">
            <v>GEO</v>
          </cell>
          <cell r="N2274">
            <v>1000</v>
          </cell>
          <cell r="Y2274">
            <v>46227</v>
          </cell>
          <cell r="Z2274">
            <v>1</v>
          </cell>
          <cell r="AA2274">
            <v>1000</v>
          </cell>
        </row>
        <row r="2275">
          <cell r="A2275">
            <v>46227</v>
          </cell>
          <cell r="D2275" t="str">
            <v>QUEEN CAROLYN</v>
          </cell>
          <cell r="E2275">
            <v>4</v>
          </cell>
          <cell r="H2275" t="str">
            <v>SAFISCOR</v>
          </cell>
          <cell r="N2275">
            <v>1000</v>
          </cell>
          <cell r="Y2275">
            <v>46227</v>
          </cell>
          <cell r="Z2275">
            <v>1</v>
          </cell>
          <cell r="AA2275">
            <v>1000</v>
          </cell>
        </row>
        <row r="2276">
          <cell r="A2276">
            <v>46227</v>
          </cell>
          <cell r="D2276" t="str">
            <v>SALVACION VI</v>
          </cell>
          <cell r="E2276">
            <v>3</v>
          </cell>
          <cell r="H2276" t="str">
            <v>SAFISCOR</v>
          </cell>
          <cell r="N2276">
            <v>1000</v>
          </cell>
          <cell r="Y2276">
            <v>46227</v>
          </cell>
          <cell r="Z2276">
            <v>1</v>
          </cell>
          <cell r="AA2276">
            <v>1000</v>
          </cell>
        </row>
        <row r="2277">
          <cell r="A2277">
            <v>46227</v>
          </cell>
          <cell r="D2277" t="str">
            <v>QUEEN CAROLYN</v>
          </cell>
          <cell r="E2277">
            <v>4</v>
          </cell>
          <cell r="H2277" t="str">
            <v>BADIE</v>
          </cell>
          <cell r="N2277">
            <v>1000</v>
          </cell>
          <cell r="Y2277">
            <v>46227</v>
          </cell>
          <cell r="Z2277">
            <v>1</v>
          </cell>
          <cell r="AA2277">
            <v>1000</v>
          </cell>
        </row>
        <row r="2278">
          <cell r="A2278">
            <v>46227</v>
          </cell>
          <cell r="D2278" t="str">
            <v>QUEEN CAROLYN</v>
          </cell>
          <cell r="E2278">
            <v>4</v>
          </cell>
          <cell r="H2278" t="str">
            <v>FULACHE</v>
          </cell>
          <cell r="N2278">
            <v>1000</v>
          </cell>
          <cell r="Y2278">
            <v>46227</v>
          </cell>
          <cell r="Z2278">
            <v>1</v>
          </cell>
          <cell r="AA2278">
            <v>1000</v>
          </cell>
        </row>
        <row r="2279">
          <cell r="A2279">
            <v>46227</v>
          </cell>
          <cell r="D2279" t="str">
            <v xml:space="preserve">STAR SOGOD </v>
          </cell>
          <cell r="E2279">
            <v>5</v>
          </cell>
          <cell r="H2279" t="str">
            <v>LAPU-LAPU</v>
          </cell>
          <cell r="N2279">
            <v>1080</v>
          </cell>
          <cell r="Y2279">
            <v>46228</v>
          </cell>
          <cell r="Z2279">
            <v>1</v>
          </cell>
          <cell r="AA2279">
            <v>1080</v>
          </cell>
        </row>
        <row r="2280">
          <cell r="A2280">
            <v>46227</v>
          </cell>
          <cell r="D2280" t="str">
            <v>SALVACION VI</v>
          </cell>
          <cell r="E2280">
            <v>3</v>
          </cell>
          <cell r="H2280" t="str">
            <v>SAFISCOR</v>
          </cell>
          <cell r="N2280">
            <v>1000</v>
          </cell>
          <cell r="Y2280">
            <v>46227</v>
          </cell>
          <cell r="Z2280">
            <v>1</v>
          </cell>
          <cell r="AA2280">
            <v>1000</v>
          </cell>
        </row>
        <row r="2281">
          <cell r="A2281">
            <v>46227</v>
          </cell>
          <cell r="D2281" t="str">
            <v>SALVACION VI</v>
          </cell>
          <cell r="E2281">
            <v>3</v>
          </cell>
          <cell r="H2281" t="str">
            <v>SAFISCOR</v>
          </cell>
          <cell r="N2281">
            <v>50</v>
          </cell>
          <cell r="Y2281">
            <v>46227</v>
          </cell>
          <cell r="Z2281">
            <v>1</v>
          </cell>
          <cell r="AA2281">
            <v>50</v>
          </cell>
        </row>
        <row r="2282">
          <cell r="A2282">
            <v>46227</v>
          </cell>
          <cell r="D2282" t="str">
            <v>SALVACION VI</v>
          </cell>
          <cell r="E2282">
            <v>3</v>
          </cell>
          <cell r="H2282" t="str">
            <v>SAFISCOR</v>
          </cell>
          <cell r="N2282">
            <v>950</v>
          </cell>
          <cell r="Y2282">
            <v>46227</v>
          </cell>
          <cell r="Z2282">
            <v>1</v>
          </cell>
          <cell r="AA2282">
            <v>950</v>
          </cell>
        </row>
        <row r="2283">
          <cell r="A2283">
            <v>46227</v>
          </cell>
          <cell r="D2283" t="str">
            <v xml:space="preserve">STAR SOGOD </v>
          </cell>
          <cell r="E2283">
            <v>5</v>
          </cell>
          <cell r="H2283" t="str">
            <v>SAFISCOR</v>
          </cell>
          <cell r="N2283">
            <v>1080</v>
          </cell>
          <cell r="Y2283">
            <v>46228</v>
          </cell>
          <cell r="Z2283">
            <v>1</v>
          </cell>
          <cell r="AA2283">
            <v>1080</v>
          </cell>
        </row>
        <row r="2284">
          <cell r="A2284">
            <v>46227</v>
          </cell>
          <cell r="D2284" t="str">
            <v>QUEEN CAROLYN</v>
          </cell>
          <cell r="E2284">
            <v>4</v>
          </cell>
          <cell r="H2284" t="str">
            <v>LAPU-LAPU</v>
          </cell>
          <cell r="N2284">
            <v>1000</v>
          </cell>
          <cell r="Y2284">
            <v>46227</v>
          </cell>
          <cell r="Z2284">
            <v>2</v>
          </cell>
          <cell r="AA2284">
            <v>1000</v>
          </cell>
        </row>
        <row r="2285">
          <cell r="A2285">
            <v>46227</v>
          </cell>
          <cell r="D2285" t="str">
            <v>QUEEN CAROLYN</v>
          </cell>
          <cell r="E2285">
            <v>4</v>
          </cell>
          <cell r="H2285" t="str">
            <v>APLUS</v>
          </cell>
          <cell r="N2285">
            <v>1000</v>
          </cell>
          <cell r="Y2285">
            <v>46227</v>
          </cell>
          <cell r="Z2285">
            <v>2</v>
          </cell>
          <cell r="AA2285">
            <v>1000</v>
          </cell>
        </row>
        <row r="2286">
          <cell r="A2286">
            <v>46227</v>
          </cell>
          <cell r="D2286" t="str">
            <v>QUEEN CAROLYN</v>
          </cell>
          <cell r="E2286">
            <v>4</v>
          </cell>
          <cell r="H2286" t="str">
            <v>SAFISCOR</v>
          </cell>
          <cell r="N2286">
            <v>1000</v>
          </cell>
          <cell r="Y2286">
            <v>46227</v>
          </cell>
          <cell r="Z2286">
            <v>2</v>
          </cell>
          <cell r="AA2286">
            <v>1000</v>
          </cell>
        </row>
        <row r="2287">
          <cell r="A2287">
            <v>46227</v>
          </cell>
          <cell r="D2287" t="str">
            <v>ADOLFO SR</v>
          </cell>
          <cell r="E2287">
            <v>5</v>
          </cell>
          <cell r="H2287" t="str">
            <v>SAFISCOR</v>
          </cell>
          <cell r="N2287">
            <v>1000</v>
          </cell>
          <cell r="Y2287">
            <v>46227</v>
          </cell>
          <cell r="Z2287">
            <v>2</v>
          </cell>
          <cell r="AA2287">
            <v>1000</v>
          </cell>
        </row>
        <row r="2288">
          <cell r="A2288">
            <v>46227</v>
          </cell>
          <cell r="D2288" t="str">
            <v>ADOLFO SR</v>
          </cell>
          <cell r="E2288">
            <v>5</v>
          </cell>
          <cell r="H2288" t="str">
            <v>SAFISCOR</v>
          </cell>
          <cell r="N2288">
            <v>800</v>
          </cell>
          <cell r="Y2288">
            <v>46228</v>
          </cell>
          <cell r="Z2288">
            <v>2</v>
          </cell>
          <cell r="AA2288">
            <v>800</v>
          </cell>
        </row>
        <row r="2289">
          <cell r="A2289">
            <v>46227</v>
          </cell>
          <cell r="D2289" t="str">
            <v>ADOLFO SR</v>
          </cell>
          <cell r="E2289">
            <v>5</v>
          </cell>
          <cell r="H2289" t="str">
            <v>SAFISCOR</v>
          </cell>
          <cell r="N2289">
            <v>200</v>
          </cell>
          <cell r="Y2289">
            <v>46228</v>
          </cell>
          <cell r="Z2289">
            <v>2</v>
          </cell>
          <cell r="AA2289">
            <v>200</v>
          </cell>
        </row>
        <row r="2290">
          <cell r="A2290">
            <v>46227</v>
          </cell>
          <cell r="D2290" t="str">
            <v>ADOLFO SR</v>
          </cell>
          <cell r="E2290">
            <v>5</v>
          </cell>
          <cell r="H2290" t="str">
            <v>SAFISCOR</v>
          </cell>
          <cell r="N2290">
            <v>1000</v>
          </cell>
          <cell r="Y2290">
            <v>46227</v>
          </cell>
          <cell r="Z2290">
            <v>2</v>
          </cell>
          <cell r="AA2290">
            <v>1000</v>
          </cell>
        </row>
        <row r="2291">
          <cell r="A2291">
            <v>46227</v>
          </cell>
          <cell r="D2291" t="str">
            <v>ADOLFO SR</v>
          </cell>
          <cell r="E2291">
            <v>5</v>
          </cell>
          <cell r="H2291" t="str">
            <v>SAFISCOR</v>
          </cell>
          <cell r="N2291">
            <v>1000</v>
          </cell>
          <cell r="Y2291">
            <v>46228</v>
          </cell>
          <cell r="Z2291">
            <v>1</v>
          </cell>
          <cell r="AA2291">
            <v>1000</v>
          </cell>
        </row>
        <row r="2292">
          <cell r="A2292">
            <v>46227</v>
          </cell>
          <cell r="D2292" t="str">
            <v>SALVACION VI</v>
          </cell>
          <cell r="E2292">
            <v>3</v>
          </cell>
          <cell r="H2292" t="str">
            <v>SAFISCOR</v>
          </cell>
          <cell r="N2292">
            <v>400</v>
          </cell>
          <cell r="Y2292">
            <v>46227</v>
          </cell>
          <cell r="Z2292">
            <v>2</v>
          </cell>
          <cell r="AA2292">
            <v>400</v>
          </cell>
        </row>
        <row r="2293">
          <cell r="A2293">
            <v>46227</v>
          </cell>
          <cell r="D2293" t="str">
            <v xml:space="preserve">STAR SOGOD </v>
          </cell>
          <cell r="E2293">
            <v>5</v>
          </cell>
          <cell r="H2293" t="str">
            <v>SAFISCOR</v>
          </cell>
          <cell r="N2293">
            <v>600</v>
          </cell>
          <cell r="Y2293">
            <v>46228</v>
          </cell>
          <cell r="Z2293">
            <v>1</v>
          </cell>
          <cell r="AA2293">
            <v>600</v>
          </cell>
        </row>
        <row r="2294">
          <cell r="A2294">
            <v>46227</v>
          </cell>
          <cell r="D2294" t="str">
            <v>SALVACION VI</v>
          </cell>
          <cell r="E2294">
            <v>3</v>
          </cell>
          <cell r="H2294" t="str">
            <v>SAFISCOR</v>
          </cell>
          <cell r="N2294">
            <v>300</v>
          </cell>
          <cell r="Y2294">
            <v>46227</v>
          </cell>
          <cell r="Z2294">
            <v>2</v>
          </cell>
          <cell r="AA2294">
            <v>300</v>
          </cell>
        </row>
        <row r="2295">
          <cell r="A2295">
            <v>46227</v>
          </cell>
          <cell r="D2295" t="str">
            <v>QUEEN CAROLYN</v>
          </cell>
          <cell r="E2295">
            <v>4</v>
          </cell>
          <cell r="H2295" t="str">
            <v>SAFISCOR</v>
          </cell>
          <cell r="N2295">
            <v>700</v>
          </cell>
          <cell r="Y2295">
            <v>46227</v>
          </cell>
          <cell r="Z2295">
            <v>2</v>
          </cell>
          <cell r="AA2295">
            <v>700</v>
          </cell>
        </row>
        <row r="2296">
          <cell r="A2296">
            <v>46227</v>
          </cell>
          <cell r="D2296" t="str">
            <v>QUEEN CAROLYN</v>
          </cell>
          <cell r="E2296">
            <v>4</v>
          </cell>
          <cell r="H2296" t="str">
            <v>BADIE</v>
          </cell>
          <cell r="N2296">
            <v>1000</v>
          </cell>
          <cell r="Y2296">
            <v>46227</v>
          </cell>
          <cell r="Z2296">
            <v>2</v>
          </cell>
          <cell r="AA2296">
            <v>1000</v>
          </cell>
        </row>
        <row r="2297">
          <cell r="A2297">
            <v>46227</v>
          </cell>
          <cell r="D2297" t="str">
            <v>QUEEN CAROLYN</v>
          </cell>
          <cell r="E2297">
            <v>4</v>
          </cell>
          <cell r="H2297" t="str">
            <v>SAFISCOR</v>
          </cell>
          <cell r="N2297">
            <v>300</v>
          </cell>
          <cell r="Y2297">
            <v>46227</v>
          </cell>
          <cell r="Z2297">
            <v>2</v>
          </cell>
          <cell r="AA2297">
            <v>300</v>
          </cell>
        </row>
        <row r="2298">
          <cell r="A2298">
            <v>46227</v>
          </cell>
          <cell r="D2298" t="str">
            <v>QUEEN CAROLYN</v>
          </cell>
          <cell r="E2298">
            <v>4</v>
          </cell>
          <cell r="H2298" t="str">
            <v>SAFISCOR</v>
          </cell>
          <cell r="N2298">
            <v>700</v>
          </cell>
          <cell r="Y2298">
            <v>46227</v>
          </cell>
          <cell r="Z2298">
            <v>2</v>
          </cell>
          <cell r="AA2298">
            <v>700</v>
          </cell>
        </row>
        <row r="2299">
          <cell r="A2299">
            <v>46227</v>
          </cell>
          <cell r="D2299" t="str">
            <v>QUEEN CAROLYN</v>
          </cell>
          <cell r="E2299">
            <v>4</v>
          </cell>
          <cell r="H2299" t="str">
            <v>GEO</v>
          </cell>
          <cell r="N2299">
            <v>1000</v>
          </cell>
          <cell r="Y2299">
            <v>46227</v>
          </cell>
          <cell r="Z2299">
            <v>2</v>
          </cell>
          <cell r="AA2299">
            <v>1000</v>
          </cell>
        </row>
        <row r="2300">
          <cell r="A2300">
            <v>46227</v>
          </cell>
          <cell r="D2300" t="str">
            <v>QUEEN CAROLYN</v>
          </cell>
          <cell r="E2300">
            <v>4</v>
          </cell>
          <cell r="H2300" t="str">
            <v>SAFISCOR</v>
          </cell>
          <cell r="N2300">
            <v>800</v>
          </cell>
          <cell r="Y2300">
            <v>46227</v>
          </cell>
          <cell r="Z2300">
            <v>2</v>
          </cell>
          <cell r="AA2300">
            <v>800</v>
          </cell>
        </row>
        <row r="2301">
          <cell r="A2301">
            <v>46227</v>
          </cell>
          <cell r="D2301" t="str">
            <v>EFG 7</v>
          </cell>
          <cell r="E2301">
            <v>3</v>
          </cell>
          <cell r="H2301" t="str">
            <v>SAFISCOR</v>
          </cell>
          <cell r="N2301">
            <v>200</v>
          </cell>
          <cell r="Y2301">
            <v>46228</v>
          </cell>
          <cell r="Z2301">
            <v>1</v>
          </cell>
          <cell r="AA2301">
            <v>200</v>
          </cell>
        </row>
        <row r="2302">
          <cell r="A2302">
            <v>46227</v>
          </cell>
          <cell r="D2302" t="str">
            <v>QUEEN CAROLYN</v>
          </cell>
          <cell r="E2302">
            <v>4</v>
          </cell>
          <cell r="H2302" t="str">
            <v>SAFISCOR</v>
          </cell>
          <cell r="N2302">
            <v>500</v>
          </cell>
          <cell r="Y2302">
            <v>46227</v>
          </cell>
          <cell r="Z2302">
            <v>2</v>
          </cell>
          <cell r="AA2302">
            <v>500</v>
          </cell>
        </row>
        <row r="2303">
          <cell r="A2303">
            <v>46227</v>
          </cell>
          <cell r="D2303" t="str">
            <v>SALVACION VI</v>
          </cell>
          <cell r="E2303">
            <v>3</v>
          </cell>
          <cell r="H2303" t="str">
            <v>SAFISCOR</v>
          </cell>
          <cell r="N2303">
            <v>1000</v>
          </cell>
          <cell r="Y2303">
            <v>46227</v>
          </cell>
          <cell r="Z2303">
            <v>2</v>
          </cell>
          <cell r="AA2303">
            <v>1000</v>
          </cell>
        </row>
        <row r="2304">
          <cell r="A2304">
            <v>46228</v>
          </cell>
          <cell r="D2304" t="str">
            <v>LADY OF ROSARY</v>
          </cell>
          <cell r="E2304">
            <v>3</v>
          </cell>
          <cell r="H2304" t="str">
            <v>SAFISCOR</v>
          </cell>
          <cell r="N2304">
            <v>1000</v>
          </cell>
          <cell r="Y2304">
            <v>46228</v>
          </cell>
          <cell r="Z2304">
            <v>1</v>
          </cell>
          <cell r="AA2304">
            <v>1000</v>
          </cell>
        </row>
        <row r="2305">
          <cell r="A2305">
            <v>46228</v>
          </cell>
          <cell r="D2305" t="str">
            <v>LADY OF ROSARY</v>
          </cell>
          <cell r="E2305">
            <v>3</v>
          </cell>
          <cell r="H2305" t="str">
            <v>APLUS</v>
          </cell>
          <cell r="N2305">
            <v>1000</v>
          </cell>
          <cell r="Y2305">
            <v>46228</v>
          </cell>
          <cell r="Z2305">
            <v>1</v>
          </cell>
          <cell r="AA2305">
            <v>1000</v>
          </cell>
        </row>
        <row r="2306">
          <cell r="A2306">
            <v>46228</v>
          </cell>
          <cell r="D2306" t="str">
            <v>LADY OF ROSARY</v>
          </cell>
          <cell r="E2306">
            <v>3</v>
          </cell>
          <cell r="H2306" t="str">
            <v>SAFISCOR</v>
          </cell>
          <cell r="N2306">
            <v>1000</v>
          </cell>
          <cell r="Y2306">
            <v>46228</v>
          </cell>
          <cell r="Z2306">
            <v>2</v>
          </cell>
          <cell r="AA2306">
            <v>1000</v>
          </cell>
        </row>
        <row r="2307">
          <cell r="A2307">
            <v>46228</v>
          </cell>
          <cell r="D2307" t="str">
            <v>LADY OF ROSARY</v>
          </cell>
          <cell r="E2307">
            <v>3</v>
          </cell>
          <cell r="H2307" t="str">
            <v>SAFISCOR</v>
          </cell>
          <cell r="N2307">
            <v>1000</v>
          </cell>
          <cell r="Y2307">
            <v>46228</v>
          </cell>
          <cell r="Z2307">
            <v>1</v>
          </cell>
          <cell r="AA2307">
            <v>1000</v>
          </cell>
        </row>
        <row r="2308">
          <cell r="A2308">
            <v>46228</v>
          </cell>
          <cell r="D2308" t="str">
            <v>ADOLFO SR</v>
          </cell>
          <cell r="E2308">
            <v>5</v>
          </cell>
          <cell r="H2308" t="str">
            <v>SAFISCOR</v>
          </cell>
          <cell r="N2308">
            <v>1000</v>
          </cell>
          <cell r="Y2308">
            <v>46228</v>
          </cell>
          <cell r="Z2308">
            <v>1</v>
          </cell>
          <cell r="AA2308">
            <v>1000</v>
          </cell>
        </row>
        <row r="2309">
          <cell r="A2309">
            <v>46228</v>
          </cell>
          <cell r="D2309" t="str">
            <v>EFG 7</v>
          </cell>
          <cell r="E2309">
            <v>3</v>
          </cell>
          <cell r="H2309" t="str">
            <v>LAPU-LAPU</v>
          </cell>
          <cell r="N2309">
            <v>1000</v>
          </cell>
          <cell r="Y2309">
            <v>46229</v>
          </cell>
          <cell r="Z2309">
            <v>1</v>
          </cell>
          <cell r="AA2309">
            <v>1000</v>
          </cell>
        </row>
        <row r="2310">
          <cell r="A2310">
            <v>46228</v>
          </cell>
          <cell r="D2310" t="str">
            <v>EMERALD STAR</v>
          </cell>
          <cell r="E2310">
            <v>5</v>
          </cell>
          <cell r="H2310" t="str">
            <v>SAFISCOR</v>
          </cell>
          <cell r="N2310">
            <v>1000</v>
          </cell>
          <cell r="Y2310">
            <v>46228</v>
          </cell>
          <cell r="Z2310">
            <v>1</v>
          </cell>
          <cell r="AA2310">
            <v>1000</v>
          </cell>
        </row>
        <row r="2311">
          <cell r="A2311">
            <v>46228</v>
          </cell>
          <cell r="D2311" t="str">
            <v>EFG 7</v>
          </cell>
          <cell r="E2311">
            <v>3</v>
          </cell>
          <cell r="H2311" t="str">
            <v>SAFISCOR</v>
          </cell>
          <cell r="N2311">
            <v>1000</v>
          </cell>
          <cell r="Y2311">
            <v>46228</v>
          </cell>
          <cell r="Z2311">
            <v>2</v>
          </cell>
          <cell r="AA2311">
            <v>1000</v>
          </cell>
        </row>
        <row r="2312">
          <cell r="A2312">
            <v>46228</v>
          </cell>
          <cell r="D2312" t="str">
            <v>EMERALD STAR</v>
          </cell>
          <cell r="E2312">
            <v>5</v>
          </cell>
          <cell r="H2312" t="str">
            <v>GEO</v>
          </cell>
          <cell r="N2312">
            <v>1000</v>
          </cell>
          <cell r="Y2312">
            <v>46228</v>
          </cell>
          <cell r="Z2312">
            <v>2</v>
          </cell>
          <cell r="AA2312">
            <v>1000</v>
          </cell>
        </row>
        <row r="2313">
          <cell r="A2313">
            <v>46228</v>
          </cell>
          <cell r="D2313" t="str">
            <v>EMERALD STAR</v>
          </cell>
          <cell r="E2313">
            <v>5</v>
          </cell>
          <cell r="H2313" t="str">
            <v>SAFISCOR</v>
          </cell>
          <cell r="N2313">
            <v>1000</v>
          </cell>
          <cell r="Y2313">
            <v>46228</v>
          </cell>
          <cell r="Z2313">
            <v>2</v>
          </cell>
          <cell r="AA2313">
            <v>1000</v>
          </cell>
        </row>
        <row r="2314">
          <cell r="A2314">
            <v>46228</v>
          </cell>
          <cell r="D2314" t="str">
            <v xml:space="preserve">STAR SOGOD </v>
          </cell>
          <cell r="E2314">
            <v>5</v>
          </cell>
          <cell r="H2314" t="str">
            <v>SAFISCOR</v>
          </cell>
          <cell r="N2314">
            <v>500</v>
          </cell>
          <cell r="Y2314">
            <v>46228</v>
          </cell>
          <cell r="Z2314">
            <v>1</v>
          </cell>
          <cell r="AA2314">
            <v>500</v>
          </cell>
        </row>
        <row r="2315">
          <cell r="A2315">
            <v>46228</v>
          </cell>
          <cell r="D2315" t="str">
            <v>LADY OF ROSARY</v>
          </cell>
          <cell r="E2315">
            <v>3</v>
          </cell>
          <cell r="H2315" t="str">
            <v>BADIE</v>
          </cell>
          <cell r="N2315">
            <v>1000</v>
          </cell>
          <cell r="Y2315">
            <v>46228</v>
          </cell>
          <cell r="Z2315">
            <v>1</v>
          </cell>
          <cell r="AA2315">
            <v>1000</v>
          </cell>
        </row>
        <row r="2316">
          <cell r="A2316">
            <v>46228</v>
          </cell>
          <cell r="D2316" t="str">
            <v>ADOLFO SR</v>
          </cell>
          <cell r="E2316">
            <v>5</v>
          </cell>
          <cell r="H2316" t="str">
            <v>SAFISCOR</v>
          </cell>
          <cell r="N2316">
            <v>1000</v>
          </cell>
          <cell r="Y2316">
            <v>46228</v>
          </cell>
          <cell r="Z2316">
            <v>2</v>
          </cell>
          <cell r="AA2316">
            <v>1000</v>
          </cell>
        </row>
        <row r="2317">
          <cell r="A2317">
            <v>46228</v>
          </cell>
          <cell r="D2317" t="str">
            <v>ADOLFO SR</v>
          </cell>
          <cell r="E2317">
            <v>5</v>
          </cell>
          <cell r="H2317" t="str">
            <v>LAPU-LAPU</v>
          </cell>
          <cell r="N2317">
            <v>1000</v>
          </cell>
          <cell r="Y2317">
            <v>46228</v>
          </cell>
          <cell r="Z2317">
            <v>1</v>
          </cell>
          <cell r="AA2317">
            <v>1000</v>
          </cell>
        </row>
        <row r="2318">
          <cell r="A2318">
            <v>46228</v>
          </cell>
          <cell r="D2318" t="str">
            <v>EMERALD STAR</v>
          </cell>
          <cell r="E2318">
            <v>5</v>
          </cell>
          <cell r="H2318" t="str">
            <v>SAFISCOR</v>
          </cell>
          <cell r="N2318">
            <v>1000</v>
          </cell>
          <cell r="Y2318">
            <v>46228</v>
          </cell>
          <cell r="Z2318">
            <v>2</v>
          </cell>
          <cell r="AA2318">
            <v>1000</v>
          </cell>
        </row>
        <row r="2319">
          <cell r="A2319">
            <v>46228</v>
          </cell>
          <cell r="D2319" t="str">
            <v>EMERALD STAR</v>
          </cell>
          <cell r="E2319">
            <v>5</v>
          </cell>
          <cell r="H2319" t="str">
            <v>APLUS</v>
          </cell>
          <cell r="N2319">
            <v>1000</v>
          </cell>
          <cell r="Y2319">
            <v>46228</v>
          </cell>
          <cell r="Z2319">
            <v>1</v>
          </cell>
          <cell r="AA2319">
            <v>1000</v>
          </cell>
        </row>
        <row r="2320">
          <cell r="A2320">
            <v>46228</v>
          </cell>
          <cell r="D2320" t="str">
            <v>EFG 7</v>
          </cell>
          <cell r="E2320">
            <v>3</v>
          </cell>
          <cell r="H2320" t="str">
            <v>SAFISCOR</v>
          </cell>
          <cell r="N2320">
            <v>1000</v>
          </cell>
          <cell r="Y2320">
            <v>46229</v>
          </cell>
          <cell r="Z2320">
            <v>1</v>
          </cell>
          <cell r="AA2320">
            <v>1000</v>
          </cell>
        </row>
        <row r="2321">
          <cell r="A2321">
            <v>46228</v>
          </cell>
          <cell r="D2321" t="str">
            <v>LADY OF ROSARY</v>
          </cell>
          <cell r="E2321">
            <v>3</v>
          </cell>
          <cell r="H2321" t="str">
            <v>GEO</v>
          </cell>
          <cell r="N2321">
            <v>1000</v>
          </cell>
          <cell r="Y2321">
            <v>46228</v>
          </cell>
          <cell r="Z2321">
            <v>1</v>
          </cell>
          <cell r="AA2321">
            <v>1000</v>
          </cell>
        </row>
        <row r="2322">
          <cell r="A2322">
            <v>46228</v>
          </cell>
          <cell r="D2322" t="str">
            <v>LADY OF ROSARY</v>
          </cell>
          <cell r="E2322">
            <v>3</v>
          </cell>
          <cell r="H2322" t="str">
            <v>LAPU-LAPU</v>
          </cell>
          <cell r="N2322">
            <v>1000</v>
          </cell>
          <cell r="Y2322">
            <v>46228</v>
          </cell>
          <cell r="Z2322">
            <v>1</v>
          </cell>
          <cell r="AA2322">
            <v>1000</v>
          </cell>
        </row>
        <row r="2323">
          <cell r="A2323">
            <v>46228</v>
          </cell>
          <cell r="D2323" t="str">
            <v>LADY OF ROSARY</v>
          </cell>
          <cell r="E2323">
            <v>3</v>
          </cell>
          <cell r="H2323" t="str">
            <v>SAFISCOR</v>
          </cell>
          <cell r="N2323">
            <v>1000</v>
          </cell>
          <cell r="Y2323">
            <v>46230</v>
          </cell>
          <cell r="Z2323">
            <v>2</v>
          </cell>
          <cell r="AA2323">
            <v>1000</v>
          </cell>
        </row>
        <row r="2324">
          <cell r="A2324">
            <v>46228</v>
          </cell>
          <cell r="D2324" t="str">
            <v>LADY OF ROSARY</v>
          </cell>
          <cell r="E2324">
            <v>3</v>
          </cell>
          <cell r="H2324" t="str">
            <v>SAFISCOR</v>
          </cell>
          <cell r="N2324">
            <v>1000</v>
          </cell>
          <cell r="Y2324">
            <v>46230</v>
          </cell>
          <cell r="Z2324">
            <v>2</v>
          </cell>
          <cell r="AA2324">
            <v>1000</v>
          </cell>
        </row>
        <row r="2325">
          <cell r="A2325">
            <v>46228</v>
          </cell>
          <cell r="D2325" t="str">
            <v>LADY OF ROSARY</v>
          </cell>
          <cell r="E2325">
            <v>3</v>
          </cell>
          <cell r="H2325" t="str">
            <v>SAFISCOR</v>
          </cell>
          <cell r="N2325">
            <v>1000</v>
          </cell>
          <cell r="Y2325">
            <v>46230</v>
          </cell>
          <cell r="Z2325">
            <v>2</v>
          </cell>
          <cell r="AA2325">
            <v>1000</v>
          </cell>
        </row>
        <row r="2326">
          <cell r="A2326">
            <v>46228</v>
          </cell>
          <cell r="D2326" t="str">
            <v>ADOLFO SR</v>
          </cell>
          <cell r="E2326">
            <v>5</v>
          </cell>
          <cell r="H2326" t="str">
            <v>SAFISCOR</v>
          </cell>
          <cell r="N2326">
            <v>1000</v>
          </cell>
          <cell r="Y2326">
            <v>46228</v>
          </cell>
          <cell r="Z2326">
            <v>2</v>
          </cell>
          <cell r="AA2326">
            <v>1000</v>
          </cell>
        </row>
        <row r="2327">
          <cell r="A2327">
            <v>46228</v>
          </cell>
          <cell r="D2327" t="str">
            <v>EMERALD STAR</v>
          </cell>
          <cell r="E2327">
            <v>5</v>
          </cell>
          <cell r="H2327" t="str">
            <v>SAFISCOR</v>
          </cell>
          <cell r="N2327">
            <v>500</v>
          </cell>
          <cell r="Y2327">
            <v>46228</v>
          </cell>
          <cell r="Z2327">
            <v>2</v>
          </cell>
          <cell r="AA2327">
            <v>500</v>
          </cell>
        </row>
        <row r="2328">
          <cell r="A2328">
            <v>46228</v>
          </cell>
          <cell r="D2328" t="str">
            <v>LADY OF ROSARY</v>
          </cell>
          <cell r="E2328">
            <v>3</v>
          </cell>
          <cell r="H2328" t="str">
            <v>BADIE</v>
          </cell>
          <cell r="N2328">
            <v>1000</v>
          </cell>
          <cell r="Y2328">
            <v>46228</v>
          </cell>
          <cell r="Z2328">
            <v>2</v>
          </cell>
          <cell r="AA2328">
            <v>1000</v>
          </cell>
        </row>
        <row r="2329">
          <cell r="A2329">
            <v>46228</v>
          </cell>
          <cell r="D2329" t="str">
            <v>EMERALD STAR</v>
          </cell>
          <cell r="E2329">
            <v>5</v>
          </cell>
          <cell r="H2329" t="str">
            <v>LAPU-LAPU</v>
          </cell>
          <cell r="N2329">
            <v>1000</v>
          </cell>
          <cell r="Y2329">
            <v>46228</v>
          </cell>
          <cell r="Z2329">
            <v>2</v>
          </cell>
          <cell r="AA2329">
            <v>1000</v>
          </cell>
        </row>
        <row r="2330">
          <cell r="A2330">
            <v>46228</v>
          </cell>
          <cell r="D2330" t="str">
            <v>EMERALD STAR</v>
          </cell>
          <cell r="E2330">
            <v>5</v>
          </cell>
          <cell r="H2330" t="str">
            <v>SAFISCOR</v>
          </cell>
          <cell r="N2330">
            <v>1000</v>
          </cell>
          <cell r="Y2330">
            <v>46228</v>
          </cell>
          <cell r="Z2330">
            <v>2</v>
          </cell>
          <cell r="AA2330">
            <v>1000</v>
          </cell>
        </row>
        <row r="2331">
          <cell r="A2331">
            <v>46228</v>
          </cell>
          <cell r="D2331" t="str">
            <v>LADY OF ROSARY</v>
          </cell>
          <cell r="E2331">
            <v>3</v>
          </cell>
          <cell r="H2331" t="str">
            <v>SAFISCOR</v>
          </cell>
          <cell r="N2331">
            <v>1000</v>
          </cell>
          <cell r="Y2331">
            <v>46228</v>
          </cell>
          <cell r="Z2331">
            <v>2</v>
          </cell>
          <cell r="AA2331">
            <v>1000</v>
          </cell>
        </row>
        <row r="2332">
          <cell r="A2332">
            <v>46228</v>
          </cell>
          <cell r="D2332" t="str">
            <v>LADY OF ROSARY</v>
          </cell>
          <cell r="E2332">
            <v>3</v>
          </cell>
          <cell r="H2332" t="str">
            <v>SAFISCOR</v>
          </cell>
          <cell r="N2332">
            <v>1000</v>
          </cell>
          <cell r="Y2332">
            <v>46229</v>
          </cell>
          <cell r="Z2332">
            <v>1</v>
          </cell>
          <cell r="AA2332">
            <v>1000</v>
          </cell>
        </row>
        <row r="2333">
          <cell r="A2333">
            <v>46228</v>
          </cell>
          <cell r="D2333" t="str">
            <v>LADY OF ROSARY</v>
          </cell>
          <cell r="E2333">
            <v>3</v>
          </cell>
          <cell r="H2333" t="str">
            <v>LAPU-LAPU</v>
          </cell>
          <cell r="N2333">
            <v>1000</v>
          </cell>
          <cell r="Y2333">
            <v>46228</v>
          </cell>
          <cell r="Z2333">
            <v>2</v>
          </cell>
          <cell r="AA2333">
            <v>1000</v>
          </cell>
        </row>
        <row r="2334">
          <cell r="A2334">
            <v>46228</v>
          </cell>
          <cell r="D2334" t="str">
            <v>LADY OF ROSARY</v>
          </cell>
          <cell r="E2334">
            <v>3</v>
          </cell>
          <cell r="H2334" t="str">
            <v>SAFISCOR</v>
          </cell>
          <cell r="N2334">
            <v>1000</v>
          </cell>
          <cell r="Y2334">
            <v>46229</v>
          </cell>
          <cell r="Z2334">
            <v>1</v>
          </cell>
          <cell r="AA2334">
            <v>1000</v>
          </cell>
        </row>
        <row r="2335">
          <cell r="A2335">
            <v>46228</v>
          </cell>
          <cell r="D2335" t="str">
            <v>LADY UNO</v>
          </cell>
          <cell r="E2335">
            <v>1</v>
          </cell>
          <cell r="H2335" t="str">
            <v>LAPU-LAPU</v>
          </cell>
          <cell r="N2335">
            <v>1000</v>
          </cell>
          <cell r="Y2335">
            <v>46230</v>
          </cell>
          <cell r="Z2335">
            <v>1</v>
          </cell>
          <cell r="AA2335">
            <v>1000</v>
          </cell>
        </row>
        <row r="2336">
          <cell r="A2336">
            <v>46228</v>
          </cell>
          <cell r="D2336" t="str">
            <v>LADY OF ROSARY</v>
          </cell>
          <cell r="E2336">
            <v>3</v>
          </cell>
          <cell r="H2336" t="str">
            <v>SAFISCOR</v>
          </cell>
          <cell r="N2336">
            <v>1000</v>
          </cell>
          <cell r="Y2336">
            <v>46229</v>
          </cell>
          <cell r="Z2336">
            <v>1</v>
          </cell>
          <cell r="AA2336">
            <v>1000</v>
          </cell>
        </row>
        <row r="2337">
          <cell r="A2337">
            <v>46228</v>
          </cell>
          <cell r="D2337" t="str">
            <v>LADY OF ROSARY</v>
          </cell>
          <cell r="E2337">
            <v>3</v>
          </cell>
          <cell r="H2337" t="str">
            <v>SAFISCOR</v>
          </cell>
          <cell r="N2337">
            <v>1000</v>
          </cell>
          <cell r="Y2337">
            <v>46229</v>
          </cell>
          <cell r="Z2337">
            <v>2</v>
          </cell>
          <cell r="AA2337">
            <v>1000</v>
          </cell>
        </row>
        <row r="2338">
          <cell r="A2338">
            <v>46228</v>
          </cell>
          <cell r="D2338" t="str">
            <v>STAR FREEDOM</v>
          </cell>
          <cell r="E2338">
            <v>6</v>
          </cell>
          <cell r="H2338" t="str">
            <v>SAFISCOR</v>
          </cell>
          <cell r="N2338">
            <v>1000</v>
          </cell>
          <cell r="Y2338">
            <v>46228</v>
          </cell>
          <cell r="Z2338">
            <v>2</v>
          </cell>
          <cell r="AA2338">
            <v>1000</v>
          </cell>
        </row>
        <row r="2339">
          <cell r="A2339">
            <v>46228</v>
          </cell>
          <cell r="D2339" t="str">
            <v>STAR FREEDOM</v>
          </cell>
          <cell r="E2339">
            <v>6</v>
          </cell>
          <cell r="H2339" t="str">
            <v>SAFISCOR</v>
          </cell>
          <cell r="N2339">
            <v>1000</v>
          </cell>
          <cell r="Y2339">
            <v>46228</v>
          </cell>
          <cell r="Z2339">
            <v>2</v>
          </cell>
          <cell r="AA2339">
            <v>1000</v>
          </cell>
        </row>
        <row r="2340">
          <cell r="A2340">
            <v>46228</v>
          </cell>
          <cell r="D2340" t="str">
            <v>LADY UNO</v>
          </cell>
          <cell r="E2340">
            <v>1</v>
          </cell>
          <cell r="H2340" t="str">
            <v>LAPU-LAPU</v>
          </cell>
          <cell r="N2340">
            <v>1000</v>
          </cell>
          <cell r="Y2340">
            <v>46229</v>
          </cell>
          <cell r="Z2340">
            <v>1</v>
          </cell>
          <cell r="AA2340">
            <v>1000</v>
          </cell>
        </row>
        <row r="2341">
          <cell r="A2341">
            <v>46228</v>
          </cell>
          <cell r="D2341" t="str">
            <v>LADY UNO</v>
          </cell>
          <cell r="E2341">
            <v>1</v>
          </cell>
          <cell r="H2341" t="str">
            <v>SAFISCOR</v>
          </cell>
          <cell r="N2341">
            <v>1000</v>
          </cell>
          <cell r="Y2341">
            <v>46232</v>
          </cell>
          <cell r="Z2341">
            <v>1</v>
          </cell>
          <cell r="AA2341">
            <v>1000</v>
          </cell>
        </row>
        <row r="2342">
          <cell r="A2342">
            <v>46228</v>
          </cell>
          <cell r="D2342" t="str">
            <v>EMERALD STAR</v>
          </cell>
          <cell r="E2342">
            <v>5</v>
          </cell>
          <cell r="H2342" t="str">
            <v>SAFISCOR</v>
          </cell>
          <cell r="N2342">
            <v>1000</v>
          </cell>
          <cell r="Y2342">
            <v>46228</v>
          </cell>
          <cell r="Z2342">
            <v>2</v>
          </cell>
          <cell r="AA2342">
            <v>1000</v>
          </cell>
        </row>
        <row r="2343">
          <cell r="A2343">
            <v>46228</v>
          </cell>
          <cell r="D2343" t="str">
            <v>LADY OF ROSARY</v>
          </cell>
          <cell r="E2343">
            <v>3</v>
          </cell>
          <cell r="H2343" t="str">
            <v>SAFISCOR</v>
          </cell>
          <cell r="N2343">
            <v>1000</v>
          </cell>
          <cell r="Y2343">
            <v>46229</v>
          </cell>
          <cell r="Z2343">
            <v>1</v>
          </cell>
          <cell r="AA2343">
            <v>1000</v>
          </cell>
        </row>
        <row r="2344">
          <cell r="A2344">
            <v>46228</v>
          </cell>
          <cell r="D2344" t="str">
            <v>EMERALD STAR</v>
          </cell>
          <cell r="E2344">
            <v>5</v>
          </cell>
          <cell r="H2344" t="str">
            <v>SAFISCOR</v>
          </cell>
          <cell r="N2344">
            <v>1000</v>
          </cell>
          <cell r="Y2344">
            <v>46228</v>
          </cell>
          <cell r="Z2344">
            <v>2</v>
          </cell>
          <cell r="AA2344">
            <v>1000</v>
          </cell>
        </row>
        <row r="2345">
          <cell r="A2345">
            <v>46228</v>
          </cell>
          <cell r="D2345" t="str">
            <v>EMERALD STAR</v>
          </cell>
          <cell r="E2345">
            <v>5</v>
          </cell>
          <cell r="H2345" t="str">
            <v>LAPU-LAPU</v>
          </cell>
          <cell r="N2345">
            <v>1000</v>
          </cell>
          <cell r="Y2345">
            <v>46228</v>
          </cell>
          <cell r="Z2345">
            <v>2</v>
          </cell>
          <cell r="AA2345">
            <v>1000</v>
          </cell>
        </row>
        <row r="2346">
          <cell r="A2346">
            <v>46228</v>
          </cell>
          <cell r="D2346" t="str">
            <v>ADOLFO SR</v>
          </cell>
          <cell r="E2346">
            <v>5</v>
          </cell>
          <cell r="H2346" t="str">
            <v>GEO</v>
          </cell>
          <cell r="N2346">
            <v>500</v>
          </cell>
          <cell r="Y2346">
            <v>46228</v>
          </cell>
          <cell r="Z2346">
            <v>2</v>
          </cell>
          <cell r="AA2346">
            <v>500</v>
          </cell>
        </row>
        <row r="2347">
          <cell r="A2347">
            <v>46228</v>
          </cell>
          <cell r="D2347" t="str">
            <v>ADOLFO SR</v>
          </cell>
          <cell r="E2347">
            <v>5</v>
          </cell>
          <cell r="H2347" t="str">
            <v>GEO</v>
          </cell>
          <cell r="N2347">
            <v>500</v>
          </cell>
          <cell r="Y2347">
            <v>46228</v>
          </cell>
          <cell r="Z2347">
            <v>2</v>
          </cell>
          <cell r="AA2347">
            <v>500</v>
          </cell>
        </row>
        <row r="2348">
          <cell r="A2348">
            <v>46228</v>
          </cell>
          <cell r="D2348" t="str">
            <v>STAR FREEDOM</v>
          </cell>
          <cell r="E2348">
            <v>6</v>
          </cell>
          <cell r="H2348" t="str">
            <v>SAFISCOR</v>
          </cell>
          <cell r="N2348">
            <v>1000</v>
          </cell>
          <cell r="Y2348">
            <v>46228</v>
          </cell>
          <cell r="Z2348">
            <v>2</v>
          </cell>
          <cell r="AA2348">
            <v>1000</v>
          </cell>
        </row>
        <row r="2349">
          <cell r="A2349">
            <v>46228</v>
          </cell>
          <cell r="D2349" t="str">
            <v>STAR FREEDOM</v>
          </cell>
          <cell r="E2349">
            <v>6</v>
          </cell>
          <cell r="H2349" t="str">
            <v>SAFISCOR</v>
          </cell>
          <cell r="N2349">
            <v>1000</v>
          </cell>
          <cell r="Y2349">
            <v>46228</v>
          </cell>
          <cell r="Z2349">
            <v>2</v>
          </cell>
          <cell r="AA2349">
            <v>1000</v>
          </cell>
        </row>
        <row r="2350">
          <cell r="A2350">
            <v>46228</v>
          </cell>
          <cell r="D2350" t="str">
            <v>STAR FREEDOM</v>
          </cell>
          <cell r="E2350">
            <v>6</v>
          </cell>
          <cell r="H2350" t="str">
            <v>SAFISCOR</v>
          </cell>
          <cell r="N2350">
            <v>1000</v>
          </cell>
          <cell r="Y2350">
            <v>46228</v>
          </cell>
          <cell r="Z2350">
            <v>2</v>
          </cell>
          <cell r="AA2350">
            <v>1000</v>
          </cell>
        </row>
        <row r="2351">
          <cell r="A2351">
            <v>46228</v>
          </cell>
          <cell r="D2351" t="str">
            <v>STAR FREEDOM</v>
          </cell>
          <cell r="E2351">
            <v>6</v>
          </cell>
          <cell r="H2351" t="str">
            <v>SAFISCOR</v>
          </cell>
          <cell r="N2351">
            <v>1000</v>
          </cell>
          <cell r="Y2351">
            <v>46228</v>
          </cell>
          <cell r="Z2351">
            <v>2</v>
          </cell>
          <cell r="AA2351">
            <v>1000</v>
          </cell>
        </row>
        <row r="2352">
          <cell r="A2352">
            <v>46228</v>
          </cell>
          <cell r="D2352" t="str">
            <v>STAR FREEDOM</v>
          </cell>
          <cell r="E2352">
            <v>6</v>
          </cell>
          <cell r="H2352" t="str">
            <v>SAFISCOR</v>
          </cell>
          <cell r="N2352">
            <v>1000</v>
          </cell>
          <cell r="Y2352">
            <v>46228</v>
          </cell>
          <cell r="Z2352">
            <v>2</v>
          </cell>
          <cell r="AA2352">
            <v>1000</v>
          </cell>
        </row>
        <row r="2353">
          <cell r="A2353">
            <v>46228</v>
          </cell>
          <cell r="D2353" t="str">
            <v>ADOLFO SR</v>
          </cell>
          <cell r="E2353">
            <v>5</v>
          </cell>
          <cell r="H2353" t="str">
            <v>LAPU-LAPU</v>
          </cell>
          <cell r="N2353">
            <v>1000</v>
          </cell>
          <cell r="Y2353">
            <v>46228</v>
          </cell>
          <cell r="Z2353">
            <v>2</v>
          </cell>
          <cell r="AA2353">
            <v>1000</v>
          </cell>
        </row>
        <row r="2354">
          <cell r="A2354">
            <v>46228</v>
          </cell>
          <cell r="D2354" t="str">
            <v>ADOLFO SR</v>
          </cell>
          <cell r="E2354">
            <v>5</v>
          </cell>
          <cell r="H2354" t="str">
            <v>SAFISCOR</v>
          </cell>
          <cell r="N2354">
            <v>1000</v>
          </cell>
          <cell r="Y2354">
            <v>46228</v>
          </cell>
          <cell r="Z2354">
            <v>2</v>
          </cell>
          <cell r="AA2354">
            <v>1000</v>
          </cell>
        </row>
        <row r="2355">
          <cell r="A2355">
            <v>46228</v>
          </cell>
          <cell r="D2355" t="str">
            <v>LADY UNO</v>
          </cell>
          <cell r="E2355">
            <v>1</v>
          </cell>
          <cell r="H2355" t="str">
            <v>SAFISCOR</v>
          </cell>
          <cell r="N2355">
            <v>1000</v>
          </cell>
          <cell r="Y2355">
            <v>46232</v>
          </cell>
          <cell r="Z2355">
            <v>1</v>
          </cell>
          <cell r="AA2355">
            <v>1000</v>
          </cell>
        </row>
        <row r="2356">
          <cell r="A2356">
            <v>46228</v>
          </cell>
          <cell r="D2356" t="str">
            <v>LADY UNO</v>
          </cell>
          <cell r="E2356">
            <v>1</v>
          </cell>
          <cell r="H2356" t="str">
            <v>SAFISCOR</v>
          </cell>
          <cell r="N2356">
            <v>1000</v>
          </cell>
          <cell r="Y2356">
            <v>46229</v>
          </cell>
          <cell r="Z2356">
            <v>1</v>
          </cell>
          <cell r="AA2356">
            <v>1000</v>
          </cell>
        </row>
        <row r="2357">
          <cell r="A2357">
            <v>46228</v>
          </cell>
          <cell r="D2357" t="str">
            <v>STAR FREEDOM</v>
          </cell>
          <cell r="E2357">
            <v>6</v>
          </cell>
          <cell r="H2357" t="str">
            <v>SAFISCOR</v>
          </cell>
          <cell r="N2357">
            <v>1000</v>
          </cell>
          <cell r="Y2357">
            <v>46228</v>
          </cell>
          <cell r="Z2357">
            <v>2</v>
          </cell>
          <cell r="AA2357">
            <v>1000</v>
          </cell>
        </row>
        <row r="2358">
          <cell r="A2358">
            <v>46228</v>
          </cell>
          <cell r="D2358" t="str">
            <v>EMERALD STAR</v>
          </cell>
          <cell r="E2358">
            <v>5</v>
          </cell>
          <cell r="H2358" t="str">
            <v>SAFISCOR</v>
          </cell>
          <cell r="N2358">
            <v>1000</v>
          </cell>
          <cell r="Y2358">
            <v>46228</v>
          </cell>
          <cell r="Z2358">
            <v>2</v>
          </cell>
          <cell r="AA2358">
            <v>1000</v>
          </cell>
        </row>
        <row r="2359">
          <cell r="A2359">
            <v>46228</v>
          </cell>
          <cell r="D2359" t="str">
            <v>LADY OF ROSARY</v>
          </cell>
          <cell r="E2359">
            <v>3</v>
          </cell>
          <cell r="H2359" t="str">
            <v>SAFISCOR</v>
          </cell>
          <cell r="N2359">
            <v>1000</v>
          </cell>
          <cell r="Y2359">
            <v>46230</v>
          </cell>
          <cell r="Z2359">
            <v>1</v>
          </cell>
          <cell r="AA2359">
            <v>1000</v>
          </cell>
        </row>
        <row r="2360">
          <cell r="A2360">
            <v>46228</v>
          </cell>
          <cell r="D2360" t="str">
            <v>LADY OF ROSARY</v>
          </cell>
          <cell r="E2360">
            <v>3</v>
          </cell>
          <cell r="H2360" t="str">
            <v>BADIE</v>
          </cell>
          <cell r="N2360">
            <v>1000</v>
          </cell>
          <cell r="Y2360">
            <v>46229</v>
          </cell>
          <cell r="Z2360">
            <v>1</v>
          </cell>
          <cell r="AA2360">
            <v>1000</v>
          </cell>
        </row>
        <row r="2361">
          <cell r="A2361">
            <v>46228</v>
          </cell>
          <cell r="D2361" t="str">
            <v>LADY OF ROSARY</v>
          </cell>
          <cell r="E2361">
            <v>3</v>
          </cell>
          <cell r="H2361" t="str">
            <v>GEO</v>
          </cell>
          <cell r="N2361">
            <v>1000</v>
          </cell>
          <cell r="Y2361">
            <v>46230</v>
          </cell>
          <cell r="Z2361">
            <v>1</v>
          </cell>
          <cell r="AA2361">
            <v>1000</v>
          </cell>
        </row>
        <row r="2362">
          <cell r="A2362">
            <v>46228</v>
          </cell>
          <cell r="D2362" t="str">
            <v>LADY OF ROSARY</v>
          </cell>
          <cell r="E2362">
            <v>3</v>
          </cell>
          <cell r="H2362" t="str">
            <v>LAPU-LAPU</v>
          </cell>
          <cell r="N2362">
            <v>1000</v>
          </cell>
          <cell r="Y2362">
            <v>46230</v>
          </cell>
          <cell r="Z2362">
            <v>1</v>
          </cell>
          <cell r="AA2362">
            <v>1000</v>
          </cell>
        </row>
        <row r="2363">
          <cell r="A2363">
            <v>46229</v>
          </cell>
          <cell r="D2363" t="str">
            <v>STAR FREEDOM</v>
          </cell>
          <cell r="E2363">
            <v>6</v>
          </cell>
          <cell r="H2363" t="str">
            <v>SAFISCOR</v>
          </cell>
          <cell r="N2363">
            <v>1000</v>
          </cell>
          <cell r="Y2363">
            <v>46229</v>
          </cell>
          <cell r="Z2363">
            <v>1</v>
          </cell>
          <cell r="AA2363">
            <v>1000</v>
          </cell>
        </row>
        <row r="2364">
          <cell r="A2364">
            <v>46229</v>
          </cell>
          <cell r="D2364" t="str">
            <v>EMERALD STAR</v>
          </cell>
          <cell r="E2364">
            <v>5</v>
          </cell>
          <cell r="H2364" t="str">
            <v>SAFISCOR</v>
          </cell>
          <cell r="N2364">
            <v>1000</v>
          </cell>
          <cell r="Y2364">
            <v>46230</v>
          </cell>
          <cell r="Z2364">
            <v>1</v>
          </cell>
          <cell r="AA2364">
            <v>1000</v>
          </cell>
        </row>
        <row r="2365">
          <cell r="A2365">
            <v>46229</v>
          </cell>
          <cell r="D2365" t="str">
            <v>EMERALD STAR</v>
          </cell>
          <cell r="E2365">
            <v>5</v>
          </cell>
          <cell r="H2365" t="str">
            <v>SAFISCOR</v>
          </cell>
          <cell r="N2365">
            <v>1000</v>
          </cell>
          <cell r="Y2365">
            <v>46229</v>
          </cell>
          <cell r="Z2365">
            <v>1</v>
          </cell>
          <cell r="AA2365">
            <v>1000</v>
          </cell>
        </row>
        <row r="2366">
          <cell r="A2366">
            <v>46229</v>
          </cell>
          <cell r="D2366" t="str">
            <v>ADOLFO SR</v>
          </cell>
          <cell r="E2366">
            <v>5</v>
          </cell>
          <cell r="H2366" t="str">
            <v>SAFISCOR</v>
          </cell>
          <cell r="N2366">
            <v>1000</v>
          </cell>
          <cell r="Y2366">
            <v>46230</v>
          </cell>
          <cell r="Z2366">
            <v>1</v>
          </cell>
          <cell r="AA2366">
            <v>1000</v>
          </cell>
        </row>
        <row r="2367">
          <cell r="A2367">
            <v>46229</v>
          </cell>
          <cell r="D2367" t="str">
            <v>STAR FREEDOM</v>
          </cell>
          <cell r="E2367">
            <v>6</v>
          </cell>
          <cell r="H2367" t="str">
            <v>SAFISCOR</v>
          </cell>
          <cell r="N2367">
            <v>1000</v>
          </cell>
          <cell r="Y2367">
            <v>46229</v>
          </cell>
          <cell r="Z2367">
            <v>1</v>
          </cell>
          <cell r="AA2367">
            <v>1000</v>
          </cell>
        </row>
        <row r="2368">
          <cell r="A2368">
            <v>46229</v>
          </cell>
          <cell r="D2368" t="str">
            <v>ADOLFO SR</v>
          </cell>
          <cell r="E2368">
            <v>5</v>
          </cell>
          <cell r="H2368" t="str">
            <v>SAFISCOR</v>
          </cell>
          <cell r="N2368">
            <v>1000</v>
          </cell>
          <cell r="Y2368">
            <v>46230</v>
          </cell>
          <cell r="Z2368">
            <v>2</v>
          </cell>
          <cell r="AA2368">
            <v>1000</v>
          </cell>
        </row>
        <row r="2369">
          <cell r="A2369">
            <v>46229</v>
          </cell>
          <cell r="D2369" t="str">
            <v>EFG 7</v>
          </cell>
          <cell r="E2369">
            <v>3</v>
          </cell>
          <cell r="H2369" t="str">
            <v>GEO</v>
          </cell>
          <cell r="N2369">
            <v>1000</v>
          </cell>
          <cell r="Y2369">
            <v>46229</v>
          </cell>
          <cell r="Z2369">
            <v>1</v>
          </cell>
          <cell r="AA2369">
            <v>1000</v>
          </cell>
        </row>
        <row r="2370">
          <cell r="A2370">
            <v>46248</v>
          </cell>
          <cell r="D2370" t="str">
            <v>LADY OF ROSARY</v>
          </cell>
          <cell r="E2370">
            <v>4</v>
          </cell>
          <cell r="H2370" t="str">
            <v>SAFISCOR</v>
          </cell>
          <cell r="N2370">
            <v>1000</v>
          </cell>
          <cell r="Y2370">
            <v>46248</v>
          </cell>
          <cell r="Z2370">
            <v>1</v>
          </cell>
          <cell r="AA2370">
            <v>1000</v>
          </cell>
        </row>
        <row r="2371">
          <cell r="A2371">
            <v>46248</v>
          </cell>
          <cell r="D2371" t="str">
            <v>LADY OF ROSARY</v>
          </cell>
          <cell r="E2371">
            <v>4</v>
          </cell>
          <cell r="H2371" t="str">
            <v>SAFISCOR</v>
          </cell>
          <cell r="N2371">
            <v>1000</v>
          </cell>
          <cell r="Y2371">
            <v>46248</v>
          </cell>
          <cell r="Z2371">
            <v>1</v>
          </cell>
          <cell r="AA2371">
            <v>1000</v>
          </cell>
        </row>
        <row r="2372">
          <cell r="A2372">
            <v>46229</v>
          </cell>
          <cell r="D2372" t="str">
            <v>EFG 7</v>
          </cell>
          <cell r="E2372">
            <v>3</v>
          </cell>
          <cell r="H2372" t="str">
            <v>SAFISCOR</v>
          </cell>
          <cell r="N2372">
            <v>1000</v>
          </cell>
          <cell r="Y2372">
            <v>46229</v>
          </cell>
          <cell r="Z2372">
            <v>1</v>
          </cell>
          <cell r="AA2372">
            <v>1000</v>
          </cell>
        </row>
        <row r="2373">
          <cell r="A2373">
            <v>46229</v>
          </cell>
          <cell r="D2373" t="str">
            <v>LADY UNO</v>
          </cell>
          <cell r="E2373">
            <v>1</v>
          </cell>
          <cell r="H2373" t="str">
            <v>SAFISCOR</v>
          </cell>
          <cell r="N2373">
            <v>1000</v>
          </cell>
          <cell r="Y2373">
            <v>46232</v>
          </cell>
          <cell r="Z2373">
            <v>2</v>
          </cell>
          <cell r="AA2373">
            <v>1000</v>
          </cell>
        </row>
        <row r="2374">
          <cell r="A2374">
            <v>46229</v>
          </cell>
          <cell r="D2374" t="str">
            <v>EMERALD STAR</v>
          </cell>
          <cell r="E2374">
            <v>5</v>
          </cell>
          <cell r="H2374" t="str">
            <v>SAFISCOR</v>
          </cell>
          <cell r="N2374">
            <v>1000</v>
          </cell>
          <cell r="Y2374">
            <v>46229</v>
          </cell>
          <cell r="Z2374">
            <v>1</v>
          </cell>
          <cell r="AA2374">
            <v>1000</v>
          </cell>
        </row>
        <row r="2375">
          <cell r="A2375">
            <v>46229</v>
          </cell>
          <cell r="D2375" t="str">
            <v>EMERALD STAR</v>
          </cell>
          <cell r="E2375">
            <v>5</v>
          </cell>
          <cell r="H2375" t="str">
            <v>SAFISCOR</v>
          </cell>
          <cell r="N2375">
            <v>1000</v>
          </cell>
          <cell r="Y2375">
            <v>46230</v>
          </cell>
          <cell r="Z2375">
            <v>1</v>
          </cell>
          <cell r="AA2375">
            <v>1000</v>
          </cell>
        </row>
        <row r="2376">
          <cell r="A2376">
            <v>46229</v>
          </cell>
          <cell r="D2376" t="str">
            <v>STAR FREEDOM</v>
          </cell>
          <cell r="E2376">
            <v>6</v>
          </cell>
          <cell r="H2376" t="str">
            <v>SAFISCOR</v>
          </cell>
          <cell r="N2376">
            <v>1000</v>
          </cell>
          <cell r="Y2376">
            <v>46229</v>
          </cell>
          <cell r="Z2376">
            <v>1</v>
          </cell>
          <cell r="AA2376">
            <v>1000</v>
          </cell>
        </row>
        <row r="2377">
          <cell r="A2377">
            <v>46229</v>
          </cell>
          <cell r="D2377" t="str">
            <v>STAR FREEDOM</v>
          </cell>
          <cell r="E2377">
            <v>6</v>
          </cell>
          <cell r="H2377" t="str">
            <v>SAFISCOR</v>
          </cell>
          <cell r="N2377">
            <v>1000</v>
          </cell>
          <cell r="Y2377">
            <v>46229</v>
          </cell>
          <cell r="Z2377">
            <v>1</v>
          </cell>
          <cell r="AA2377">
            <v>1000</v>
          </cell>
        </row>
        <row r="2378">
          <cell r="A2378">
            <v>46229</v>
          </cell>
          <cell r="D2378" t="str">
            <v>ADOLFO SR</v>
          </cell>
          <cell r="E2378">
            <v>5</v>
          </cell>
          <cell r="H2378" t="str">
            <v>SAFISCOR</v>
          </cell>
          <cell r="N2378">
            <v>1000</v>
          </cell>
          <cell r="Y2378">
            <v>46230</v>
          </cell>
          <cell r="Z2378">
            <v>2</v>
          </cell>
          <cell r="AA2378">
            <v>1000</v>
          </cell>
        </row>
        <row r="2379">
          <cell r="A2379">
            <v>46229</v>
          </cell>
          <cell r="D2379" t="str">
            <v>ADOLFO SR</v>
          </cell>
          <cell r="E2379">
            <v>5</v>
          </cell>
          <cell r="H2379" t="str">
            <v>SAFISCOR</v>
          </cell>
          <cell r="N2379">
            <v>1000</v>
          </cell>
          <cell r="Y2379">
            <v>46230</v>
          </cell>
          <cell r="Z2379">
            <v>1</v>
          </cell>
          <cell r="AA2379">
            <v>1000</v>
          </cell>
        </row>
        <row r="2380">
          <cell r="A2380">
            <v>46229</v>
          </cell>
          <cell r="D2380" t="str">
            <v>ADOLFO SR</v>
          </cell>
          <cell r="E2380">
            <v>5</v>
          </cell>
          <cell r="H2380" t="str">
            <v>LAPU-LAPU</v>
          </cell>
          <cell r="N2380">
            <v>1000</v>
          </cell>
          <cell r="Y2380">
            <v>46230</v>
          </cell>
          <cell r="Z2380">
            <v>1</v>
          </cell>
          <cell r="AA2380">
            <v>1000</v>
          </cell>
        </row>
        <row r="2381">
          <cell r="A2381">
            <v>46229</v>
          </cell>
          <cell r="D2381" t="str">
            <v>EFG 7</v>
          </cell>
          <cell r="E2381">
            <v>3</v>
          </cell>
          <cell r="H2381" t="str">
            <v>SAFISCOR</v>
          </cell>
          <cell r="N2381">
            <v>1000</v>
          </cell>
          <cell r="Y2381">
            <v>46229</v>
          </cell>
          <cell r="Z2381">
            <v>1</v>
          </cell>
          <cell r="AA2381">
            <v>1000</v>
          </cell>
        </row>
        <row r="2382">
          <cell r="A2382">
            <v>46229</v>
          </cell>
          <cell r="D2382" t="str">
            <v>STAR FREEDOM</v>
          </cell>
          <cell r="E2382">
            <v>6</v>
          </cell>
          <cell r="H2382" t="str">
            <v>SAFISCOR</v>
          </cell>
          <cell r="N2382">
            <v>1000</v>
          </cell>
          <cell r="Y2382">
            <v>46229</v>
          </cell>
          <cell r="Z2382">
            <v>1</v>
          </cell>
          <cell r="AA2382">
            <v>1000</v>
          </cell>
        </row>
        <row r="2383">
          <cell r="A2383">
            <v>46229</v>
          </cell>
          <cell r="D2383" t="str">
            <v>EMERALD STAR</v>
          </cell>
          <cell r="E2383">
            <v>5</v>
          </cell>
          <cell r="H2383" t="str">
            <v>SAFISCOR</v>
          </cell>
          <cell r="N2383">
            <v>1000</v>
          </cell>
          <cell r="Y2383">
            <v>46230</v>
          </cell>
          <cell r="Z2383">
            <v>1</v>
          </cell>
          <cell r="AA2383">
            <v>1000</v>
          </cell>
        </row>
        <row r="2384">
          <cell r="A2384">
            <v>46229</v>
          </cell>
          <cell r="D2384" t="str">
            <v>EMERALD STAR</v>
          </cell>
          <cell r="E2384">
            <v>5</v>
          </cell>
          <cell r="H2384" t="str">
            <v>SAFISCOR</v>
          </cell>
          <cell r="N2384">
            <v>1000</v>
          </cell>
          <cell r="Y2384">
            <v>46230</v>
          </cell>
          <cell r="Z2384">
            <v>1</v>
          </cell>
          <cell r="AA2384">
            <v>1000</v>
          </cell>
        </row>
        <row r="2385">
          <cell r="A2385">
            <v>46229</v>
          </cell>
          <cell r="D2385" t="str">
            <v>EFG 7</v>
          </cell>
          <cell r="E2385">
            <v>3</v>
          </cell>
          <cell r="H2385" t="str">
            <v>SAFISCOR</v>
          </cell>
          <cell r="N2385">
            <v>1000</v>
          </cell>
          <cell r="Y2385">
            <v>46229</v>
          </cell>
          <cell r="Z2385">
            <v>1</v>
          </cell>
          <cell r="AA2385">
            <v>1000</v>
          </cell>
        </row>
        <row r="2386">
          <cell r="A2386">
            <v>46229</v>
          </cell>
          <cell r="D2386" t="str">
            <v>LADY OF WISDOM</v>
          </cell>
          <cell r="E2386">
            <v>3</v>
          </cell>
          <cell r="H2386" t="str">
            <v>SAFISCOR</v>
          </cell>
          <cell r="N2386">
            <v>1000</v>
          </cell>
          <cell r="Y2386">
            <v>46230</v>
          </cell>
          <cell r="Z2386">
            <v>1</v>
          </cell>
          <cell r="AA2386">
            <v>1000</v>
          </cell>
        </row>
        <row r="2387">
          <cell r="A2387">
            <v>46229</v>
          </cell>
          <cell r="D2387" t="str">
            <v>ADOLFO SR</v>
          </cell>
          <cell r="E2387">
            <v>5</v>
          </cell>
          <cell r="H2387" t="str">
            <v>SAFISCOR</v>
          </cell>
          <cell r="N2387">
            <v>1000</v>
          </cell>
          <cell r="Y2387">
            <v>46230</v>
          </cell>
          <cell r="Z2387">
            <v>2</v>
          </cell>
          <cell r="AA2387">
            <v>1000</v>
          </cell>
        </row>
        <row r="2388">
          <cell r="A2388">
            <v>46229</v>
          </cell>
          <cell r="D2388" t="str">
            <v>STAR FREEDOM</v>
          </cell>
          <cell r="E2388">
            <v>6</v>
          </cell>
          <cell r="H2388" t="str">
            <v>GEO</v>
          </cell>
          <cell r="N2388">
            <v>1000</v>
          </cell>
          <cell r="Y2388">
            <v>46229</v>
          </cell>
          <cell r="Z2388">
            <v>1</v>
          </cell>
          <cell r="AA2388">
            <v>1000</v>
          </cell>
        </row>
        <row r="2389">
          <cell r="A2389">
            <v>46229</v>
          </cell>
          <cell r="D2389" t="str">
            <v>STAR FREEDOM</v>
          </cell>
          <cell r="E2389">
            <v>6</v>
          </cell>
          <cell r="H2389" t="str">
            <v>SAFISCOR</v>
          </cell>
          <cell r="N2389">
            <v>1000</v>
          </cell>
          <cell r="Y2389">
            <v>46229</v>
          </cell>
          <cell r="Z2389">
            <v>1</v>
          </cell>
          <cell r="AA2389">
            <v>1000</v>
          </cell>
        </row>
        <row r="2390">
          <cell r="A2390">
            <v>46229</v>
          </cell>
          <cell r="D2390" t="str">
            <v>EFG 7</v>
          </cell>
          <cell r="E2390">
            <v>3</v>
          </cell>
          <cell r="H2390" t="str">
            <v>SAFISCOR</v>
          </cell>
          <cell r="N2390">
            <v>1000</v>
          </cell>
          <cell r="Y2390">
            <v>46229</v>
          </cell>
          <cell r="Z2390">
            <v>1</v>
          </cell>
          <cell r="AA2390">
            <v>1000</v>
          </cell>
        </row>
        <row r="2391">
          <cell r="A2391">
            <v>46229</v>
          </cell>
          <cell r="D2391" t="str">
            <v>ADOLFO SR</v>
          </cell>
          <cell r="E2391">
            <v>5</v>
          </cell>
          <cell r="H2391" t="str">
            <v>SAFISCOR</v>
          </cell>
          <cell r="N2391">
            <v>1000</v>
          </cell>
          <cell r="Y2391">
            <v>46230</v>
          </cell>
          <cell r="Z2391">
            <v>2</v>
          </cell>
          <cell r="AA2391">
            <v>1000</v>
          </cell>
        </row>
        <row r="2392">
          <cell r="A2392">
            <v>46229</v>
          </cell>
          <cell r="D2392" t="str">
            <v>LADY OF WISDOM</v>
          </cell>
          <cell r="E2392">
            <v>3</v>
          </cell>
          <cell r="H2392" t="str">
            <v>SAFISCOR</v>
          </cell>
          <cell r="N2392">
            <v>1000</v>
          </cell>
          <cell r="Y2392">
            <v>46230</v>
          </cell>
          <cell r="Z2392">
            <v>1</v>
          </cell>
          <cell r="AA2392">
            <v>1000</v>
          </cell>
        </row>
        <row r="2393">
          <cell r="A2393">
            <v>46229</v>
          </cell>
          <cell r="D2393" t="str">
            <v>STAR FREEDOM</v>
          </cell>
          <cell r="E2393">
            <v>6</v>
          </cell>
          <cell r="H2393" t="str">
            <v>LAPU-LAPU</v>
          </cell>
          <cell r="N2393">
            <v>1000</v>
          </cell>
          <cell r="Y2393">
            <v>46230</v>
          </cell>
          <cell r="Z2393">
            <v>1</v>
          </cell>
          <cell r="AA2393">
            <v>1000</v>
          </cell>
        </row>
        <row r="2394">
          <cell r="A2394">
            <v>46229</v>
          </cell>
          <cell r="D2394" t="str">
            <v>EFG 7</v>
          </cell>
          <cell r="E2394">
            <v>3</v>
          </cell>
          <cell r="H2394" t="str">
            <v>SAFISCOR</v>
          </cell>
          <cell r="N2394">
            <v>1000</v>
          </cell>
          <cell r="Y2394">
            <v>46229</v>
          </cell>
          <cell r="Z2394">
            <v>1</v>
          </cell>
          <cell r="AA2394">
            <v>1000</v>
          </cell>
        </row>
        <row r="2395">
          <cell r="A2395">
            <v>46229</v>
          </cell>
          <cell r="D2395" t="str">
            <v>EFG 7</v>
          </cell>
          <cell r="E2395">
            <v>3</v>
          </cell>
          <cell r="H2395" t="str">
            <v>GEO</v>
          </cell>
          <cell r="N2395">
            <v>1000</v>
          </cell>
          <cell r="Y2395">
            <v>46229</v>
          </cell>
          <cell r="Z2395">
            <v>1</v>
          </cell>
          <cell r="AA2395">
            <v>1000</v>
          </cell>
        </row>
        <row r="2396">
          <cell r="A2396">
            <v>46229</v>
          </cell>
          <cell r="D2396" t="str">
            <v>EFG 7</v>
          </cell>
          <cell r="E2396">
            <v>3</v>
          </cell>
          <cell r="H2396" t="str">
            <v>BADIE</v>
          </cell>
          <cell r="N2396">
            <v>1000</v>
          </cell>
          <cell r="Y2396">
            <v>46229</v>
          </cell>
          <cell r="Z2396">
            <v>1</v>
          </cell>
          <cell r="AA2396">
            <v>1000</v>
          </cell>
        </row>
        <row r="2397">
          <cell r="A2397">
            <v>46229</v>
          </cell>
          <cell r="D2397" t="str">
            <v>LADY OF WISDOM</v>
          </cell>
          <cell r="E2397">
            <v>3</v>
          </cell>
          <cell r="H2397" t="str">
            <v>SAFISCOR</v>
          </cell>
          <cell r="N2397">
            <v>1000</v>
          </cell>
          <cell r="Y2397">
            <v>46230</v>
          </cell>
          <cell r="Z2397">
            <v>1</v>
          </cell>
          <cell r="AA2397">
            <v>1000</v>
          </cell>
        </row>
        <row r="2398">
          <cell r="A2398">
            <v>46229</v>
          </cell>
          <cell r="D2398" t="str">
            <v>LADY OF WISDOM</v>
          </cell>
          <cell r="E2398">
            <v>3</v>
          </cell>
          <cell r="H2398" t="str">
            <v>SAFISCOR</v>
          </cell>
          <cell r="N2398">
            <v>1000</v>
          </cell>
          <cell r="Y2398">
            <v>46230</v>
          </cell>
          <cell r="Z2398">
            <v>1</v>
          </cell>
          <cell r="AA2398">
            <v>1000</v>
          </cell>
        </row>
        <row r="2399">
          <cell r="A2399">
            <v>46229</v>
          </cell>
          <cell r="D2399" t="str">
            <v>STAR FREEDOM</v>
          </cell>
          <cell r="E2399">
            <v>6</v>
          </cell>
          <cell r="H2399" t="str">
            <v>SAFISCOR</v>
          </cell>
          <cell r="N2399">
            <v>1000</v>
          </cell>
          <cell r="Y2399">
            <v>46230</v>
          </cell>
          <cell r="Z2399">
            <v>1</v>
          </cell>
          <cell r="AA2399">
            <v>1000</v>
          </cell>
        </row>
        <row r="2400">
          <cell r="A2400">
            <v>46229</v>
          </cell>
          <cell r="D2400" t="str">
            <v>STAR FREEDOM</v>
          </cell>
          <cell r="E2400">
            <v>6</v>
          </cell>
          <cell r="H2400" t="str">
            <v>SAFISCOR</v>
          </cell>
          <cell r="N2400">
            <v>1000</v>
          </cell>
          <cell r="Y2400">
            <v>46230</v>
          </cell>
          <cell r="Z2400">
            <v>1</v>
          </cell>
          <cell r="AA2400">
            <v>1000</v>
          </cell>
        </row>
        <row r="2401">
          <cell r="A2401">
            <v>46230</v>
          </cell>
          <cell r="D2401" t="str">
            <v>LADY OF WISDOM</v>
          </cell>
          <cell r="E2401">
            <v>3</v>
          </cell>
          <cell r="H2401" t="str">
            <v>SAFISCOR</v>
          </cell>
          <cell r="N2401">
            <v>1000</v>
          </cell>
          <cell r="Y2401">
            <v>46230</v>
          </cell>
          <cell r="Z2401">
            <v>1</v>
          </cell>
          <cell r="AA2401">
            <v>1000</v>
          </cell>
        </row>
        <row r="2402">
          <cell r="A2402">
            <v>46230</v>
          </cell>
          <cell r="D2402" t="str">
            <v>EFG 7</v>
          </cell>
          <cell r="E2402">
            <v>3</v>
          </cell>
          <cell r="H2402" t="str">
            <v>BADIE</v>
          </cell>
          <cell r="N2402">
            <v>1000</v>
          </cell>
          <cell r="Y2402">
            <v>46230</v>
          </cell>
          <cell r="Z2402">
            <v>1</v>
          </cell>
          <cell r="AA2402">
            <v>1000</v>
          </cell>
        </row>
        <row r="2403">
          <cell r="A2403">
            <v>46230</v>
          </cell>
          <cell r="D2403" t="str">
            <v>STAR FREEDOM</v>
          </cell>
          <cell r="E2403">
            <v>6</v>
          </cell>
          <cell r="H2403" t="str">
            <v>LAPU-LAPU</v>
          </cell>
          <cell r="N2403">
            <v>1000</v>
          </cell>
          <cell r="Y2403">
            <v>46230</v>
          </cell>
          <cell r="Z2403">
            <v>1</v>
          </cell>
          <cell r="AA2403">
            <v>1000</v>
          </cell>
        </row>
        <row r="2404">
          <cell r="A2404">
            <v>46230</v>
          </cell>
          <cell r="D2404" t="str">
            <v>LADY OF WISDOM</v>
          </cell>
          <cell r="E2404">
            <v>3</v>
          </cell>
          <cell r="H2404" t="str">
            <v>SAFISCOR</v>
          </cell>
          <cell r="N2404">
            <v>1000</v>
          </cell>
          <cell r="Y2404">
            <v>46230</v>
          </cell>
          <cell r="Z2404">
            <v>2</v>
          </cell>
          <cell r="AA2404">
            <v>1000</v>
          </cell>
        </row>
        <row r="2405">
          <cell r="A2405">
            <v>46230</v>
          </cell>
          <cell r="D2405" t="str">
            <v>LADY OF WISDOM</v>
          </cell>
          <cell r="E2405">
            <v>3</v>
          </cell>
          <cell r="H2405" t="str">
            <v>SAFISCOR</v>
          </cell>
          <cell r="N2405">
            <v>1000</v>
          </cell>
          <cell r="Y2405">
            <v>46230</v>
          </cell>
          <cell r="Z2405">
            <v>2</v>
          </cell>
          <cell r="AA2405">
            <v>1000</v>
          </cell>
        </row>
        <row r="2406">
          <cell r="A2406">
            <v>46230</v>
          </cell>
          <cell r="D2406" t="str">
            <v>LADY OF WISDOM</v>
          </cell>
          <cell r="E2406">
            <v>3</v>
          </cell>
          <cell r="H2406" t="str">
            <v>SAFISCOR</v>
          </cell>
          <cell r="N2406">
            <v>1000</v>
          </cell>
          <cell r="Y2406">
            <v>46230</v>
          </cell>
          <cell r="Z2406">
            <v>2</v>
          </cell>
          <cell r="AA2406">
            <v>1000</v>
          </cell>
        </row>
        <row r="2407">
          <cell r="A2407">
            <v>46230</v>
          </cell>
          <cell r="D2407" t="str">
            <v>LADY OF WISDOM</v>
          </cell>
          <cell r="E2407">
            <v>3</v>
          </cell>
          <cell r="H2407" t="str">
            <v>SAFISCOR</v>
          </cell>
          <cell r="N2407">
            <v>1000</v>
          </cell>
          <cell r="Y2407">
            <v>46231</v>
          </cell>
          <cell r="Z2407">
            <v>2</v>
          </cell>
          <cell r="AA2407">
            <v>1000</v>
          </cell>
        </row>
        <row r="2408">
          <cell r="A2408">
            <v>46230</v>
          </cell>
          <cell r="D2408" t="str">
            <v>EFG 7</v>
          </cell>
          <cell r="E2408">
            <v>3</v>
          </cell>
          <cell r="H2408" t="str">
            <v>LAPU-LAPU</v>
          </cell>
          <cell r="N2408">
            <v>1000</v>
          </cell>
          <cell r="Y2408">
            <v>46230</v>
          </cell>
          <cell r="Z2408">
            <v>1</v>
          </cell>
          <cell r="AA2408">
            <v>1000</v>
          </cell>
        </row>
        <row r="2409">
          <cell r="A2409">
            <v>46230</v>
          </cell>
          <cell r="D2409" t="str">
            <v>LADY UNO</v>
          </cell>
          <cell r="E2409">
            <v>1</v>
          </cell>
          <cell r="H2409" t="str">
            <v>UCES</v>
          </cell>
          <cell r="N2409">
            <v>1000</v>
          </cell>
          <cell r="Y2409">
            <v>46232</v>
          </cell>
          <cell r="Z2409">
            <v>1</v>
          </cell>
          <cell r="AA2409">
            <v>1000</v>
          </cell>
        </row>
        <row r="2410">
          <cell r="A2410">
            <v>46230</v>
          </cell>
          <cell r="D2410" t="str">
            <v>LADY OF REMEDY</v>
          </cell>
          <cell r="E2410">
            <v>4</v>
          </cell>
          <cell r="H2410" t="str">
            <v>SAFISCOR</v>
          </cell>
          <cell r="N2410">
            <v>1000</v>
          </cell>
          <cell r="Y2410">
            <v>46230</v>
          </cell>
          <cell r="Z2410">
            <v>2</v>
          </cell>
          <cell r="AA2410">
            <v>1000</v>
          </cell>
        </row>
        <row r="2411">
          <cell r="A2411">
            <v>46230</v>
          </cell>
          <cell r="D2411" t="str">
            <v>LADY OF REMEDY</v>
          </cell>
          <cell r="E2411">
            <v>4</v>
          </cell>
          <cell r="H2411" t="str">
            <v>SAFISCOR</v>
          </cell>
          <cell r="N2411">
            <v>1000</v>
          </cell>
          <cell r="Y2411">
            <v>46230</v>
          </cell>
          <cell r="Z2411">
            <v>1</v>
          </cell>
          <cell r="AA2411">
            <v>1000</v>
          </cell>
        </row>
        <row r="2412">
          <cell r="A2412">
            <v>46230</v>
          </cell>
          <cell r="D2412" t="str">
            <v>ADOLFO SR</v>
          </cell>
          <cell r="E2412">
            <v>5</v>
          </cell>
          <cell r="H2412" t="str">
            <v>SAFISCOR</v>
          </cell>
          <cell r="N2412">
            <v>500</v>
          </cell>
          <cell r="Y2412">
            <v>46230</v>
          </cell>
          <cell r="Z2412">
            <v>2</v>
          </cell>
          <cell r="AA2412">
            <v>500</v>
          </cell>
        </row>
        <row r="2413">
          <cell r="A2413">
            <v>46230</v>
          </cell>
          <cell r="D2413" t="str">
            <v>ADOLFO SR</v>
          </cell>
          <cell r="E2413">
            <v>5</v>
          </cell>
          <cell r="H2413" t="str">
            <v>SAFISCOR</v>
          </cell>
          <cell r="N2413">
            <v>500</v>
          </cell>
          <cell r="Y2413">
            <v>46230</v>
          </cell>
          <cell r="Z2413">
            <v>2</v>
          </cell>
          <cell r="AA2413">
            <v>500</v>
          </cell>
        </row>
        <row r="2414">
          <cell r="A2414">
            <v>46230</v>
          </cell>
          <cell r="D2414" t="str">
            <v>ADOLFO SR</v>
          </cell>
          <cell r="E2414">
            <v>5</v>
          </cell>
          <cell r="H2414" t="str">
            <v>SAFISCOR</v>
          </cell>
          <cell r="N2414">
            <v>1000</v>
          </cell>
          <cell r="Y2414">
            <v>46230</v>
          </cell>
          <cell r="Z2414">
            <v>2</v>
          </cell>
          <cell r="AA2414">
            <v>1000</v>
          </cell>
        </row>
        <row r="2415">
          <cell r="A2415">
            <v>46230</v>
          </cell>
          <cell r="D2415" t="str">
            <v>ADOLFO SR</v>
          </cell>
          <cell r="E2415">
            <v>5</v>
          </cell>
          <cell r="H2415" t="str">
            <v>GEO</v>
          </cell>
          <cell r="N2415">
            <v>1000</v>
          </cell>
          <cell r="Y2415">
            <v>46230</v>
          </cell>
          <cell r="Z2415">
            <v>1</v>
          </cell>
          <cell r="AA2415">
            <v>1000</v>
          </cell>
        </row>
        <row r="2416">
          <cell r="A2416">
            <v>46230</v>
          </cell>
          <cell r="D2416" t="str">
            <v>ADOLFO SR</v>
          </cell>
          <cell r="E2416">
            <v>5</v>
          </cell>
          <cell r="H2416" t="str">
            <v>SAFISCOR</v>
          </cell>
          <cell r="N2416">
            <v>1000</v>
          </cell>
          <cell r="Y2416">
            <v>46230</v>
          </cell>
          <cell r="Z2416">
            <v>1</v>
          </cell>
          <cell r="AA2416">
            <v>1000</v>
          </cell>
        </row>
        <row r="2417">
          <cell r="A2417">
            <v>46230</v>
          </cell>
          <cell r="D2417" t="str">
            <v>ADOLFO SR</v>
          </cell>
          <cell r="E2417">
            <v>5</v>
          </cell>
          <cell r="H2417" t="str">
            <v>SAFISCOR</v>
          </cell>
          <cell r="N2417">
            <v>1000</v>
          </cell>
          <cell r="Y2417">
            <v>46230</v>
          </cell>
          <cell r="Z2417">
            <v>2</v>
          </cell>
          <cell r="AA2417">
            <v>1000</v>
          </cell>
        </row>
        <row r="2418">
          <cell r="A2418">
            <v>46230</v>
          </cell>
          <cell r="D2418" t="str">
            <v>ADOLFO SR</v>
          </cell>
          <cell r="E2418">
            <v>5</v>
          </cell>
          <cell r="H2418" t="str">
            <v>SAFISCOR</v>
          </cell>
          <cell r="N2418">
            <v>1000</v>
          </cell>
          <cell r="Y2418">
            <v>46230</v>
          </cell>
          <cell r="Z2418">
            <v>2</v>
          </cell>
          <cell r="AA2418">
            <v>1000</v>
          </cell>
        </row>
        <row r="2419">
          <cell r="A2419">
            <v>46230</v>
          </cell>
          <cell r="D2419" t="str">
            <v>LADY OF REMEDY</v>
          </cell>
          <cell r="E2419">
            <v>4</v>
          </cell>
          <cell r="H2419" t="str">
            <v>LAPU-LAPU</v>
          </cell>
          <cell r="N2419">
            <v>1000</v>
          </cell>
          <cell r="Y2419">
            <v>46230</v>
          </cell>
          <cell r="Z2419">
            <v>1</v>
          </cell>
          <cell r="AA2419">
            <v>1000</v>
          </cell>
        </row>
        <row r="2420">
          <cell r="A2420">
            <v>46230</v>
          </cell>
          <cell r="D2420" t="str">
            <v>EFG 7</v>
          </cell>
          <cell r="E2420">
            <v>3</v>
          </cell>
          <cell r="H2420" t="str">
            <v>BADIE</v>
          </cell>
          <cell r="N2420">
            <v>1000</v>
          </cell>
          <cell r="Y2420">
            <v>46230</v>
          </cell>
          <cell r="Z2420">
            <v>1</v>
          </cell>
          <cell r="AA2420">
            <v>1000</v>
          </cell>
        </row>
        <row r="2421">
          <cell r="A2421">
            <v>46230</v>
          </cell>
          <cell r="D2421" t="str">
            <v>ADOLFO SR</v>
          </cell>
          <cell r="E2421">
            <v>5</v>
          </cell>
          <cell r="H2421" t="str">
            <v>SAFISCOR</v>
          </cell>
          <cell r="N2421">
            <v>1000</v>
          </cell>
          <cell r="Y2421">
            <v>46230</v>
          </cell>
          <cell r="Z2421">
            <v>2</v>
          </cell>
          <cell r="AA2421">
            <v>1000</v>
          </cell>
        </row>
        <row r="2422">
          <cell r="A2422">
            <v>46230</v>
          </cell>
          <cell r="D2422" t="str">
            <v>STAR FREEDOM</v>
          </cell>
          <cell r="E2422">
            <v>6</v>
          </cell>
          <cell r="H2422" t="str">
            <v>SAFISCOR</v>
          </cell>
          <cell r="N2422">
            <v>1000</v>
          </cell>
          <cell r="Y2422">
            <v>46230</v>
          </cell>
          <cell r="Z2422">
            <v>1</v>
          </cell>
          <cell r="AA2422">
            <v>1000</v>
          </cell>
        </row>
        <row r="2423">
          <cell r="A2423">
            <v>46230</v>
          </cell>
          <cell r="D2423" t="str">
            <v>STAR FREEDOM</v>
          </cell>
          <cell r="E2423">
            <v>6</v>
          </cell>
          <cell r="H2423" t="str">
            <v>SAFISCOR</v>
          </cell>
          <cell r="N2423">
            <v>1000</v>
          </cell>
          <cell r="Y2423">
            <v>46230</v>
          </cell>
          <cell r="Z2423">
            <v>1</v>
          </cell>
          <cell r="AA2423">
            <v>1000</v>
          </cell>
        </row>
        <row r="2424">
          <cell r="A2424">
            <v>46230</v>
          </cell>
          <cell r="D2424" t="str">
            <v>STAR FREEDOM</v>
          </cell>
          <cell r="E2424">
            <v>6</v>
          </cell>
          <cell r="H2424" t="str">
            <v>LAPU-LAPU</v>
          </cell>
          <cell r="N2424">
            <v>1000</v>
          </cell>
          <cell r="Y2424">
            <v>46230</v>
          </cell>
          <cell r="Z2424">
            <v>2</v>
          </cell>
          <cell r="AA2424">
            <v>1000</v>
          </cell>
        </row>
        <row r="2425">
          <cell r="A2425">
            <v>46230</v>
          </cell>
          <cell r="D2425" t="str">
            <v>LADY OF WISDOM</v>
          </cell>
          <cell r="E2425">
            <v>3</v>
          </cell>
          <cell r="H2425" t="str">
            <v>SAFISCOR</v>
          </cell>
          <cell r="N2425">
            <v>1000</v>
          </cell>
          <cell r="Y2425">
            <v>46231</v>
          </cell>
          <cell r="Z2425">
            <v>2</v>
          </cell>
          <cell r="AA2425">
            <v>1000</v>
          </cell>
        </row>
        <row r="2426">
          <cell r="A2426">
            <v>46230</v>
          </cell>
          <cell r="D2426" t="str">
            <v>LADY OF REMEDY</v>
          </cell>
          <cell r="E2426">
            <v>4</v>
          </cell>
          <cell r="H2426" t="str">
            <v>SAFISCOR</v>
          </cell>
          <cell r="N2426">
            <v>1000</v>
          </cell>
          <cell r="Y2426">
            <v>46231</v>
          </cell>
          <cell r="Z2426">
            <v>2</v>
          </cell>
          <cell r="AA2426">
            <v>1000</v>
          </cell>
        </row>
        <row r="2427">
          <cell r="A2427">
            <v>46230</v>
          </cell>
          <cell r="D2427" t="str">
            <v>EFG 7</v>
          </cell>
          <cell r="E2427">
            <v>3</v>
          </cell>
          <cell r="H2427" t="str">
            <v>APLUS</v>
          </cell>
          <cell r="N2427">
            <v>1000</v>
          </cell>
          <cell r="Y2427">
            <v>46230</v>
          </cell>
          <cell r="Z2427">
            <v>1</v>
          </cell>
          <cell r="AA2427">
            <v>1000</v>
          </cell>
        </row>
        <row r="2428">
          <cell r="A2428">
            <v>46230</v>
          </cell>
          <cell r="D2428" t="str">
            <v>STAR FREEDOM</v>
          </cell>
          <cell r="E2428">
            <v>6</v>
          </cell>
          <cell r="H2428" t="str">
            <v>LAPU-LAPU</v>
          </cell>
          <cell r="N2428">
            <v>1000</v>
          </cell>
          <cell r="Y2428">
            <v>46230</v>
          </cell>
          <cell r="Z2428">
            <v>2</v>
          </cell>
          <cell r="AA2428">
            <v>1000</v>
          </cell>
        </row>
        <row r="2429">
          <cell r="A2429">
            <v>46230</v>
          </cell>
          <cell r="D2429" t="str">
            <v>STAR FREEDOM</v>
          </cell>
          <cell r="E2429">
            <v>6</v>
          </cell>
          <cell r="H2429" t="str">
            <v>SAFISCOR</v>
          </cell>
          <cell r="N2429">
            <v>1000</v>
          </cell>
          <cell r="Y2429">
            <v>46230</v>
          </cell>
          <cell r="Z2429">
            <v>1</v>
          </cell>
          <cell r="AA2429">
            <v>1000</v>
          </cell>
        </row>
        <row r="2430">
          <cell r="A2430">
            <v>46230</v>
          </cell>
          <cell r="D2430" t="str">
            <v>LADY OF REMEDY</v>
          </cell>
          <cell r="E2430">
            <v>4</v>
          </cell>
          <cell r="H2430" t="str">
            <v>SAFISCOR</v>
          </cell>
          <cell r="N2430">
            <v>1000</v>
          </cell>
          <cell r="Y2430">
            <v>46231</v>
          </cell>
          <cell r="Z2430">
            <v>1</v>
          </cell>
          <cell r="AA2430">
            <v>1000</v>
          </cell>
        </row>
        <row r="2431">
          <cell r="A2431">
            <v>46230</v>
          </cell>
          <cell r="D2431" t="str">
            <v>EMERALD STAR</v>
          </cell>
          <cell r="E2431">
            <v>5</v>
          </cell>
          <cell r="H2431" t="str">
            <v>APLUS</v>
          </cell>
          <cell r="N2431">
            <v>1000</v>
          </cell>
          <cell r="Y2431">
            <v>46230</v>
          </cell>
          <cell r="Z2431">
            <v>1</v>
          </cell>
          <cell r="AA2431">
            <v>1000</v>
          </cell>
        </row>
        <row r="2432">
          <cell r="A2432">
            <v>46230</v>
          </cell>
          <cell r="D2432" t="str">
            <v>LADY OF WISDOM</v>
          </cell>
          <cell r="E2432">
            <v>3</v>
          </cell>
          <cell r="H2432" t="str">
            <v>SAFISCOR</v>
          </cell>
          <cell r="N2432">
            <v>1000</v>
          </cell>
          <cell r="Y2432">
            <v>46230</v>
          </cell>
          <cell r="Z2432">
            <v>2</v>
          </cell>
          <cell r="AA2432">
            <v>1000</v>
          </cell>
        </row>
        <row r="2433">
          <cell r="A2433">
            <v>46230</v>
          </cell>
          <cell r="D2433" t="str">
            <v>LADY OF WISDOM</v>
          </cell>
          <cell r="E2433">
            <v>3</v>
          </cell>
          <cell r="H2433" t="str">
            <v>SAFISCOR</v>
          </cell>
          <cell r="N2433">
            <v>1000</v>
          </cell>
          <cell r="Y2433">
            <v>46231</v>
          </cell>
          <cell r="Z2433">
            <v>1</v>
          </cell>
          <cell r="AA2433">
            <v>1000</v>
          </cell>
        </row>
        <row r="2434">
          <cell r="A2434">
            <v>46230</v>
          </cell>
          <cell r="D2434" t="str">
            <v>STAR FREEDOM</v>
          </cell>
          <cell r="E2434">
            <v>6</v>
          </cell>
          <cell r="H2434" t="str">
            <v>SAFISCOR</v>
          </cell>
          <cell r="N2434">
            <v>1000</v>
          </cell>
          <cell r="Y2434">
            <v>46230</v>
          </cell>
          <cell r="Z2434">
            <v>1</v>
          </cell>
          <cell r="AA2434">
            <v>1000</v>
          </cell>
        </row>
        <row r="2435">
          <cell r="A2435">
            <v>46230</v>
          </cell>
          <cell r="D2435" t="str">
            <v>LADY OF REMEDY</v>
          </cell>
          <cell r="E2435">
            <v>4</v>
          </cell>
          <cell r="H2435" t="str">
            <v>LAPU-LAPU</v>
          </cell>
          <cell r="N2435">
            <v>1000</v>
          </cell>
          <cell r="Y2435">
            <v>46230</v>
          </cell>
          <cell r="Z2435">
            <v>2</v>
          </cell>
          <cell r="AA2435">
            <v>1000</v>
          </cell>
        </row>
        <row r="2436">
          <cell r="A2436">
            <v>46230</v>
          </cell>
          <cell r="D2436" t="str">
            <v>EMERALD STAR</v>
          </cell>
          <cell r="E2436">
            <v>5</v>
          </cell>
          <cell r="H2436" t="str">
            <v>SAFISCOR</v>
          </cell>
          <cell r="N2436">
            <v>1000</v>
          </cell>
          <cell r="Y2436">
            <v>46230</v>
          </cell>
          <cell r="Z2436">
            <v>1</v>
          </cell>
          <cell r="AA2436">
            <v>1000</v>
          </cell>
        </row>
        <row r="2437">
          <cell r="A2437">
            <v>46230</v>
          </cell>
          <cell r="D2437" t="str">
            <v>LADY OF REMEDY</v>
          </cell>
          <cell r="E2437">
            <v>4</v>
          </cell>
          <cell r="H2437" t="str">
            <v>SAFISCOR</v>
          </cell>
          <cell r="N2437">
            <v>1000</v>
          </cell>
          <cell r="Y2437">
            <v>46230</v>
          </cell>
          <cell r="Z2437">
            <v>2</v>
          </cell>
          <cell r="AA2437">
            <v>1000</v>
          </cell>
        </row>
        <row r="2438">
          <cell r="A2438">
            <v>46230</v>
          </cell>
          <cell r="D2438" t="str">
            <v>LADY OF REMEDY</v>
          </cell>
          <cell r="E2438">
            <v>4</v>
          </cell>
          <cell r="H2438" t="str">
            <v>SAFISCOR</v>
          </cell>
          <cell r="N2438">
            <v>1000</v>
          </cell>
          <cell r="Y2438">
            <v>46230</v>
          </cell>
          <cell r="Z2438">
            <v>2</v>
          </cell>
          <cell r="AA2438">
            <v>1000</v>
          </cell>
        </row>
        <row r="2439">
          <cell r="A2439">
            <v>46230</v>
          </cell>
          <cell r="D2439" t="str">
            <v>LADY OF WISDOM</v>
          </cell>
          <cell r="E2439">
            <v>3</v>
          </cell>
          <cell r="H2439" t="str">
            <v>SAFISCOR</v>
          </cell>
          <cell r="N2439">
            <v>1000</v>
          </cell>
          <cell r="Y2439">
            <v>46230</v>
          </cell>
          <cell r="Z2439">
            <v>2</v>
          </cell>
          <cell r="AA2439">
            <v>1000</v>
          </cell>
        </row>
        <row r="2440">
          <cell r="A2440">
            <v>46230</v>
          </cell>
          <cell r="D2440" t="str">
            <v>LADY OF WISDOM</v>
          </cell>
          <cell r="E2440">
            <v>3</v>
          </cell>
          <cell r="H2440" t="str">
            <v>LAPU-LAPU</v>
          </cell>
          <cell r="N2440">
            <v>1000</v>
          </cell>
          <cell r="Y2440">
            <v>46230</v>
          </cell>
          <cell r="Z2440">
            <v>2</v>
          </cell>
          <cell r="AA2440">
            <v>1000</v>
          </cell>
        </row>
        <row r="2441">
          <cell r="A2441">
            <v>46230</v>
          </cell>
          <cell r="D2441" t="str">
            <v>LADY OF WISDOM</v>
          </cell>
          <cell r="E2441">
            <v>3</v>
          </cell>
          <cell r="H2441" t="str">
            <v>SAFISCOR</v>
          </cell>
          <cell r="N2441">
            <v>1000</v>
          </cell>
          <cell r="Y2441">
            <v>46231</v>
          </cell>
          <cell r="Z2441">
            <v>1</v>
          </cell>
          <cell r="AA2441">
            <v>1000</v>
          </cell>
        </row>
        <row r="2442">
          <cell r="A2442">
            <v>46230</v>
          </cell>
          <cell r="D2442" t="str">
            <v>LADY OF REMEDY</v>
          </cell>
          <cell r="E2442">
            <v>4</v>
          </cell>
          <cell r="H2442" t="str">
            <v>SAFISCOR</v>
          </cell>
          <cell r="N2442">
            <v>1000</v>
          </cell>
          <cell r="Y2442">
            <v>46230</v>
          </cell>
          <cell r="Z2442">
            <v>2</v>
          </cell>
          <cell r="AA2442">
            <v>1000</v>
          </cell>
        </row>
        <row r="2443">
          <cell r="A2443">
            <v>46230</v>
          </cell>
          <cell r="D2443" t="str">
            <v>EFG 7</v>
          </cell>
          <cell r="E2443">
            <v>3</v>
          </cell>
          <cell r="H2443" t="str">
            <v>BADIE</v>
          </cell>
          <cell r="N2443">
            <v>1000</v>
          </cell>
          <cell r="Y2443">
            <v>46230</v>
          </cell>
          <cell r="Z2443">
            <v>2</v>
          </cell>
          <cell r="AA2443">
            <v>1000</v>
          </cell>
        </row>
        <row r="2444">
          <cell r="A2444">
            <v>46230</v>
          </cell>
          <cell r="D2444" t="str">
            <v>LADY OF REMEDY</v>
          </cell>
          <cell r="E2444">
            <v>4</v>
          </cell>
          <cell r="H2444" t="str">
            <v>SAFISCOR</v>
          </cell>
          <cell r="N2444">
            <v>1000</v>
          </cell>
          <cell r="Y2444">
            <v>46230</v>
          </cell>
          <cell r="Z2444">
            <v>2</v>
          </cell>
          <cell r="AA2444">
            <v>1000</v>
          </cell>
        </row>
        <row r="2445">
          <cell r="A2445">
            <v>46230</v>
          </cell>
          <cell r="D2445" t="str">
            <v>LADY OF REMEDY</v>
          </cell>
          <cell r="E2445">
            <v>4</v>
          </cell>
          <cell r="H2445" t="str">
            <v>SAFISCOR</v>
          </cell>
          <cell r="N2445">
            <v>1000</v>
          </cell>
          <cell r="Y2445">
            <v>46231</v>
          </cell>
          <cell r="Z2445">
            <v>1</v>
          </cell>
          <cell r="AA2445">
            <v>1000</v>
          </cell>
        </row>
        <row r="2446">
          <cell r="A2446">
            <v>46230</v>
          </cell>
          <cell r="D2446" t="str">
            <v>LADY OF WISDOM</v>
          </cell>
          <cell r="E2446">
            <v>3</v>
          </cell>
          <cell r="H2446" t="str">
            <v>SAFISCOR</v>
          </cell>
          <cell r="N2446">
            <v>1000</v>
          </cell>
          <cell r="Y2446">
            <v>46230</v>
          </cell>
          <cell r="Z2446">
            <v>2</v>
          </cell>
          <cell r="AA2446">
            <v>1000</v>
          </cell>
        </row>
        <row r="2447">
          <cell r="A2447">
            <v>46230</v>
          </cell>
          <cell r="D2447" t="str">
            <v>LADY OF WISDOM</v>
          </cell>
          <cell r="E2447">
            <v>3</v>
          </cell>
          <cell r="H2447" t="str">
            <v>SAFISCOR</v>
          </cell>
          <cell r="N2447">
            <v>1000</v>
          </cell>
          <cell r="Y2447">
            <v>46231</v>
          </cell>
          <cell r="Z2447">
            <v>1</v>
          </cell>
          <cell r="AA2447">
            <v>1000</v>
          </cell>
        </row>
        <row r="2448">
          <cell r="A2448">
            <v>46230</v>
          </cell>
          <cell r="D2448" t="str">
            <v>LADY OF WISDOM</v>
          </cell>
          <cell r="E2448">
            <v>3</v>
          </cell>
          <cell r="H2448" t="str">
            <v>SAFISCOR</v>
          </cell>
          <cell r="N2448">
            <v>1000</v>
          </cell>
          <cell r="Y2448">
            <v>46231</v>
          </cell>
          <cell r="Z2448">
            <v>1</v>
          </cell>
          <cell r="AA2448">
            <v>1000</v>
          </cell>
        </row>
        <row r="2449">
          <cell r="A2449">
            <v>46230</v>
          </cell>
          <cell r="D2449" t="str">
            <v>LADY OF WISDOM</v>
          </cell>
          <cell r="E2449">
            <v>3</v>
          </cell>
          <cell r="H2449" t="str">
            <v>SAFISCOR</v>
          </cell>
          <cell r="N2449">
            <v>1000</v>
          </cell>
          <cell r="Y2449">
            <v>46231</v>
          </cell>
          <cell r="Z2449">
            <v>1</v>
          </cell>
          <cell r="AA2449">
            <v>1000</v>
          </cell>
        </row>
        <row r="2450">
          <cell r="A2450">
            <v>46230</v>
          </cell>
          <cell r="D2450" t="str">
            <v>LADY OF WISDOM</v>
          </cell>
          <cell r="E2450">
            <v>3</v>
          </cell>
          <cell r="H2450" t="str">
            <v>SAFISCOR</v>
          </cell>
          <cell r="N2450">
            <v>1000</v>
          </cell>
          <cell r="Y2450">
            <v>46231</v>
          </cell>
          <cell r="Z2450">
            <v>1</v>
          </cell>
          <cell r="AA2450">
            <v>1000</v>
          </cell>
        </row>
        <row r="2451">
          <cell r="A2451">
            <v>46230</v>
          </cell>
          <cell r="D2451" t="str">
            <v>LADY OF WISDOM</v>
          </cell>
          <cell r="E2451">
            <v>3</v>
          </cell>
          <cell r="H2451" t="str">
            <v>LAPU-LAPU</v>
          </cell>
          <cell r="N2451">
            <v>1000</v>
          </cell>
          <cell r="Y2451">
            <v>46230</v>
          </cell>
          <cell r="Z2451">
            <v>2</v>
          </cell>
          <cell r="AA2451">
            <v>1000</v>
          </cell>
        </row>
        <row r="2452">
          <cell r="A2452">
            <v>46230</v>
          </cell>
          <cell r="D2452" t="str">
            <v>EMERALD STAR</v>
          </cell>
          <cell r="E2452">
            <v>5</v>
          </cell>
          <cell r="H2452" t="str">
            <v>APLUS</v>
          </cell>
          <cell r="N2452">
            <v>1000</v>
          </cell>
          <cell r="Y2452">
            <v>46230</v>
          </cell>
          <cell r="Z2452">
            <v>2</v>
          </cell>
          <cell r="AA2452">
            <v>1000</v>
          </cell>
        </row>
        <row r="2453">
          <cell r="A2453">
            <v>46230</v>
          </cell>
          <cell r="D2453" t="str">
            <v>LADY OF WISDOM</v>
          </cell>
          <cell r="E2453">
            <v>3</v>
          </cell>
          <cell r="H2453" t="str">
            <v>LAPU-LAPU</v>
          </cell>
          <cell r="N2453">
            <v>1000</v>
          </cell>
          <cell r="Y2453">
            <v>46230</v>
          </cell>
          <cell r="Z2453">
            <v>2</v>
          </cell>
          <cell r="AA2453">
            <v>1000</v>
          </cell>
        </row>
        <row r="2454">
          <cell r="A2454">
            <v>46230</v>
          </cell>
          <cell r="D2454" t="str">
            <v>LADY OF REMEDY</v>
          </cell>
          <cell r="E2454">
            <v>4</v>
          </cell>
          <cell r="H2454" t="str">
            <v>LAPU-LAPU</v>
          </cell>
          <cell r="N2454">
            <v>1000</v>
          </cell>
          <cell r="Y2454">
            <v>46230</v>
          </cell>
          <cell r="Z2454">
            <v>2</v>
          </cell>
          <cell r="AA2454">
            <v>1000</v>
          </cell>
        </row>
        <row r="2455">
          <cell r="A2455">
            <v>46230</v>
          </cell>
          <cell r="D2455" t="str">
            <v>LADY OF REMEDY</v>
          </cell>
          <cell r="E2455">
            <v>4</v>
          </cell>
          <cell r="H2455" t="str">
            <v>LAPU-LAPU</v>
          </cell>
          <cell r="N2455">
            <v>1000</v>
          </cell>
          <cell r="Y2455">
            <v>46230</v>
          </cell>
          <cell r="Z2455">
            <v>2</v>
          </cell>
          <cell r="AA2455">
            <v>1000</v>
          </cell>
        </row>
        <row r="2456">
          <cell r="A2456">
            <v>46230</v>
          </cell>
          <cell r="D2456" t="str">
            <v>LADY OF REMEDY</v>
          </cell>
          <cell r="E2456">
            <v>4</v>
          </cell>
          <cell r="H2456" t="str">
            <v>SAFISCOR</v>
          </cell>
          <cell r="N2456">
            <v>1000</v>
          </cell>
          <cell r="Y2456">
            <v>46231</v>
          </cell>
          <cell r="Z2456">
            <v>1</v>
          </cell>
          <cell r="AA2456">
            <v>1000</v>
          </cell>
        </row>
        <row r="2457">
          <cell r="A2457">
            <v>46230</v>
          </cell>
          <cell r="D2457" t="str">
            <v>LADY OF REMEDY</v>
          </cell>
          <cell r="E2457">
            <v>4</v>
          </cell>
          <cell r="H2457" t="str">
            <v>GEO</v>
          </cell>
          <cell r="N2457">
            <v>1000</v>
          </cell>
          <cell r="Y2457">
            <v>46230</v>
          </cell>
          <cell r="Z2457">
            <v>2</v>
          </cell>
          <cell r="AA2457">
            <v>1000</v>
          </cell>
        </row>
        <row r="2458">
          <cell r="A2458">
            <v>46230</v>
          </cell>
          <cell r="D2458" t="str">
            <v>LADY OF REMEDY</v>
          </cell>
          <cell r="E2458">
            <v>4</v>
          </cell>
          <cell r="H2458" t="str">
            <v>GEO</v>
          </cell>
          <cell r="N2458">
            <v>1000</v>
          </cell>
          <cell r="Y2458">
            <v>46230</v>
          </cell>
          <cell r="Z2458">
            <v>2</v>
          </cell>
          <cell r="AA2458">
            <v>1000</v>
          </cell>
        </row>
        <row r="2459">
          <cell r="A2459">
            <v>46230</v>
          </cell>
          <cell r="D2459" t="str">
            <v>EFG 7</v>
          </cell>
          <cell r="E2459">
            <v>3</v>
          </cell>
          <cell r="H2459" t="str">
            <v>LAPU-LAPU</v>
          </cell>
          <cell r="N2459">
            <v>1000</v>
          </cell>
          <cell r="Y2459">
            <v>46230</v>
          </cell>
          <cell r="Z2459">
            <v>2</v>
          </cell>
          <cell r="AA2459">
            <v>1000</v>
          </cell>
        </row>
        <row r="2460">
          <cell r="A2460">
            <v>46230</v>
          </cell>
          <cell r="D2460" t="str">
            <v>ADOLFO SR</v>
          </cell>
          <cell r="E2460">
            <v>5</v>
          </cell>
          <cell r="H2460" t="str">
            <v>SAFISCOR</v>
          </cell>
          <cell r="N2460">
            <v>700</v>
          </cell>
          <cell r="Y2460">
            <v>46230</v>
          </cell>
          <cell r="Z2460">
            <v>2</v>
          </cell>
          <cell r="AA2460">
            <v>700</v>
          </cell>
        </row>
        <row r="2461">
          <cell r="A2461">
            <v>46230</v>
          </cell>
          <cell r="D2461" t="str">
            <v>ADOLFO SR</v>
          </cell>
          <cell r="E2461">
            <v>5</v>
          </cell>
          <cell r="H2461" t="str">
            <v>SAFISCOR</v>
          </cell>
          <cell r="N2461">
            <v>300</v>
          </cell>
          <cell r="Y2461">
            <v>46230</v>
          </cell>
          <cell r="Z2461">
            <v>2</v>
          </cell>
          <cell r="AA2461">
            <v>300</v>
          </cell>
        </row>
        <row r="2462">
          <cell r="A2462">
            <v>46230</v>
          </cell>
          <cell r="D2462" t="str">
            <v>ADOLFO SR</v>
          </cell>
          <cell r="E2462">
            <v>5</v>
          </cell>
          <cell r="H2462" t="str">
            <v>LAPU-LAPU</v>
          </cell>
          <cell r="N2462">
            <v>1000</v>
          </cell>
          <cell r="Y2462">
            <v>46230</v>
          </cell>
          <cell r="Z2462">
            <v>2</v>
          </cell>
          <cell r="AA2462">
            <v>1000</v>
          </cell>
        </row>
        <row r="2463">
          <cell r="A2463">
            <v>46230</v>
          </cell>
          <cell r="D2463" t="str">
            <v>EMERALD STAR</v>
          </cell>
          <cell r="E2463">
            <v>5</v>
          </cell>
          <cell r="H2463" t="str">
            <v>BADIE</v>
          </cell>
          <cell r="N2463">
            <v>1000</v>
          </cell>
          <cell r="Y2463">
            <v>46230</v>
          </cell>
          <cell r="Z2463">
            <v>2</v>
          </cell>
          <cell r="AA2463">
            <v>1000</v>
          </cell>
        </row>
        <row r="2464">
          <cell r="A2464">
            <v>46230</v>
          </cell>
          <cell r="D2464" t="str">
            <v>ADOLFO SR</v>
          </cell>
          <cell r="E2464">
            <v>5</v>
          </cell>
          <cell r="H2464" t="str">
            <v>SAFISCOR</v>
          </cell>
          <cell r="N2464">
            <v>500</v>
          </cell>
          <cell r="Y2464">
            <v>46230</v>
          </cell>
          <cell r="Z2464">
            <v>2</v>
          </cell>
          <cell r="AA2464">
            <v>500</v>
          </cell>
        </row>
        <row r="2465">
          <cell r="A2465">
            <v>46230</v>
          </cell>
          <cell r="D2465" t="str">
            <v>LADY OF REMEDY</v>
          </cell>
          <cell r="E2465">
            <v>4</v>
          </cell>
          <cell r="H2465" t="str">
            <v>SAFISCOR</v>
          </cell>
          <cell r="N2465">
            <v>500</v>
          </cell>
          <cell r="Y2465">
            <v>46231</v>
          </cell>
          <cell r="Z2465">
            <v>1</v>
          </cell>
          <cell r="AA2465">
            <v>500</v>
          </cell>
        </row>
        <row r="2466">
          <cell r="A2466">
            <v>46230</v>
          </cell>
          <cell r="D2466" t="str">
            <v>EFG 7</v>
          </cell>
          <cell r="E2466">
            <v>3</v>
          </cell>
          <cell r="H2466" t="str">
            <v>LAPU-LAPU</v>
          </cell>
          <cell r="N2466">
            <v>1000</v>
          </cell>
          <cell r="Y2466">
            <v>46230</v>
          </cell>
          <cell r="Z2466">
            <v>2</v>
          </cell>
          <cell r="AA2466">
            <v>1000</v>
          </cell>
        </row>
        <row r="2467">
          <cell r="A2467">
            <v>46230</v>
          </cell>
          <cell r="D2467" t="str">
            <v>LADY OF REMEDY</v>
          </cell>
          <cell r="E2467">
            <v>4</v>
          </cell>
          <cell r="H2467" t="str">
            <v>SAFISCOR</v>
          </cell>
          <cell r="N2467">
            <v>1000</v>
          </cell>
          <cell r="Y2467">
            <v>46230</v>
          </cell>
          <cell r="Z2467">
            <v>2</v>
          </cell>
          <cell r="AA2467">
            <v>1000</v>
          </cell>
        </row>
        <row r="2468">
          <cell r="A2468">
            <v>46230</v>
          </cell>
          <cell r="D2468" t="str">
            <v>LADY OF WISDOM</v>
          </cell>
          <cell r="E2468">
            <v>3</v>
          </cell>
          <cell r="H2468" t="str">
            <v>SAFISCOR</v>
          </cell>
          <cell r="N2468">
            <v>1000</v>
          </cell>
          <cell r="Y2468">
            <v>46231</v>
          </cell>
          <cell r="Z2468">
            <v>1</v>
          </cell>
          <cell r="AA2468">
            <v>1000</v>
          </cell>
        </row>
        <row r="2469">
          <cell r="A2469">
            <v>46230</v>
          </cell>
          <cell r="D2469" t="str">
            <v>EFG 7</v>
          </cell>
          <cell r="E2469">
            <v>3</v>
          </cell>
          <cell r="H2469" t="str">
            <v>GEO</v>
          </cell>
          <cell r="N2469">
            <v>1000</v>
          </cell>
          <cell r="Y2469">
            <v>46230</v>
          </cell>
          <cell r="Z2469">
            <v>2</v>
          </cell>
          <cell r="AA2469">
            <v>1000</v>
          </cell>
        </row>
        <row r="2470">
          <cell r="A2470">
            <v>46230</v>
          </cell>
          <cell r="D2470" t="str">
            <v>LADY OF REMEDY</v>
          </cell>
          <cell r="E2470">
            <v>4</v>
          </cell>
          <cell r="H2470" t="str">
            <v>SAFISCOR</v>
          </cell>
          <cell r="N2470">
            <v>1000</v>
          </cell>
          <cell r="Y2470">
            <v>46230</v>
          </cell>
          <cell r="Z2470">
            <v>2</v>
          </cell>
          <cell r="AA2470">
            <v>1000</v>
          </cell>
        </row>
        <row r="2471">
          <cell r="A2471">
            <v>46230</v>
          </cell>
          <cell r="D2471" t="str">
            <v>LADY UNO</v>
          </cell>
          <cell r="E2471">
            <v>1</v>
          </cell>
          <cell r="H2471" t="str">
            <v>SAFISCOR</v>
          </cell>
          <cell r="N2471">
            <v>1000</v>
          </cell>
          <cell r="Y2471">
            <v>46231</v>
          </cell>
          <cell r="Z2471">
            <v>1</v>
          </cell>
          <cell r="AA2471">
            <v>1000</v>
          </cell>
        </row>
        <row r="2472">
          <cell r="A2472">
            <v>46230</v>
          </cell>
          <cell r="D2472" t="str">
            <v>EASTERN CEBU</v>
          </cell>
          <cell r="E2472">
            <v>5</v>
          </cell>
          <cell r="H2472" t="str">
            <v>SAFISCOR</v>
          </cell>
          <cell r="N2472">
            <v>1000</v>
          </cell>
          <cell r="Y2472">
            <v>46231</v>
          </cell>
          <cell r="Z2472">
            <v>1</v>
          </cell>
          <cell r="AA2472">
            <v>1000</v>
          </cell>
        </row>
        <row r="2473">
          <cell r="A2473">
            <v>46230</v>
          </cell>
          <cell r="D2473" t="str">
            <v>LADY OF REMEDY</v>
          </cell>
          <cell r="E2473">
            <v>4</v>
          </cell>
          <cell r="H2473" t="str">
            <v>SAFISCOR</v>
          </cell>
          <cell r="N2473">
            <v>1000</v>
          </cell>
          <cell r="Y2473">
            <v>46231</v>
          </cell>
          <cell r="Z2473">
            <v>1</v>
          </cell>
          <cell r="AA2473">
            <v>1000</v>
          </cell>
        </row>
        <row r="2474">
          <cell r="A2474">
            <v>46230</v>
          </cell>
          <cell r="D2474" t="str">
            <v>LADY OF REMEDY</v>
          </cell>
          <cell r="E2474">
            <v>4</v>
          </cell>
          <cell r="H2474" t="str">
            <v>LAPU-LAPU</v>
          </cell>
          <cell r="N2474">
            <v>1000</v>
          </cell>
          <cell r="Y2474">
            <v>46231</v>
          </cell>
          <cell r="Z2474">
            <v>2</v>
          </cell>
          <cell r="AA2474">
            <v>1000</v>
          </cell>
        </row>
        <row r="2475">
          <cell r="A2475">
            <v>46230</v>
          </cell>
          <cell r="D2475" t="str">
            <v>EFG 7</v>
          </cell>
          <cell r="E2475">
            <v>3</v>
          </cell>
          <cell r="H2475" t="str">
            <v>SAFISCOR</v>
          </cell>
          <cell r="N2475">
            <v>1000</v>
          </cell>
          <cell r="Y2475">
            <v>46230</v>
          </cell>
          <cell r="Z2475">
            <v>2</v>
          </cell>
          <cell r="AA2475">
            <v>1000</v>
          </cell>
        </row>
        <row r="2476">
          <cell r="A2476">
            <v>46230</v>
          </cell>
          <cell r="D2476" t="str">
            <v>EASTERN CEBU</v>
          </cell>
          <cell r="E2476">
            <v>5</v>
          </cell>
          <cell r="H2476" t="str">
            <v>SAFISCOR</v>
          </cell>
          <cell r="N2476">
            <v>1000</v>
          </cell>
          <cell r="Y2476">
            <v>46231</v>
          </cell>
          <cell r="Z2476">
            <v>2</v>
          </cell>
          <cell r="AA2476">
            <v>1000</v>
          </cell>
        </row>
        <row r="2477">
          <cell r="A2477">
            <v>46230</v>
          </cell>
          <cell r="D2477" t="str">
            <v>EMERALD STAR</v>
          </cell>
          <cell r="E2477">
            <v>5</v>
          </cell>
          <cell r="H2477" t="str">
            <v>SAFISCOR</v>
          </cell>
          <cell r="N2477">
            <v>1000</v>
          </cell>
          <cell r="Y2477">
            <v>46230</v>
          </cell>
          <cell r="Z2477">
            <v>2</v>
          </cell>
          <cell r="AA2477">
            <v>1000</v>
          </cell>
        </row>
        <row r="2478">
          <cell r="A2478">
            <v>46230</v>
          </cell>
          <cell r="D2478" t="str">
            <v>EASTERN CEBU</v>
          </cell>
          <cell r="E2478">
            <v>5</v>
          </cell>
          <cell r="H2478" t="str">
            <v>LAPU-LAPU</v>
          </cell>
          <cell r="N2478">
            <v>1000</v>
          </cell>
          <cell r="Y2478">
            <v>46231</v>
          </cell>
          <cell r="Z2478">
            <v>1</v>
          </cell>
          <cell r="AA2478">
            <v>1000</v>
          </cell>
        </row>
        <row r="2479">
          <cell r="A2479">
            <v>46230</v>
          </cell>
          <cell r="D2479" t="str">
            <v>LADY OF REMEDY</v>
          </cell>
          <cell r="E2479">
            <v>4</v>
          </cell>
          <cell r="H2479" t="str">
            <v>SAFISCOR</v>
          </cell>
          <cell r="N2479">
            <v>1000</v>
          </cell>
          <cell r="Y2479">
            <v>46231</v>
          </cell>
          <cell r="Z2479">
            <v>2</v>
          </cell>
          <cell r="AA2479">
            <v>1000</v>
          </cell>
        </row>
        <row r="2480">
          <cell r="A2480">
            <v>46230</v>
          </cell>
          <cell r="D2480" t="str">
            <v>LADY OF REMEDY</v>
          </cell>
          <cell r="E2480">
            <v>4</v>
          </cell>
          <cell r="H2480" t="str">
            <v>SAFISCOR</v>
          </cell>
          <cell r="N2480">
            <v>1000</v>
          </cell>
          <cell r="Y2480">
            <v>46231</v>
          </cell>
          <cell r="Z2480">
            <v>2</v>
          </cell>
          <cell r="AA2480">
            <v>1000</v>
          </cell>
        </row>
        <row r="2481">
          <cell r="A2481">
            <v>46230</v>
          </cell>
          <cell r="D2481" t="str">
            <v>LADY OF REMEDY</v>
          </cell>
          <cell r="E2481">
            <v>4</v>
          </cell>
          <cell r="H2481" t="str">
            <v>LAPU-LAPU</v>
          </cell>
          <cell r="N2481">
            <v>1000</v>
          </cell>
          <cell r="Y2481">
            <v>46231</v>
          </cell>
          <cell r="Z2481">
            <v>2</v>
          </cell>
          <cell r="AA2481">
            <v>1000</v>
          </cell>
        </row>
        <row r="2482">
          <cell r="A2482">
            <v>46231</v>
          </cell>
          <cell r="D2482" t="str">
            <v>LADY OF REMEDY</v>
          </cell>
          <cell r="E2482">
            <v>4</v>
          </cell>
          <cell r="H2482" t="str">
            <v>SAFISCOR</v>
          </cell>
          <cell r="N2482">
            <v>1000</v>
          </cell>
          <cell r="Y2482">
            <v>46231</v>
          </cell>
          <cell r="Z2482">
            <v>2</v>
          </cell>
          <cell r="AA2482">
            <v>1000</v>
          </cell>
        </row>
        <row r="2483">
          <cell r="A2483">
            <v>46231</v>
          </cell>
          <cell r="D2483" t="str">
            <v>LADY UNO</v>
          </cell>
          <cell r="E2483">
            <v>1</v>
          </cell>
          <cell r="H2483" t="str">
            <v>LAPU-LAPU</v>
          </cell>
          <cell r="N2483">
            <v>1000</v>
          </cell>
          <cell r="Y2483">
            <v>46231</v>
          </cell>
          <cell r="Z2483">
            <v>2</v>
          </cell>
          <cell r="AA2483">
            <v>1000</v>
          </cell>
        </row>
        <row r="2484">
          <cell r="A2484">
            <v>46231</v>
          </cell>
          <cell r="D2484" t="str">
            <v>EASTERN CEBU</v>
          </cell>
          <cell r="E2484">
            <v>5</v>
          </cell>
          <cell r="H2484" t="str">
            <v>SAFISCOR</v>
          </cell>
          <cell r="N2484">
            <v>1000</v>
          </cell>
          <cell r="Y2484">
            <v>46231</v>
          </cell>
          <cell r="Z2484">
            <v>2</v>
          </cell>
          <cell r="AA2484">
            <v>1000</v>
          </cell>
        </row>
        <row r="2485">
          <cell r="A2485">
            <v>46231</v>
          </cell>
          <cell r="D2485" t="str">
            <v>EMERALD STAR</v>
          </cell>
          <cell r="E2485">
            <v>5</v>
          </cell>
          <cell r="H2485" t="str">
            <v>APLUS</v>
          </cell>
          <cell r="N2485">
            <v>1000</v>
          </cell>
          <cell r="Y2485">
            <v>46231</v>
          </cell>
          <cell r="Z2485">
            <v>1</v>
          </cell>
          <cell r="AA2485">
            <v>1000</v>
          </cell>
        </row>
        <row r="2486">
          <cell r="A2486">
            <v>46231</v>
          </cell>
          <cell r="D2486" t="str">
            <v>EFG 7</v>
          </cell>
          <cell r="E2486">
            <v>3</v>
          </cell>
          <cell r="H2486" t="str">
            <v>BADIE</v>
          </cell>
          <cell r="N2486">
            <v>1000</v>
          </cell>
          <cell r="Y2486">
            <v>46231</v>
          </cell>
          <cell r="Z2486">
            <v>1</v>
          </cell>
          <cell r="AA2486">
            <v>1000</v>
          </cell>
        </row>
        <row r="2487">
          <cell r="A2487">
            <v>46231</v>
          </cell>
          <cell r="D2487" t="str">
            <v>EFG 7</v>
          </cell>
          <cell r="E2487">
            <v>3</v>
          </cell>
          <cell r="H2487" t="str">
            <v>SAFISCOR</v>
          </cell>
          <cell r="N2487">
            <v>1000</v>
          </cell>
          <cell r="Y2487">
            <v>46231</v>
          </cell>
          <cell r="Z2487">
            <v>2</v>
          </cell>
          <cell r="AA2487">
            <v>1000</v>
          </cell>
        </row>
        <row r="2488">
          <cell r="A2488">
            <v>46231</v>
          </cell>
          <cell r="D2488" t="str">
            <v>EASTERN CEBU</v>
          </cell>
          <cell r="E2488">
            <v>5</v>
          </cell>
          <cell r="H2488" t="str">
            <v>FULACHE</v>
          </cell>
          <cell r="N2488">
            <v>1000</v>
          </cell>
          <cell r="Y2488">
            <v>46231</v>
          </cell>
          <cell r="Z2488">
            <v>1</v>
          </cell>
          <cell r="AA2488">
            <v>1000</v>
          </cell>
        </row>
        <row r="2489">
          <cell r="A2489">
            <v>46231</v>
          </cell>
          <cell r="D2489" t="str">
            <v>EFG 7</v>
          </cell>
          <cell r="E2489">
            <v>3</v>
          </cell>
          <cell r="H2489" t="str">
            <v>GEO</v>
          </cell>
          <cell r="N2489">
            <v>1000</v>
          </cell>
          <cell r="Y2489">
            <v>46231</v>
          </cell>
          <cell r="Z2489">
            <v>2</v>
          </cell>
          <cell r="AA2489">
            <v>1000</v>
          </cell>
        </row>
        <row r="2490">
          <cell r="A2490">
            <v>46231</v>
          </cell>
          <cell r="D2490" t="str">
            <v>LADY OF REMEDY</v>
          </cell>
          <cell r="E2490">
            <v>4</v>
          </cell>
          <cell r="H2490" t="str">
            <v>SAFISCOR</v>
          </cell>
          <cell r="N2490">
            <v>500</v>
          </cell>
          <cell r="Y2490">
            <v>46231</v>
          </cell>
          <cell r="Z2490">
            <v>2</v>
          </cell>
          <cell r="AA2490">
            <v>500</v>
          </cell>
        </row>
        <row r="2491">
          <cell r="A2491">
            <v>46231</v>
          </cell>
          <cell r="D2491" t="str">
            <v>EASTERN CEBU</v>
          </cell>
          <cell r="E2491">
            <v>5</v>
          </cell>
          <cell r="H2491" t="str">
            <v>SAFISCOR</v>
          </cell>
          <cell r="N2491">
            <v>500</v>
          </cell>
          <cell r="Y2491">
            <v>46231</v>
          </cell>
          <cell r="Z2491">
            <v>2</v>
          </cell>
          <cell r="AA2491">
            <v>500</v>
          </cell>
        </row>
        <row r="2492">
          <cell r="A2492">
            <v>46231</v>
          </cell>
          <cell r="D2492" t="str">
            <v>EFG 7</v>
          </cell>
          <cell r="E2492">
            <v>3</v>
          </cell>
          <cell r="H2492" t="str">
            <v>SAFISCOR</v>
          </cell>
          <cell r="N2492">
            <v>1000</v>
          </cell>
          <cell r="Y2492">
            <v>46231</v>
          </cell>
          <cell r="Z2492">
            <v>1</v>
          </cell>
          <cell r="AA2492">
            <v>1000</v>
          </cell>
        </row>
        <row r="2493">
          <cell r="A2493">
            <v>46231</v>
          </cell>
          <cell r="D2493" t="str">
            <v>EASTERN CEBU</v>
          </cell>
          <cell r="E2493">
            <v>5</v>
          </cell>
          <cell r="H2493" t="str">
            <v>SAFISCOR</v>
          </cell>
          <cell r="N2493">
            <v>1000</v>
          </cell>
          <cell r="Y2493">
            <v>46232</v>
          </cell>
          <cell r="Z2493">
            <v>1</v>
          </cell>
          <cell r="AA2493">
            <v>1000</v>
          </cell>
        </row>
        <row r="2494">
          <cell r="A2494">
            <v>46231</v>
          </cell>
          <cell r="D2494" t="str">
            <v>EASTERN CEBU</v>
          </cell>
          <cell r="E2494">
            <v>5</v>
          </cell>
          <cell r="H2494" t="str">
            <v>GEO</v>
          </cell>
          <cell r="N2494">
            <v>500</v>
          </cell>
          <cell r="Y2494">
            <v>46231</v>
          </cell>
          <cell r="Z2494">
            <v>1</v>
          </cell>
          <cell r="AA2494">
            <v>500</v>
          </cell>
        </row>
        <row r="2495">
          <cell r="A2495">
            <v>46231</v>
          </cell>
          <cell r="D2495" t="str">
            <v>EMERALD STAR</v>
          </cell>
          <cell r="E2495">
            <v>5</v>
          </cell>
          <cell r="H2495" t="str">
            <v>GEO</v>
          </cell>
          <cell r="N2495">
            <v>500</v>
          </cell>
          <cell r="Y2495">
            <v>46231</v>
          </cell>
          <cell r="Z2495">
            <v>1</v>
          </cell>
          <cell r="AA2495">
            <v>500</v>
          </cell>
        </row>
        <row r="2496">
          <cell r="A2496">
            <v>46231</v>
          </cell>
          <cell r="D2496" t="str">
            <v>EASTERN CEBU</v>
          </cell>
          <cell r="E2496">
            <v>5</v>
          </cell>
          <cell r="H2496" t="str">
            <v>SAFISCOR</v>
          </cell>
          <cell r="N2496">
            <v>1000</v>
          </cell>
          <cell r="Y2496">
            <v>46231</v>
          </cell>
          <cell r="Z2496">
            <v>2</v>
          </cell>
          <cell r="AA2496">
            <v>1000</v>
          </cell>
        </row>
        <row r="2497">
          <cell r="A2497">
            <v>46231</v>
          </cell>
          <cell r="D2497" t="str">
            <v>LADY UNO</v>
          </cell>
          <cell r="E2497">
            <v>1</v>
          </cell>
          <cell r="H2497" t="str">
            <v>SAFISCOR</v>
          </cell>
          <cell r="N2497">
            <v>1000</v>
          </cell>
          <cell r="Y2497">
            <v>46231</v>
          </cell>
          <cell r="Z2497">
            <v>1</v>
          </cell>
          <cell r="AA2497">
            <v>1000</v>
          </cell>
        </row>
        <row r="2498">
          <cell r="A2498">
            <v>46231</v>
          </cell>
          <cell r="D2498" t="str">
            <v>EFG 7</v>
          </cell>
          <cell r="E2498">
            <v>3</v>
          </cell>
          <cell r="H2498" t="str">
            <v>LAPU-LAPU</v>
          </cell>
          <cell r="N2498">
            <v>800</v>
          </cell>
          <cell r="Y2498">
            <v>46231</v>
          </cell>
          <cell r="Z2498">
            <v>2</v>
          </cell>
          <cell r="AA2498">
            <v>800</v>
          </cell>
        </row>
        <row r="2499">
          <cell r="A2499">
            <v>46231</v>
          </cell>
          <cell r="D2499" t="str">
            <v>LADY UNO</v>
          </cell>
          <cell r="E2499">
            <v>1</v>
          </cell>
          <cell r="H2499" t="str">
            <v>SAFISCOR</v>
          </cell>
          <cell r="N2499">
            <v>1000</v>
          </cell>
          <cell r="Y2499">
            <v>46231</v>
          </cell>
          <cell r="Z2499">
            <v>2</v>
          </cell>
          <cell r="AA2499">
            <v>1000</v>
          </cell>
        </row>
        <row r="2500">
          <cell r="A2500">
            <v>46231</v>
          </cell>
          <cell r="D2500" t="str">
            <v>LADY UNO</v>
          </cell>
          <cell r="E2500">
            <v>1</v>
          </cell>
          <cell r="H2500" t="str">
            <v>SAFISCOR</v>
          </cell>
          <cell r="N2500">
            <v>1000</v>
          </cell>
          <cell r="Y2500">
            <v>46231</v>
          </cell>
          <cell r="Z2500">
            <v>2</v>
          </cell>
          <cell r="AA2500">
            <v>1000</v>
          </cell>
        </row>
        <row r="2501">
          <cell r="A2501">
            <v>46231</v>
          </cell>
          <cell r="D2501" t="str">
            <v>LADY UNO</v>
          </cell>
          <cell r="E2501">
            <v>1</v>
          </cell>
          <cell r="H2501" t="str">
            <v>LAPU-LAPU</v>
          </cell>
          <cell r="N2501">
            <v>1000</v>
          </cell>
          <cell r="Y2501">
            <v>46231</v>
          </cell>
          <cell r="Z2501">
            <v>2</v>
          </cell>
          <cell r="AA2501">
            <v>1000</v>
          </cell>
        </row>
        <row r="2502">
          <cell r="A2502">
            <v>46231</v>
          </cell>
          <cell r="D2502" t="str">
            <v>EASTERN CEBU</v>
          </cell>
          <cell r="E2502">
            <v>5</v>
          </cell>
          <cell r="H2502" t="str">
            <v>GEO</v>
          </cell>
          <cell r="N2502">
            <v>1000</v>
          </cell>
          <cell r="Y2502">
            <v>46231</v>
          </cell>
          <cell r="Z2502">
            <v>2</v>
          </cell>
          <cell r="AA2502">
            <v>1000</v>
          </cell>
        </row>
        <row r="2503">
          <cell r="A2503">
            <v>46231</v>
          </cell>
          <cell r="D2503" t="str">
            <v>EASTERN CEBU</v>
          </cell>
          <cell r="E2503">
            <v>5</v>
          </cell>
          <cell r="H2503" t="str">
            <v>LAPU-LAPU</v>
          </cell>
          <cell r="N2503">
            <v>200</v>
          </cell>
          <cell r="Y2503">
            <v>46232</v>
          </cell>
          <cell r="Z2503">
            <v>1</v>
          </cell>
          <cell r="AA2503">
            <v>200</v>
          </cell>
        </row>
        <row r="2504">
          <cell r="A2504">
            <v>46231</v>
          </cell>
          <cell r="D2504" t="str">
            <v>EASTERN CEBU</v>
          </cell>
          <cell r="E2504">
            <v>5</v>
          </cell>
          <cell r="H2504" t="str">
            <v>LAPU-LAPU</v>
          </cell>
          <cell r="N2504">
            <v>1000</v>
          </cell>
          <cell r="Y2504">
            <v>46231</v>
          </cell>
          <cell r="Z2504">
            <v>2</v>
          </cell>
          <cell r="AA2504">
            <v>1000</v>
          </cell>
        </row>
        <row r="2505">
          <cell r="A2505">
            <v>46231</v>
          </cell>
          <cell r="D2505" t="str">
            <v>EASTERN CEBU</v>
          </cell>
          <cell r="E2505">
            <v>5</v>
          </cell>
          <cell r="H2505" t="str">
            <v>SAFISCOR</v>
          </cell>
          <cell r="N2505">
            <v>1000</v>
          </cell>
          <cell r="Y2505">
            <v>46232</v>
          </cell>
          <cell r="Z2505">
            <v>1</v>
          </cell>
          <cell r="AA2505">
            <v>1000</v>
          </cell>
        </row>
        <row r="2506">
          <cell r="A2506">
            <v>46231</v>
          </cell>
          <cell r="D2506" t="str">
            <v>EASTERN CEBU</v>
          </cell>
          <cell r="E2506">
            <v>5</v>
          </cell>
          <cell r="H2506" t="str">
            <v>SAFISCOR</v>
          </cell>
          <cell r="N2506">
            <v>1000</v>
          </cell>
          <cell r="Y2506">
            <v>46232</v>
          </cell>
          <cell r="Z2506">
            <v>1</v>
          </cell>
          <cell r="AA2506">
            <v>1000</v>
          </cell>
        </row>
        <row r="2507">
          <cell r="A2507">
            <v>46231</v>
          </cell>
          <cell r="D2507" t="str">
            <v>LADY OF WISDOM</v>
          </cell>
          <cell r="E2507">
            <v>3</v>
          </cell>
          <cell r="H2507" t="str">
            <v>SAFISCOR</v>
          </cell>
          <cell r="N2507">
            <v>1000</v>
          </cell>
          <cell r="Y2507">
            <v>46231</v>
          </cell>
          <cell r="Z2507">
            <v>2</v>
          </cell>
          <cell r="AA2507">
            <v>1000</v>
          </cell>
        </row>
        <row r="2508">
          <cell r="A2508">
            <v>46231</v>
          </cell>
          <cell r="D2508" t="str">
            <v>EASTERN CEBU</v>
          </cell>
          <cell r="E2508">
            <v>5</v>
          </cell>
          <cell r="H2508" t="str">
            <v>SAFISCOR</v>
          </cell>
          <cell r="N2508">
            <v>1000</v>
          </cell>
          <cell r="Y2508">
            <v>46232</v>
          </cell>
          <cell r="Z2508">
            <v>1</v>
          </cell>
          <cell r="AA2508">
            <v>1000</v>
          </cell>
        </row>
        <row r="2509">
          <cell r="A2509">
            <v>46231</v>
          </cell>
          <cell r="D2509" t="str">
            <v>LADY OF WISDOM</v>
          </cell>
          <cell r="E2509">
            <v>3</v>
          </cell>
          <cell r="H2509" t="str">
            <v>SAFISCOR</v>
          </cell>
          <cell r="N2509">
            <v>1000</v>
          </cell>
          <cell r="Y2509">
            <v>46231</v>
          </cell>
          <cell r="Z2509">
            <v>2</v>
          </cell>
          <cell r="AA2509">
            <v>1000</v>
          </cell>
        </row>
        <row r="2510">
          <cell r="A2510">
            <v>46231</v>
          </cell>
          <cell r="D2510" t="str">
            <v>EASTERN CEBU</v>
          </cell>
          <cell r="E2510">
            <v>5</v>
          </cell>
          <cell r="H2510" t="str">
            <v>GEO</v>
          </cell>
          <cell r="N2510">
            <v>1000</v>
          </cell>
          <cell r="Y2510">
            <v>46231</v>
          </cell>
          <cell r="Z2510">
            <v>2</v>
          </cell>
          <cell r="AA2510">
            <v>1000</v>
          </cell>
        </row>
        <row r="2511">
          <cell r="A2511">
            <v>46231</v>
          </cell>
          <cell r="D2511" t="str">
            <v>LADY UNO</v>
          </cell>
          <cell r="E2511">
            <v>1</v>
          </cell>
          <cell r="H2511" t="str">
            <v>SAFISCOR</v>
          </cell>
          <cell r="N2511">
            <v>1000</v>
          </cell>
          <cell r="Y2511">
            <v>46231</v>
          </cell>
          <cell r="Z2511">
            <v>2</v>
          </cell>
          <cell r="AA2511">
            <v>1000</v>
          </cell>
        </row>
        <row r="2512">
          <cell r="A2512">
            <v>46231</v>
          </cell>
          <cell r="D2512" t="str">
            <v>LADY OF WISDOM</v>
          </cell>
          <cell r="E2512">
            <v>3</v>
          </cell>
          <cell r="H2512" t="str">
            <v>SAFISCOR</v>
          </cell>
          <cell r="N2512">
            <v>1000</v>
          </cell>
          <cell r="Y2512">
            <v>46231</v>
          </cell>
          <cell r="Z2512">
            <v>2</v>
          </cell>
          <cell r="AA2512">
            <v>1000</v>
          </cell>
        </row>
        <row r="2513">
          <cell r="A2513">
            <v>46231</v>
          </cell>
          <cell r="D2513" t="str">
            <v>EASTERN CEBU</v>
          </cell>
          <cell r="E2513">
            <v>5</v>
          </cell>
          <cell r="H2513" t="str">
            <v>SAFISCOR</v>
          </cell>
          <cell r="N2513">
            <v>1000</v>
          </cell>
          <cell r="Y2513">
            <v>46232</v>
          </cell>
          <cell r="Z2513">
            <v>1</v>
          </cell>
          <cell r="AA2513">
            <v>1000</v>
          </cell>
        </row>
        <row r="2514">
          <cell r="A2514">
            <v>46231</v>
          </cell>
          <cell r="D2514" t="str">
            <v>LADY UNO</v>
          </cell>
          <cell r="E2514">
            <v>1</v>
          </cell>
          <cell r="H2514" t="str">
            <v>SAFISCOR</v>
          </cell>
          <cell r="N2514">
            <v>1000</v>
          </cell>
          <cell r="Y2514">
            <v>46231</v>
          </cell>
          <cell r="Z2514">
            <v>2</v>
          </cell>
          <cell r="AA2514">
            <v>1000</v>
          </cell>
        </row>
        <row r="2515">
          <cell r="A2515">
            <v>46231</v>
          </cell>
          <cell r="D2515" t="str">
            <v>EASTERN CEBU</v>
          </cell>
          <cell r="E2515">
            <v>5</v>
          </cell>
          <cell r="H2515" t="str">
            <v>SAFISCOR</v>
          </cell>
          <cell r="N2515">
            <v>1000</v>
          </cell>
          <cell r="Y2515">
            <v>46232</v>
          </cell>
          <cell r="Z2515">
            <v>1</v>
          </cell>
          <cell r="AA2515">
            <v>1000</v>
          </cell>
        </row>
        <row r="2516">
          <cell r="A2516">
            <v>46231</v>
          </cell>
          <cell r="D2516" t="str">
            <v>LADY OF WISDOM</v>
          </cell>
          <cell r="E2516">
            <v>3</v>
          </cell>
          <cell r="H2516" t="str">
            <v>LAPU-LAPU</v>
          </cell>
          <cell r="N2516">
            <v>1000</v>
          </cell>
          <cell r="Y2516">
            <v>46231</v>
          </cell>
          <cell r="Z2516">
            <v>2</v>
          </cell>
          <cell r="AA2516">
            <v>1000</v>
          </cell>
        </row>
        <row r="2517">
          <cell r="A2517">
            <v>46231</v>
          </cell>
          <cell r="D2517" t="str">
            <v>EASTERN CEBU</v>
          </cell>
          <cell r="E2517">
            <v>5</v>
          </cell>
          <cell r="H2517" t="str">
            <v>SAFISCOR</v>
          </cell>
          <cell r="N2517">
            <v>1000</v>
          </cell>
          <cell r="Y2517">
            <v>46232</v>
          </cell>
          <cell r="Z2517">
            <v>1</v>
          </cell>
          <cell r="AA2517">
            <v>1000</v>
          </cell>
        </row>
        <row r="2518">
          <cell r="A2518">
            <v>46231</v>
          </cell>
          <cell r="D2518" t="str">
            <v>LADY UNO</v>
          </cell>
          <cell r="E2518">
            <v>1</v>
          </cell>
          <cell r="H2518" t="str">
            <v>SAFISCOR</v>
          </cell>
          <cell r="N2518">
            <v>1000</v>
          </cell>
          <cell r="Y2518">
            <v>46232</v>
          </cell>
          <cell r="Z2518">
            <v>1</v>
          </cell>
          <cell r="AA2518">
            <v>1000</v>
          </cell>
        </row>
        <row r="2519">
          <cell r="A2519">
            <v>46232</v>
          </cell>
          <cell r="D2519" t="str">
            <v>LADY OF WISDOM</v>
          </cell>
          <cell r="E2519">
            <v>3</v>
          </cell>
          <cell r="H2519" t="str">
            <v>LAPU-LAPU</v>
          </cell>
          <cell r="N2519">
            <v>1000</v>
          </cell>
          <cell r="Y2519">
            <v>46232</v>
          </cell>
          <cell r="Z2519">
            <v>1</v>
          </cell>
          <cell r="AA2519">
            <v>1000</v>
          </cell>
        </row>
        <row r="2520">
          <cell r="A2520">
            <v>46232</v>
          </cell>
          <cell r="D2520" t="str">
            <v>LADY UNO</v>
          </cell>
          <cell r="E2520">
            <v>1</v>
          </cell>
          <cell r="H2520" t="str">
            <v>SAFISCOR</v>
          </cell>
          <cell r="N2520">
            <v>1000</v>
          </cell>
          <cell r="Y2520">
            <v>46232</v>
          </cell>
          <cell r="Z2520">
            <v>1</v>
          </cell>
          <cell r="AA2520">
            <v>1000</v>
          </cell>
        </row>
        <row r="2521">
          <cell r="A2521">
            <v>46232</v>
          </cell>
          <cell r="D2521" t="str">
            <v>EASTERN CEBU</v>
          </cell>
          <cell r="E2521">
            <v>5</v>
          </cell>
          <cell r="H2521" t="str">
            <v>SAFISCOR</v>
          </cell>
          <cell r="N2521">
            <v>1000</v>
          </cell>
          <cell r="Y2521">
            <v>46232</v>
          </cell>
          <cell r="Z2521">
            <v>1</v>
          </cell>
          <cell r="AA2521">
            <v>1000</v>
          </cell>
        </row>
        <row r="2522">
          <cell r="A2522">
            <v>46232</v>
          </cell>
          <cell r="D2522" t="str">
            <v>LADY OF WISDOM</v>
          </cell>
          <cell r="E2522">
            <v>3</v>
          </cell>
          <cell r="H2522" t="str">
            <v>SAFISCOR</v>
          </cell>
          <cell r="N2522">
            <v>1000</v>
          </cell>
          <cell r="Y2522">
            <v>46232</v>
          </cell>
          <cell r="Z2522">
            <v>1</v>
          </cell>
          <cell r="AA2522">
            <v>1000</v>
          </cell>
        </row>
        <row r="2523">
          <cell r="A2523">
            <v>46232</v>
          </cell>
          <cell r="D2523" t="str">
            <v>EASTERN CEBU</v>
          </cell>
          <cell r="E2523">
            <v>5</v>
          </cell>
          <cell r="H2523" t="str">
            <v>SAFISCOR</v>
          </cell>
          <cell r="N2523">
            <v>1000</v>
          </cell>
          <cell r="Y2523">
            <v>46232</v>
          </cell>
          <cell r="Z2523">
            <v>1</v>
          </cell>
          <cell r="AA2523">
            <v>1000</v>
          </cell>
        </row>
        <row r="2524">
          <cell r="A2524">
            <v>46232</v>
          </cell>
          <cell r="D2524" t="str">
            <v>EASTERN CEBU</v>
          </cell>
          <cell r="E2524">
            <v>5</v>
          </cell>
          <cell r="H2524" t="str">
            <v>SAFISCOR</v>
          </cell>
          <cell r="N2524">
            <v>1000</v>
          </cell>
          <cell r="Y2524">
            <v>46232</v>
          </cell>
          <cell r="Z2524">
            <v>1</v>
          </cell>
          <cell r="AA2524">
            <v>1000</v>
          </cell>
        </row>
        <row r="2525">
          <cell r="A2525">
            <v>46232</v>
          </cell>
          <cell r="D2525" t="str">
            <v>LADY UNO</v>
          </cell>
          <cell r="E2525">
            <v>1</v>
          </cell>
          <cell r="H2525" t="str">
            <v>APLUS</v>
          </cell>
          <cell r="N2525">
            <v>1000</v>
          </cell>
          <cell r="Y2525">
            <v>46232</v>
          </cell>
          <cell r="Z2525">
            <v>1</v>
          </cell>
          <cell r="AA2525">
            <v>1000</v>
          </cell>
        </row>
        <row r="2526">
          <cell r="A2526">
            <v>46232</v>
          </cell>
          <cell r="D2526" t="str">
            <v>LADY OF WISDOM</v>
          </cell>
          <cell r="E2526">
            <v>3</v>
          </cell>
          <cell r="H2526" t="str">
            <v>FULACHE</v>
          </cell>
          <cell r="N2526">
            <v>1000</v>
          </cell>
          <cell r="Y2526">
            <v>46232</v>
          </cell>
          <cell r="Z2526">
            <v>1</v>
          </cell>
          <cell r="AA2526">
            <v>1000</v>
          </cell>
        </row>
        <row r="2527">
          <cell r="A2527">
            <v>46232</v>
          </cell>
          <cell r="D2527" t="str">
            <v>EASTERN CEBU</v>
          </cell>
          <cell r="E2527">
            <v>5</v>
          </cell>
          <cell r="H2527" t="str">
            <v>SAFISCOR</v>
          </cell>
          <cell r="N2527">
            <v>1000</v>
          </cell>
          <cell r="Y2527">
            <v>46232</v>
          </cell>
          <cell r="Z2527">
            <v>2</v>
          </cell>
          <cell r="AA2527">
            <v>1000</v>
          </cell>
        </row>
        <row r="2528">
          <cell r="A2528">
            <v>46232</v>
          </cell>
          <cell r="D2528" t="str">
            <v>EASTERN CEBU</v>
          </cell>
          <cell r="E2528">
            <v>5</v>
          </cell>
          <cell r="H2528" t="str">
            <v>SAFISCOR</v>
          </cell>
          <cell r="N2528">
            <v>1000</v>
          </cell>
          <cell r="Y2528">
            <v>46232</v>
          </cell>
          <cell r="Z2528">
            <v>2</v>
          </cell>
          <cell r="AA2528">
            <v>1000</v>
          </cell>
        </row>
        <row r="2529">
          <cell r="A2529">
            <v>46232</v>
          </cell>
          <cell r="D2529" t="str">
            <v>LADY UNO</v>
          </cell>
          <cell r="E2529">
            <v>1</v>
          </cell>
          <cell r="H2529" t="str">
            <v>LAPU-LAPU</v>
          </cell>
          <cell r="N2529">
            <v>1000</v>
          </cell>
          <cell r="Y2529">
            <v>46232</v>
          </cell>
          <cell r="Z2529">
            <v>1</v>
          </cell>
          <cell r="AA2529">
            <v>1000</v>
          </cell>
        </row>
        <row r="2530">
          <cell r="A2530">
            <v>46232</v>
          </cell>
          <cell r="D2530" t="str">
            <v>EASTERN CEBU</v>
          </cell>
          <cell r="E2530">
            <v>5</v>
          </cell>
          <cell r="H2530" t="str">
            <v>LAPU-LAPU</v>
          </cell>
          <cell r="N2530">
            <v>1000</v>
          </cell>
          <cell r="Y2530">
            <v>46232</v>
          </cell>
          <cell r="Z2530">
            <v>1</v>
          </cell>
          <cell r="AA2530">
            <v>1000</v>
          </cell>
        </row>
        <row r="2531">
          <cell r="A2531">
            <v>46232</v>
          </cell>
          <cell r="D2531" t="str">
            <v>LADY UNO</v>
          </cell>
          <cell r="E2531">
            <v>1</v>
          </cell>
          <cell r="H2531" t="str">
            <v>LAPU-LAPU</v>
          </cell>
          <cell r="N2531">
            <v>1000</v>
          </cell>
          <cell r="Y2531">
            <v>46232</v>
          </cell>
          <cell r="Z2531">
            <v>2</v>
          </cell>
          <cell r="AA2531">
            <v>1000</v>
          </cell>
        </row>
        <row r="2532">
          <cell r="A2532">
            <v>46232</v>
          </cell>
          <cell r="D2532" t="str">
            <v>LADY UNO</v>
          </cell>
          <cell r="E2532">
            <v>1</v>
          </cell>
          <cell r="H2532" t="str">
            <v>SAFISCOR</v>
          </cell>
          <cell r="N2532">
            <v>1000</v>
          </cell>
          <cell r="Y2532">
            <v>46232</v>
          </cell>
          <cell r="Z2532">
            <v>2</v>
          </cell>
          <cell r="AA2532">
            <v>1000</v>
          </cell>
        </row>
        <row r="2533">
          <cell r="A2533">
            <v>46232</v>
          </cell>
          <cell r="D2533" t="str">
            <v>EASTERN CEBU</v>
          </cell>
          <cell r="E2533">
            <v>5</v>
          </cell>
          <cell r="H2533" t="str">
            <v>SAFISCOR</v>
          </cell>
          <cell r="N2533">
            <v>1000</v>
          </cell>
          <cell r="Y2533">
            <v>46232</v>
          </cell>
          <cell r="Z2533">
            <v>2</v>
          </cell>
          <cell r="AA2533">
            <v>1000</v>
          </cell>
        </row>
        <row r="2534">
          <cell r="A2534">
            <v>46232</v>
          </cell>
          <cell r="D2534" t="str">
            <v>LADY UNO</v>
          </cell>
          <cell r="E2534">
            <v>1</v>
          </cell>
          <cell r="H2534" t="str">
            <v>SAFISCOR</v>
          </cell>
          <cell r="N2534">
            <v>1000</v>
          </cell>
          <cell r="Y2534">
            <v>46232</v>
          </cell>
          <cell r="Z2534">
            <v>2</v>
          </cell>
          <cell r="AA2534">
            <v>1000</v>
          </cell>
        </row>
        <row r="2535">
          <cell r="A2535">
            <v>46232</v>
          </cell>
          <cell r="D2535" t="str">
            <v>EASTERN CEBU</v>
          </cell>
          <cell r="E2535">
            <v>5</v>
          </cell>
          <cell r="H2535" t="str">
            <v>APLUS</v>
          </cell>
          <cell r="N2535">
            <v>1000</v>
          </cell>
          <cell r="Y2535">
            <v>46232</v>
          </cell>
          <cell r="Z2535">
            <v>2</v>
          </cell>
          <cell r="AA2535">
            <v>1000</v>
          </cell>
        </row>
        <row r="2536">
          <cell r="A2536">
            <v>46232</v>
          </cell>
          <cell r="D2536" t="str">
            <v>LADY UNO</v>
          </cell>
          <cell r="E2536">
            <v>1</v>
          </cell>
          <cell r="H2536" t="str">
            <v>SAFISCOR</v>
          </cell>
          <cell r="N2536">
            <v>1000</v>
          </cell>
          <cell r="Y2536">
            <v>46232</v>
          </cell>
          <cell r="Z2536">
            <v>2</v>
          </cell>
          <cell r="AA2536">
            <v>1000</v>
          </cell>
        </row>
        <row r="2537">
          <cell r="A2537">
            <v>46232</v>
          </cell>
          <cell r="D2537" t="str">
            <v>LADY UNO</v>
          </cell>
          <cell r="E2537">
            <v>1</v>
          </cell>
          <cell r="H2537" t="str">
            <v>LAPU-LAPU</v>
          </cell>
          <cell r="N2537">
            <v>1000</v>
          </cell>
          <cell r="Y2537">
            <v>46232</v>
          </cell>
          <cell r="Z2537">
            <v>2</v>
          </cell>
          <cell r="AA2537">
            <v>1000</v>
          </cell>
        </row>
        <row r="2538">
          <cell r="A2538">
            <v>46232</v>
          </cell>
          <cell r="D2538" t="str">
            <v>EASTERN CEBU</v>
          </cell>
          <cell r="E2538">
            <v>5</v>
          </cell>
          <cell r="H2538" t="str">
            <v>SAFISCOR</v>
          </cell>
          <cell r="N2538">
            <v>800</v>
          </cell>
          <cell r="Y2538">
            <v>46232</v>
          </cell>
          <cell r="Z2538">
            <v>2</v>
          </cell>
          <cell r="AA2538">
            <v>800</v>
          </cell>
        </row>
        <row r="2539">
          <cell r="A2539">
            <v>46232</v>
          </cell>
          <cell r="D2539" t="str">
            <v>LADY ARMOR</v>
          </cell>
          <cell r="E2539">
            <v>2</v>
          </cell>
          <cell r="H2539" t="str">
            <v>SAFISCOR</v>
          </cell>
          <cell r="N2539">
            <v>1000</v>
          </cell>
          <cell r="Y2539">
            <v>46232</v>
          </cell>
          <cell r="Z2539">
            <v>2</v>
          </cell>
          <cell r="AA2539">
            <v>1000</v>
          </cell>
        </row>
        <row r="2540">
          <cell r="A2540">
            <v>46232</v>
          </cell>
          <cell r="D2540" t="str">
            <v>LADY ARMOR</v>
          </cell>
          <cell r="E2540">
            <v>2</v>
          </cell>
          <cell r="H2540" t="str">
            <v>SAFISCOR</v>
          </cell>
          <cell r="N2540">
            <v>1000</v>
          </cell>
          <cell r="Y2540">
            <v>46232</v>
          </cell>
          <cell r="Z2540">
            <v>2</v>
          </cell>
          <cell r="AA2540">
            <v>1000</v>
          </cell>
        </row>
        <row r="2541">
          <cell r="A2541">
            <v>46232</v>
          </cell>
          <cell r="D2541" t="str">
            <v>LADY UNO</v>
          </cell>
          <cell r="E2541">
            <v>1</v>
          </cell>
          <cell r="H2541" t="str">
            <v>SAFISCOR</v>
          </cell>
          <cell r="N2541">
            <v>1000</v>
          </cell>
          <cell r="Y2541">
            <v>46232</v>
          </cell>
          <cell r="Z2541">
            <v>2</v>
          </cell>
          <cell r="AA2541">
            <v>1000</v>
          </cell>
        </row>
        <row r="2542">
          <cell r="A2542">
            <v>46232</v>
          </cell>
          <cell r="D2542" t="str">
            <v>LADY UNO</v>
          </cell>
          <cell r="E2542">
            <v>1</v>
          </cell>
          <cell r="H2542" t="str">
            <v>LAPU-LAPU</v>
          </cell>
          <cell r="N2542">
            <v>1000</v>
          </cell>
          <cell r="Y2542">
            <v>46232</v>
          </cell>
          <cell r="Z2542">
            <v>2</v>
          </cell>
          <cell r="AA2542">
            <v>1000</v>
          </cell>
        </row>
        <row r="2543">
          <cell r="A2543">
            <v>46232</v>
          </cell>
          <cell r="D2543" t="str">
            <v>LADY UNO</v>
          </cell>
          <cell r="E2543">
            <v>1</v>
          </cell>
          <cell r="H2543" t="str">
            <v>LAPU-LAPU</v>
          </cell>
          <cell r="N2543">
            <v>1000</v>
          </cell>
          <cell r="Y2543">
            <v>46232</v>
          </cell>
          <cell r="Z2543">
            <v>2</v>
          </cell>
          <cell r="AA2543">
            <v>1000</v>
          </cell>
        </row>
        <row r="2544">
          <cell r="A2544">
            <v>46232</v>
          </cell>
          <cell r="D2544" t="str">
            <v>LADY UNO</v>
          </cell>
          <cell r="E2544">
            <v>1</v>
          </cell>
          <cell r="H2544" t="str">
            <v>SAFISCOR</v>
          </cell>
          <cell r="N2544">
            <v>1000</v>
          </cell>
          <cell r="Y2544">
            <v>46232</v>
          </cell>
          <cell r="Z2544">
            <v>2</v>
          </cell>
          <cell r="AA2544">
            <v>1000</v>
          </cell>
        </row>
        <row r="2545">
          <cell r="A2545">
            <v>46232</v>
          </cell>
          <cell r="D2545" t="str">
            <v>LADY ARMOR</v>
          </cell>
          <cell r="E2545">
            <v>2</v>
          </cell>
          <cell r="H2545" t="str">
            <v>SAFISCOR</v>
          </cell>
          <cell r="N2545">
            <v>1000</v>
          </cell>
          <cell r="Y2545">
            <v>46232</v>
          </cell>
          <cell r="Z2545">
            <v>2</v>
          </cell>
          <cell r="AA2545">
            <v>1000</v>
          </cell>
        </row>
        <row r="2546">
          <cell r="A2546">
            <v>46232</v>
          </cell>
          <cell r="D2546" t="str">
            <v>LADY ARMOR</v>
          </cell>
          <cell r="E2546">
            <v>2</v>
          </cell>
          <cell r="H2546" t="str">
            <v>SAFISCOR</v>
          </cell>
          <cell r="N2546">
            <v>1000</v>
          </cell>
          <cell r="Y2546">
            <v>46232</v>
          </cell>
          <cell r="Z2546">
            <v>2</v>
          </cell>
          <cell r="AA2546">
            <v>1000</v>
          </cell>
        </row>
        <row r="2547">
          <cell r="A2547">
            <v>46232</v>
          </cell>
          <cell r="D2547" t="str">
            <v>LADY UNO</v>
          </cell>
          <cell r="E2547">
            <v>1</v>
          </cell>
          <cell r="H2547" t="str">
            <v>GEO</v>
          </cell>
          <cell r="N2547">
            <v>1000</v>
          </cell>
          <cell r="Y2547">
            <v>46232</v>
          </cell>
          <cell r="Z2547">
            <v>2</v>
          </cell>
          <cell r="AA2547">
            <v>1000</v>
          </cell>
        </row>
        <row r="2548">
          <cell r="A2548">
            <v>46232</v>
          </cell>
          <cell r="D2548" t="str">
            <v>LADY ARMOR</v>
          </cell>
          <cell r="E2548">
            <v>2</v>
          </cell>
          <cell r="H2548" t="str">
            <v>LAPU-LAPU</v>
          </cell>
          <cell r="N2548">
            <v>1000</v>
          </cell>
          <cell r="Y2548">
            <v>46232</v>
          </cell>
          <cell r="Z2548">
            <v>2</v>
          </cell>
          <cell r="AA2548">
            <v>1000</v>
          </cell>
        </row>
        <row r="2549">
          <cell r="A2549">
            <v>46232</v>
          </cell>
          <cell r="D2549" t="str">
            <v>LADY ARMOR</v>
          </cell>
          <cell r="E2549">
            <v>2</v>
          </cell>
          <cell r="H2549" t="str">
            <v>SAFISCOR</v>
          </cell>
          <cell r="N2549">
            <v>1000</v>
          </cell>
          <cell r="Y2549">
            <v>46233</v>
          </cell>
          <cell r="Z2549">
            <v>1</v>
          </cell>
          <cell r="AA2549">
            <v>1000</v>
          </cell>
        </row>
        <row r="2550">
          <cell r="A2550">
            <v>46232</v>
          </cell>
          <cell r="D2550" t="str">
            <v>LADY ARMOR</v>
          </cell>
          <cell r="E2550">
            <v>2</v>
          </cell>
          <cell r="H2550" t="str">
            <v>SAFISCOR</v>
          </cell>
          <cell r="N2550">
            <v>1000</v>
          </cell>
          <cell r="Y2550">
            <v>46232</v>
          </cell>
          <cell r="Z2550">
            <v>2</v>
          </cell>
          <cell r="AA2550">
            <v>1000</v>
          </cell>
        </row>
        <row r="2551">
          <cell r="A2551">
            <v>46232</v>
          </cell>
          <cell r="D2551" t="str">
            <v>LADY ARMOR</v>
          </cell>
          <cell r="E2551">
            <v>2</v>
          </cell>
          <cell r="H2551" t="str">
            <v>LAPU-LAPU</v>
          </cell>
          <cell r="N2551">
            <v>1000</v>
          </cell>
          <cell r="Y2551">
            <v>46233</v>
          </cell>
          <cell r="Z2551">
            <v>1</v>
          </cell>
          <cell r="AA2551">
            <v>1000</v>
          </cell>
        </row>
        <row r="2552">
          <cell r="A2552">
            <v>46232</v>
          </cell>
          <cell r="D2552" t="str">
            <v>LADY ARMOR</v>
          </cell>
          <cell r="E2552">
            <v>2</v>
          </cell>
          <cell r="H2552" t="str">
            <v>LAPU-LAPU</v>
          </cell>
          <cell r="N2552">
            <v>1000</v>
          </cell>
          <cell r="Y2552">
            <v>46232</v>
          </cell>
          <cell r="Z2552">
            <v>2</v>
          </cell>
          <cell r="AA2552">
            <v>1000</v>
          </cell>
        </row>
        <row r="2553">
          <cell r="A2553">
            <v>46232</v>
          </cell>
          <cell r="D2553" t="str">
            <v>LADY ARMOR</v>
          </cell>
          <cell r="E2553">
            <v>2</v>
          </cell>
          <cell r="H2553" t="str">
            <v>GEO</v>
          </cell>
          <cell r="N2553">
            <v>1000</v>
          </cell>
          <cell r="Y2553">
            <v>46233</v>
          </cell>
          <cell r="Z2553">
            <v>1</v>
          </cell>
          <cell r="AA2553">
            <v>1000</v>
          </cell>
        </row>
        <row r="2554">
          <cell r="A2554">
            <v>46232</v>
          </cell>
          <cell r="D2554" t="str">
            <v>LADY ARMOR</v>
          </cell>
          <cell r="E2554">
            <v>2</v>
          </cell>
          <cell r="H2554" t="str">
            <v>SAFISCOR</v>
          </cell>
          <cell r="N2554">
            <v>1000</v>
          </cell>
          <cell r="Y2554">
            <v>46233</v>
          </cell>
          <cell r="Z2554">
            <v>1</v>
          </cell>
          <cell r="AA2554">
            <v>1000</v>
          </cell>
        </row>
        <row r="2555">
          <cell r="A2555">
            <v>46232</v>
          </cell>
          <cell r="D2555" t="str">
            <v>LADY ARMOR</v>
          </cell>
          <cell r="E2555">
            <v>2</v>
          </cell>
          <cell r="H2555" t="str">
            <v>SAFISCOR</v>
          </cell>
          <cell r="N2555">
            <v>1000</v>
          </cell>
          <cell r="Y2555">
            <v>46232</v>
          </cell>
          <cell r="Z2555">
            <v>2</v>
          </cell>
          <cell r="AA2555">
            <v>1000</v>
          </cell>
        </row>
        <row r="2556">
          <cell r="A2556">
            <v>46232</v>
          </cell>
          <cell r="D2556" t="str">
            <v>LADY ARMOR</v>
          </cell>
          <cell r="E2556">
            <v>2</v>
          </cell>
          <cell r="H2556" t="str">
            <v>SAFISCOR</v>
          </cell>
          <cell r="N2556">
            <v>1000</v>
          </cell>
          <cell r="Y2556">
            <v>46232</v>
          </cell>
          <cell r="Z2556">
            <v>2</v>
          </cell>
          <cell r="AA2556">
            <v>1000</v>
          </cell>
        </row>
        <row r="2557">
          <cell r="A2557">
            <v>46232</v>
          </cell>
          <cell r="D2557" t="str">
            <v>LADY ARMOR</v>
          </cell>
          <cell r="E2557">
            <v>2</v>
          </cell>
          <cell r="H2557" t="str">
            <v>GEO</v>
          </cell>
          <cell r="N2557">
            <v>1000</v>
          </cell>
          <cell r="Y2557">
            <v>46233</v>
          </cell>
          <cell r="Z2557">
            <v>1</v>
          </cell>
          <cell r="AA2557">
            <v>1000</v>
          </cell>
        </row>
        <row r="2558">
          <cell r="A2558">
            <v>46232</v>
          </cell>
          <cell r="D2558" t="str">
            <v>LADY ARMOR</v>
          </cell>
          <cell r="E2558">
            <v>2</v>
          </cell>
          <cell r="H2558" t="str">
            <v>SAFISCOR</v>
          </cell>
          <cell r="N2558">
            <v>1000</v>
          </cell>
          <cell r="Y2558">
            <v>46233</v>
          </cell>
          <cell r="Z2558">
            <v>1</v>
          </cell>
          <cell r="AA2558">
            <v>1000</v>
          </cell>
        </row>
        <row r="2559">
          <cell r="A2559">
            <v>46232</v>
          </cell>
          <cell r="D2559" t="str">
            <v>LADY ARMOR</v>
          </cell>
          <cell r="E2559">
            <v>2</v>
          </cell>
          <cell r="H2559" t="str">
            <v>LAPU-LAPU</v>
          </cell>
          <cell r="N2559">
            <v>1000</v>
          </cell>
          <cell r="Y2559">
            <v>46233</v>
          </cell>
          <cell r="Z2559">
            <v>1</v>
          </cell>
          <cell r="AA2559">
            <v>1000</v>
          </cell>
        </row>
        <row r="2560">
          <cell r="A2560">
            <v>46232</v>
          </cell>
          <cell r="D2560" t="str">
            <v>LADY ARMOR</v>
          </cell>
          <cell r="E2560">
            <v>2</v>
          </cell>
          <cell r="H2560" t="str">
            <v>BADIE</v>
          </cell>
          <cell r="N2560">
            <v>1000</v>
          </cell>
          <cell r="Y2560">
            <v>46232</v>
          </cell>
          <cell r="Z2560">
            <v>2</v>
          </cell>
          <cell r="AA2560">
            <v>1000</v>
          </cell>
        </row>
        <row r="2561">
          <cell r="A2561">
            <v>46232</v>
          </cell>
          <cell r="D2561" t="str">
            <v>LADY UNO</v>
          </cell>
          <cell r="E2561">
            <v>1</v>
          </cell>
          <cell r="H2561" t="str">
            <v>GEO</v>
          </cell>
          <cell r="N2561">
            <v>1000</v>
          </cell>
          <cell r="Y2561">
            <v>46232</v>
          </cell>
          <cell r="Z2561">
            <v>2</v>
          </cell>
          <cell r="AA2561">
            <v>1000</v>
          </cell>
        </row>
        <row r="2562">
          <cell r="A2562">
            <v>46233</v>
          </cell>
          <cell r="D2562" t="str">
            <v>LADY OF PEACE</v>
          </cell>
          <cell r="E2562">
            <v>4</v>
          </cell>
          <cell r="H2562" t="str">
            <v>SAFISCOR</v>
          </cell>
          <cell r="N2562">
            <v>1000</v>
          </cell>
          <cell r="Y2562">
            <v>46233</v>
          </cell>
          <cell r="Z2562">
            <v>1</v>
          </cell>
          <cell r="AA2562">
            <v>1000</v>
          </cell>
        </row>
        <row r="2563">
          <cell r="A2563">
            <v>46233</v>
          </cell>
          <cell r="D2563" t="str">
            <v>LADY OF PEACE</v>
          </cell>
          <cell r="E2563">
            <v>4</v>
          </cell>
          <cell r="H2563" t="str">
            <v>FULACHE</v>
          </cell>
          <cell r="N2563">
            <v>1000</v>
          </cell>
          <cell r="Y2563">
            <v>46233</v>
          </cell>
          <cell r="Z2563">
            <v>1</v>
          </cell>
          <cell r="AA2563">
            <v>1000</v>
          </cell>
        </row>
        <row r="2564">
          <cell r="A2564">
            <v>46233</v>
          </cell>
          <cell r="D2564" t="str">
            <v>LADY OF PEACE</v>
          </cell>
          <cell r="E2564">
            <v>4</v>
          </cell>
          <cell r="H2564" t="str">
            <v>SAFISCOR</v>
          </cell>
          <cell r="N2564">
            <v>1000</v>
          </cell>
          <cell r="Y2564">
            <v>46233</v>
          </cell>
          <cell r="Z2564">
            <v>2</v>
          </cell>
          <cell r="AA2564">
            <v>1000</v>
          </cell>
        </row>
        <row r="2565">
          <cell r="A2565">
            <v>46233</v>
          </cell>
          <cell r="D2565" t="str">
            <v>LADY OF PEACE</v>
          </cell>
          <cell r="E2565">
            <v>4</v>
          </cell>
          <cell r="H2565" t="str">
            <v>LAPU-LAPU</v>
          </cell>
          <cell r="N2565">
            <v>1000</v>
          </cell>
          <cell r="Y2565">
            <v>46233</v>
          </cell>
          <cell r="Z2565">
            <v>2</v>
          </cell>
          <cell r="AA2565">
            <v>1000</v>
          </cell>
        </row>
        <row r="2566">
          <cell r="A2566">
            <v>46233</v>
          </cell>
          <cell r="D2566" t="str">
            <v>LADY OF PEACE</v>
          </cell>
          <cell r="E2566">
            <v>4</v>
          </cell>
          <cell r="H2566" t="str">
            <v>APLUS</v>
          </cell>
          <cell r="N2566">
            <v>1000</v>
          </cell>
          <cell r="Y2566">
            <v>46233</v>
          </cell>
          <cell r="Z2566">
            <v>2</v>
          </cell>
          <cell r="AA2566">
            <v>1000</v>
          </cell>
        </row>
        <row r="2567">
          <cell r="A2567">
            <v>46233</v>
          </cell>
          <cell r="D2567" t="str">
            <v>LADY OF PEACE</v>
          </cell>
          <cell r="E2567">
            <v>4</v>
          </cell>
          <cell r="H2567" t="str">
            <v>SAFISCOR</v>
          </cell>
          <cell r="N2567">
            <v>1000</v>
          </cell>
          <cell r="Y2567">
            <v>46233</v>
          </cell>
          <cell r="Z2567">
            <v>2</v>
          </cell>
          <cell r="AA2567">
            <v>1000</v>
          </cell>
        </row>
        <row r="2568">
          <cell r="A2568">
            <v>46233</v>
          </cell>
          <cell r="D2568" t="str">
            <v>LADY OF PEACE</v>
          </cell>
          <cell r="E2568">
            <v>4</v>
          </cell>
          <cell r="H2568" t="str">
            <v>SAFISCOR</v>
          </cell>
          <cell r="N2568">
            <v>1000</v>
          </cell>
          <cell r="Y2568">
            <v>46233</v>
          </cell>
          <cell r="Z2568">
            <v>2</v>
          </cell>
          <cell r="AA2568">
            <v>1000</v>
          </cell>
        </row>
        <row r="2569">
          <cell r="A2569">
            <v>46233</v>
          </cell>
          <cell r="D2569" t="str">
            <v>LADY OF PEACE</v>
          </cell>
          <cell r="E2569">
            <v>4</v>
          </cell>
          <cell r="H2569" t="str">
            <v>SAFISCOR</v>
          </cell>
          <cell r="N2569">
            <v>1000</v>
          </cell>
          <cell r="Y2569">
            <v>46233</v>
          </cell>
          <cell r="Z2569">
            <v>2</v>
          </cell>
          <cell r="AA2569">
            <v>1000</v>
          </cell>
        </row>
        <row r="2570">
          <cell r="A2570">
            <v>46233</v>
          </cell>
          <cell r="D2570" t="str">
            <v>LADY OF PEACE</v>
          </cell>
          <cell r="E2570">
            <v>4</v>
          </cell>
          <cell r="H2570" t="str">
            <v>GEO</v>
          </cell>
          <cell r="N2570">
            <v>1000</v>
          </cell>
          <cell r="Y2570">
            <v>46233</v>
          </cell>
          <cell r="Z2570">
            <v>2</v>
          </cell>
          <cell r="AA2570">
            <v>1000</v>
          </cell>
        </row>
        <row r="2571">
          <cell r="A2571">
            <v>46233</v>
          </cell>
          <cell r="D2571" t="str">
            <v>LADY OF PEACE</v>
          </cell>
          <cell r="E2571">
            <v>4</v>
          </cell>
          <cell r="H2571" t="str">
            <v>SAFISCOR</v>
          </cell>
          <cell r="N2571">
            <v>1000</v>
          </cell>
          <cell r="Y2571">
            <v>46234</v>
          </cell>
          <cell r="Z2571">
            <v>1</v>
          </cell>
          <cell r="AA2571">
            <v>1000</v>
          </cell>
        </row>
        <row r="2572">
          <cell r="A2572">
            <v>46233</v>
          </cell>
          <cell r="D2572" t="str">
            <v>LADY OF PEACE</v>
          </cell>
          <cell r="E2572">
            <v>4</v>
          </cell>
          <cell r="H2572" t="str">
            <v>BADIE</v>
          </cell>
          <cell r="N2572">
            <v>1000</v>
          </cell>
          <cell r="Y2572">
            <v>46233</v>
          </cell>
          <cell r="Z2572">
            <v>2</v>
          </cell>
          <cell r="AA2572">
            <v>1000</v>
          </cell>
        </row>
        <row r="2573">
          <cell r="A2573">
            <v>46233</v>
          </cell>
          <cell r="D2573" t="str">
            <v>LADY OF PEACE</v>
          </cell>
          <cell r="E2573">
            <v>4</v>
          </cell>
          <cell r="H2573" t="str">
            <v>GEO</v>
          </cell>
          <cell r="N2573">
            <v>1000</v>
          </cell>
          <cell r="Y2573">
            <v>46234</v>
          </cell>
          <cell r="Z2573">
            <v>1</v>
          </cell>
          <cell r="AA2573">
            <v>1000</v>
          </cell>
        </row>
        <row r="2574">
          <cell r="A2574">
            <v>46233</v>
          </cell>
          <cell r="D2574" t="str">
            <v>LADY OF PEACE</v>
          </cell>
          <cell r="E2574">
            <v>4</v>
          </cell>
          <cell r="H2574" t="str">
            <v>LAPU-LAPU</v>
          </cell>
          <cell r="N2574">
            <v>1000</v>
          </cell>
          <cell r="Y2574">
            <v>46233</v>
          </cell>
          <cell r="Z2574">
            <v>2</v>
          </cell>
          <cell r="AA2574">
            <v>1000</v>
          </cell>
        </row>
        <row r="2575">
          <cell r="A2575">
            <v>46233</v>
          </cell>
          <cell r="D2575" t="str">
            <v>LADY OF PEACE</v>
          </cell>
          <cell r="E2575">
            <v>4</v>
          </cell>
          <cell r="H2575" t="str">
            <v>SAFISCOR</v>
          </cell>
          <cell r="N2575">
            <v>1000</v>
          </cell>
          <cell r="Y2575">
            <v>46235</v>
          </cell>
          <cell r="Z2575">
            <v>1</v>
          </cell>
          <cell r="AA2575">
            <v>1000</v>
          </cell>
        </row>
        <row r="2576">
          <cell r="A2576">
            <v>46233</v>
          </cell>
          <cell r="D2576" t="str">
            <v>LADY OF PEACE</v>
          </cell>
          <cell r="E2576">
            <v>4</v>
          </cell>
          <cell r="H2576" t="str">
            <v>SAFISCOR</v>
          </cell>
          <cell r="N2576">
            <v>1000</v>
          </cell>
          <cell r="Y2576">
            <v>46234</v>
          </cell>
          <cell r="Z2576">
            <v>2</v>
          </cell>
          <cell r="AA2576">
            <v>1000</v>
          </cell>
        </row>
        <row r="2577">
          <cell r="A2577">
            <v>46233</v>
          </cell>
          <cell r="D2577" t="str">
            <v>LADY OF PEACE</v>
          </cell>
          <cell r="E2577">
            <v>4</v>
          </cell>
          <cell r="H2577" t="str">
            <v>SAFISCOR</v>
          </cell>
          <cell r="N2577">
            <v>1000</v>
          </cell>
          <cell r="Y2577">
            <v>46234</v>
          </cell>
          <cell r="Z2577">
            <v>2</v>
          </cell>
          <cell r="AA2577">
            <v>1000</v>
          </cell>
        </row>
        <row r="2578">
          <cell r="A2578">
            <v>46233</v>
          </cell>
          <cell r="D2578" t="str">
            <v>LADY OF PEACE</v>
          </cell>
          <cell r="E2578">
            <v>4</v>
          </cell>
          <cell r="H2578" t="str">
            <v>SAFISCOR</v>
          </cell>
          <cell r="N2578">
            <v>1000</v>
          </cell>
          <cell r="Y2578">
            <v>46235</v>
          </cell>
          <cell r="Z2578">
            <v>1</v>
          </cell>
          <cell r="AA2578">
            <v>1000</v>
          </cell>
        </row>
        <row r="2579">
          <cell r="A2579">
            <v>46233</v>
          </cell>
          <cell r="D2579" t="str">
            <v>LADY OF PEACE</v>
          </cell>
          <cell r="E2579">
            <v>4</v>
          </cell>
          <cell r="H2579" t="str">
            <v>GEO</v>
          </cell>
          <cell r="N2579">
            <v>1000</v>
          </cell>
          <cell r="Y2579">
            <v>46235</v>
          </cell>
          <cell r="Z2579">
            <v>1</v>
          </cell>
          <cell r="AA2579">
            <v>1000</v>
          </cell>
        </row>
        <row r="2580">
          <cell r="A2580">
            <v>46233</v>
          </cell>
          <cell r="D2580" t="str">
            <v>LADY OF PEACE</v>
          </cell>
          <cell r="E2580">
            <v>4</v>
          </cell>
          <cell r="H2580" t="str">
            <v>SAFISCOR</v>
          </cell>
          <cell r="N2580">
            <v>1000</v>
          </cell>
          <cell r="Y2580">
            <v>46234</v>
          </cell>
          <cell r="Z2580">
            <v>1</v>
          </cell>
          <cell r="AA2580">
            <v>1000</v>
          </cell>
        </row>
        <row r="2581">
          <cell r="A2581">
            <v>46233</v>
          </cell>
          <cell r="D2581" t="str">
            <v>LADY OF PEACE</v>
          </cell>
          <cell r="E2581">
            <v>4</v>
          </cell>
          <cell r="H2581" t="str">
            <v>SAFISCOR</v>
          </cell>
          <cell r="N2581">
            <v>1000</v>
          </cell>
          <cell r="Y2581">
            <v>46235</v>
          </cell>
          <cell r="Z2581">
            <v>1</v>
          </cell>
          <cell r="AA2581">
            <v>1000</v>
          </cell>
        </row>
        <row r="2582">
          <cell r="A2582">
            <v>46233</v>
          </cell>
          <cell r="D2582" t="str">
            <v>LADY OF PEACE</v>
          </cell>
          <cell r="E2582">
            <v>4</v>
          </cell>
          <cell r="H2582" t="str">
            <v>SAFISCOR</v>
          </cell>
          <cell r="N2582">
            <v>1000</v>
          </cell>
          <cell r="Y2582">
            <v>46234</v>
          </cell>
          <cell r="Z2582">
            <v>2</v>
          </cell>
          <cell r="AA2582">
            <v>1000</v>
          </cell>
        </row>
        <row r="2583">
          <cell r="A2583">
            <v>46233</v>
          </cell>
          <cell r="D2583" t="str">
            <v>LADY OF PEACE</v>
          </cell>
          <cell r="E2583">
            <v>4</v>
          </cell>
          <cell r="H2583" t="str">
            <v>SAFISCOR</v>
          </cell>
          <cell r="N2583">
            <v>1000</v>
          </cell>
          <cell r="Y2583">
            <v>46234</v>
          </cell>
          <cell r="Z2583">
            <v>2</v>
          </cell>
          <cell r="AA2583">
            <v>1000</v>
          </cell>
        </row>
        <row r="2584">
          <cell r="A2584">
            <v>46233</v>
          </cell>
          <cell r="D2584" t="str">
            <v>LADY OF PEACE</v>
          </cell>
          <cell r="E2584">
            <v>4</v>
          </cell>
          <cell r="H2584" t="str">
            <v>SAFISCOR</v>
          </cell>
          <cell r="N2584">
            <v>1000</v>
          </cell>
          <cell r="Y2584">
            <v>46235</v>
          </cell>
          <cell r="Z2584">
            <v>1</v>
          </cell>
          <cell r="AA2584">
            <v>1000</v>
          </cell>
        </row>
        <row r="2585">
          <cell r="A2585">
            <v>46233</v>
          </cell>
          <cell r="D2585" t="str">
            <v>LADY OF PEACE</v>
          </cell>
          <cell r="E2585">
            <v>4</v>
          </cell>
          <cell r="H2585" t="str">
            <v>SAFISCOR</v>
          </cell>
          <cell r="N2585">
            <v>1000</v>
          </cell>
          <cell r="Y2585">
            <v>46235</v>
          </cell>
          <cell r="Z2585">
            <v>1</v>
          </cell>
          <cell r="AA2585">
            <v>1000</v>
          </cell>
        </row>
        <row r="2586">
          <cell r="A2586">
            <v>46234</v>
          </cell>
          <cell r="D2586" t="str">
            <v>STAR ILIGAN</v>
          </cell>
          <cell r="E2586">
            <v>5</v>
          </cell>
          <cell r="H2586" t="str">
            <v>LAPU-LAPU</v>
          </cell>
          <cell r="N2586">
            <v>1000</v>
          </cell>
          <cell r="Y2586">
            <v>46235</v>
          </cell>
          <cell r="Z2586">
            <v>1</v>
          </cell>
          <cell r="AA2586">
            <v>1000</v>
          </cell>
        </row>
        <row r="2587">
          <cell r="A2587">
            <v>46234</v>
          </cell>
          <cell r="D2587" t="str">
            <v>STAR ILIGAN</v>
          </cell>
          <cell r="E2587">
            <v>5</v>
          </cell>
          <cell r="H2587" t="str">
            <v>FULACHE</v>
          </cell>
          <cell r="N2587">
            <v>1000</v>
          </cell>
          <cell r="Y2587">
            <v>46235</v>
          </cell>
          <cell r="Z2587">
            <v>1</v>
          </cell>
          <cell r="AA2587">
            <v>1000</v>
          </cell>
        </row>
        <row r="2588">
          <cell r="A2588">
            <v>46234</v>
          </cell>
          <cell r="D2588" t="str">
            <v>STAR ILIGAN</v>
          </cell>
          <cell r="E2588">
            <v>5</v>
          </cell>
          <cell r="H2588" t="str">
            <v>APLUS</v>
          </cell>
          <cell r="N2588">
            <v>1000</v>
          </cell>
          <cell r="Y2588">
            <v>46236</v>
          </cell>
          <cell r="Z2588">
            <v>1</v>
          </cell>
          <cell r="AA2588">
            <v>1000</v>
          </cell>
        </row>
        <row r="2589">
          <cell r="A2589">
            <v>46234</v>
          </cell>
          <cell r="D2589" t="str">
            <v>STAR ILIGAN</v>
          </cell>
          <cell r="E2589">
            <v>5</v>
          </cell>
          <cell r="H2589" t="str">
            <v>LAPU-LAPU</v>
          </cell>
          <cell r="N2589">
            <v>1000</v>
          </cell>
          <cell r="Y2589">
            <v>46235</v>
          </cell>
          <cell r="Z2589">
            <v>2</v>
          </cell>
          <cell r="AA2589">
            <v>1000</v>
          </cell>
        </row>
        <row r="2590">
          <cell r="A2590">
            <v>46234</v>
          </cell>
          <cell r="D2590" t="str">
            <v>STAR ILIGAN</v>
          </cell>
          <cell r="E2590">
            <v>5</v>
          </cell>
          <cell r="H2590" t="str">
            <v>GEO</v>
          </cell>
          <cell r="N2590">
            <v>1000</v>
          </cell>
          <cell r="Y2590">
            <v>46235</v>
          </cell>
          <cell r="Z2590">
            <v>1</v>
          </cell>
          <cell r="AA2590">
            <v>1000</v>
          </cell>
        </row>
        <row r="2591">
          <cell r="A2591">
            <v>46234</v>
          </cell>
          <cell r="D2591" t="str">
            <v>STAR ILIGAN</v>
          </cell>
          <cell r="E2591">
            <v>5</v>
          </cell>
          <cell r="H2591" t="str">
            <v>SAFISCOR</v>
          </cell>
          <cell r="N2591">
            <v>1000</v>
          </cell>
          <cell r="Y2591">
            <v>46234</v>
          </cell>
          <cell r="Z2591">
            <v>2</v>
          </cell>
          <cell r="AA2591">
            <v>1000</v>
          </cell>
        </row>
        <row r="2592">
          <cell r="A2592">
            <v>46234</v>
          </cell>
          <cell r="D2592" t="str">
            <v>STAR ILIGAN</v>
          </cell>
          <cell r="E2592">
            <v>5</v>
          </cell>
          <cell r="H2592" t="str">
            <v>SAFISCOR</v>
          </cell>
          <cell r="N2592">
            <v>1000</v>
          </cell>
          <cell r="Y2592">
            <v>46236</v>
          </cell>
          <cell r="Z2592">
            <v>1</v>
          </cell>
          <cell r="AA2592">
            <v>1000</v>
          </cell>
        </row>
        <row r="2593">
          <cell r="A2593">
            <v>46234</v>
          </cell>
          <cell r="D2593" t="str">
            <v>STAR ILIGAN</v>
          </cell>
          <cell r="E2593">
            <v>5</v>
          </cell>
          <cell r="H2593" t="str">
            <v>SAFISCOR</v>
          </cell>
          <cell r="N2593">
            <v>1000</v>
          </cell>
          <cell r="Y2593">
            <v>46236</v>
          </cell>
          <cell r="Z2593">
            <v>1</v>
          </cell>
          <cell r="AA2593">
            <v>1000</v>
          </cell>
        </row>
        <row r="2594">
          <cell r="A2594">
            <v>46234</v>
          </cell>
          <cell r="D2594" t="str">
            <v>STAR ILIGAN</v>
          </cell>
          <cell r="E2594">
            <v>5</v>
          </cell>
          <cell r="H2594" t="str">
            <v>GEO</v>
          </cell>
          <cell r="N2594">
            <v>1000</v>
          </cell>
          <cell r="Y2594">
            <v>46235</v>
          </cell>
          <cell r="Z2594">
            <v>1</v>
          </cell>
          <cell r="AA2594">
            <v>1000</v>
          </cell>
        </row>
        <row r="2595">
          <cell r="A2595">
            <v>46234</v>
          </cell>
          <cell r="D2595" t="str">
            <v>LADY OF PEACE</v>
          </cell>
          <cell r="E2595">
            <v>4</v>
          </cell>
          <cell r="H2595" t="str">
            <v>SAFISCOR</v>
          </cell>
          <cell r="N2595">
            <v>1000</v>
          </cell>
          <cell r="Y2595">
            <v>46234</v>
          </cell>
          <cell r="Z2595">
            <v>2</v>
          </cell>
          <cell r="AA2595">
            <v>1000</v>
          </cell>
        </row>
        <row r="2596">
          <cell r="A2596">
            <v>46234</v>
          </cell>
          <cell r="D2596" t="str">
            <v>EFG 5</v>
          </cell>
          <cell r="E2596">
            <v>3</v>
          </cell>
          <cell r="H2596" t="str">
            <v>SAFISCOR</v>
          </cell>
          <cell r="N2596">
            <v>1000</v>
          </cell>
          <cell r="Y2596">
            <v>46234</v>
          </cell>
          <cell r="Z2596">
            <v>2</v>
          </cell>
          <cell r="AA2596">
            <v>1000</v>
          </cell>
        </row>
        <row r="2597">
          <cell r="A2597">
            <v>46234</v>
          </cell>
          <cell r="D2597" t="str">
            <v>EFG 5</v>
          </cell>
          <cell r="E2597">
            <v>3</v>
          </cell>
          <cell r="H2597" t="str">
            <v>LAPU-LAPU</v>
          </cell>
          <cell r="N2597">
            <v>1000</v>
          </cell>
          <cell r="Y2597">
            <v>46234</v>
          </cell>
          <cell r="Z2597">
            <v>2</v>
          </cell>
          <cell r="AA2597">
            <v>1000</v>
          </cell>
        </row>
        <row r="2598">
          <cell r="A2598">
            <v>46234</v>
          </cell>
          <cell r="D2598" t="str">
            <v>AGNES LILYGENE</v>
          </cell>
          <cell r="E2598">
            <v>2</v>
          </cell>
          <cell r="H2598" t="str">
            <v>SAFISCOR</v>
          </cell>
          <cell r="N2598">
            <v>1000</v>
          </cell>
          <cell r="Y2598">
            <v>46235</v>
          </cell>
          <cell r="Z2598">
            <v>1</v>
          </cell>
          <cell r="AA2598">
            <v>1000</v>
          </cell>
        </row>
        <row r="2599">
          <cell r="A2599">
            <v>46234</v>
          </cell>
          <cell r="D2599" t="str">
            <v>AGNES LILYGENE</v>
          </cell>
          <cell r="E2599">
            <v>2</v>
          </cell>
          <cell r="H2599" t="str">
            <v>SAFISCOR</v>
          </cell>
          <cell r="N2599">
            <v>1000</v>
          </cell>
          <cell r="Y2599">
            <v>46236</v>
          </cell>
          <cell r="Z2599">
            <v>1</v>
          </cell>
          <cell r="AA2599">
            <v>1000</v>
          </cell>
        </row>
        <row r="2600">
          <cell r="A2600">
            <v>46234</v>
          </cell>
          <cell r="D2600" t="str">
            <v>AGNES LILYGENE</v>
          </cell>
          <cell r="E2600">
            <v>2</v>
          </cell>
          <cell r="H2600" t="str">
            <v>SAFISCOR</v>
          </cell>
          <cell r="N2600">
            <v>1000</v>
          </cell>
          <cell r="Y2600">
            <v>46235</v>
          </cell>
          <cell r="Z2600">
            <v>1</v>
          </cell>
          <cell r="AA2600">
            <v>1000</v>
          </cell>
        </row>
        <row r="2601">
          <cell r="A2601">
            <v>46234</v>
          </cell>
          <cell r="D2601" t="str">
            <v>AGNES LILYGENE</v>
          </cell>
          <cell r="E2601">
            <v>2</v>
          </cell>
          <cell r="H2601" t="str">
            <v>SAFISCOR</v>
          </cell>
          <cell r="N2601">
            <v>1000</v>
          </cell>
          <cell r="Y2601">
            <v>46235</v>
          </cell>
          <cell r="Z2601">
            <v>2</v>
          </cell>
          <cell r="AA2601">
            <v>1000</v>
          </cell>
        </row>
        <row r="2602">
          <cell r="A2602">
            <v>46234</v>
          </cell>
          <cell r="D2602" t="str">
            <v>AGNES LILYGENE</v>
          </cell>
          <cell r="E2602">
            <v>2</v>
          </cell>
          <cell r="H2602" t="str">
            <v>SAFISCOR</v>
          </cell>
          <cell r="N2602">
            <v>1000</v>
          </cell>
          <cell r="Y2602">
            <v>46234</v>
          </cell>
          <cell r="Z2602">
            <v>2</v>
          </cell>
          <cell r="AA2602">
            <v>1000</v>
          </cell>
        </row>
        <row r="2603">
          <cell r="A2603">
            <v>46234</v>
          </cell>
          <cell r="D2603" t="str">
            <v>AGNES LILYGENE</v>
          </cell>
          <cell r="E2603">
            <v>2</v>
          </cell>
          <cell r="H2603" t="str">
            <v>SAFISCOR</v>
          </cell>
          <cell r="N2603">
            <v>1000</v>
          </cell>
          <cell r="Y2603">
            <v>46234</v>
          </cell>
          <cell r="Z2603">
            <v>2</v>
          </cell>
          <cell r="AA2603">
            <v>1000</v>
          </cell>
        </row>
        <row r="2604">
          <cell r="A2604">
            <v>46234</v>
          </cell>
          <cell r="D2604" t="str">
            <v>STAR ILIGAN</v>
          </cell>
          <cell r="E2604">
            <v>5</v>
          </cell>
          <cell r="H2604" t="str">
            <v>LAPU-LAPU</v>
          </cell>
          <cell r="N2604">
            <v>1000</v>
          </cell>
          <cell r="Y2604">
            <v>46235</v>
          </cell>
          <cell r="Z2604">
            <v>2</v>
          </cell>
          <cell r="AA2604">
            <v>1000</v>
          </cell>
        </row>
        <row r="2605">
          <cell r="A2605">
            <v>46234</v>
          </cell>
          <cell r="D2605" t="str">
            <v>STAR ILIGAN</v>
          </cell>
          <cell r="E2605">
            <v>5</v>
          </cell>
          <cell r="H2605" t="str">
            <v>SAFISCOR</v>
          </cell>
          <cell r="N2605">
            <v>1000</v>
          </cell>
          <cell r="Y2605">
            <v>46235</v>
          </cell>
          <cell r="Z2605">
            <v>1</v>
          </cell>
          <cell r="AA2605">
            <v>1000</v>
          </cell>
        </row>
        <row r="2606">
          <cell r="A2606">
            <v>46234</v>
          </cell>
          <cell r="D2606" t="str">
            <v>STAR ILIGAN</v>
          </cell>
          <cell r="E2606">
            <v>5</v>
          </cell>
          <cell r="H2606" t="str">
            <v>SAFISCOR</v>
          </cell>
          <cell r="N2606">
            <v>1000</v>
          </cell>
          <cell r="Y2606">
            <v>46235</v>
          </cell>
          <cell r="Z2606">
            <v>1</v>
          </cell>
          <cell r="AA2606">
            <v>1000</v>
          </cell>
        </row>
        <row r="2607">
          <cell r="A2607">
            <v>46234</v>
          </cell>
          <cell r="D2607" t="str">
            <v>STAR ILIGAN</v>
          </cell>
          <cell r="E2607">
            <v>5</v>
          </cell>
          <cell r="H2607" t="str">
            <v>LAPU-LAPU</v>
          </cell>
          <cell r="N2607">
            <v>1000</v>
          </cell>
          <cell r="Y2607">
            <v>46235</v>
          </cell>
          <cell r="Z2607">
            <v>2</v>
          </cell>
          <cell r="AA2607">
            <v>1000</v>
          </cell>
        </row>
        <row r="2608">
          <cell r="A2608">
            <v>46234</v>
          </cell>
          <cell r="D2608" t="str">
            <v>STAR ILIGAN</v>
          </cell>
          <cell r="E2608">
            <v>5</v>
          </cell>
          <cell r="H2608" t="str">
            <v>LAPU-LAPU</v>
          </cell>
          <cell r="N2608">
            <v>1000</v>
          </cell>
          <cell r="Y2608">
            <v>46235</v>
          </cell>
          <cell r="Z2608">
            <v>2</v>
          </cell>
          <cell r="AA2608">
            <v>1000</v>
          </cell>
        </row>
        <row r="2609">
          <cell r="A2609">
            <v>46234</v>
          </cell>
          <cell r="D2609" t="str">
            <v>STAR ILIGAN</v>
          </cell>
          <cell r="E2609">
            <v>5</v>
          </cell>
          <cell r="H2609" t="str">
            <v>SAFISCOR</v>
          </cell>
          <cell r="N2609">
            <v>1000</v>
          </cell>
          <cell r="Y2609">
            <v>46236</v>
          </cell>
          <cell r="Z2609">
            <v>1</v>
          </cell>
          <cell r="AA2609">
            <v>1000</v>
          </cell>
        </row>
        <row r="2610">
          <cell r="A2610">
            <v>46234</v>
          </cell>
          <cell r="D2610" t="str">
            <v>STAR ILIGAN</v>
          </cell>
          <cell r="E2610">
            <v>5</v>
          </cell>
          <cell r="H2610" t="str">
            <v>LAPU-LAPU</v>
          </cell>
          <cell r="N2610">
            <v>1000</v>
          </cell>
          <cell r="Y2610">
            <v>46235</v>
          </cell>
          <cell r="Z2610">
            <v>2</v>
          </cell>
          <cell r="AA2610">
            <v>1000</v>
          </cell>
        </row>
        <row r="2611">
          <cell r="A2611">
            <v>46234</v>
          </cell>
          <cell r="D2611" t="str">
            <v>STAR ILIGAN</v>
          </cell>
          <cell r="E2611">
            <v>5</v>
          </cell>
          <cell r="H2611" t="str">
            <v>SAFISCOR</v>
          </cell>
          <cell r="N2611">
            <v>1000</v>
          </cell>
          <cell r="Y2611">
            <v>46235</v>
          </cell>
          <cell r="Z2611">
            <v>2</v>
          </cell>
          <cell r="AA2611">
            <v>1000</v>
          </cell>
        </row>
        <row r="2612">
          <cell r="A2612">
            <v>46234</v>
          </cell>
          <cell r="D2612" t="str">
            <v>STAR ILIGAN</v>
          </cell>
          <cell r="E2612">
            <v>5</v>
          </cell>
          <cell r="H2612" t="str">
            <v>SAFISCOR</v>
          </cell>
          <cell r="N2612">
            <v>1000</v>
          </cell>
          <cell r="Y2612">
            <v>46236</v>
          </cell>
          <cell r="Z2612">
            <v>1</v>
          </cell>
          <cell r="AA2612">
            <v>1000</v>
          </cell>
        </row>
        <row r="2613">
          <cell r="A2613">
            <v>46234</v>
          </cell>
          <cell r="D2613" t="str">
            <v>QUEEN CAROLYN</v>
          </cell>
          <cell r="E2613">
            <v>5</v>
          </cell>
          <cell r="H2613" t="str">
            <v>SAFISCOR</v>
          </cell>
          <cell r="N2613">
            <v>1000</v>
          </cell>
          <cell r="Y2613">
            <v>46235</v>
          </cell>
          <cell r="Z2613">
            <v>1</v>
          </cell>
          <cell r="AA2613">
            <v>1000</v>
          </cell>
        </row>
        <row r="2614">
          <cell r="A2614">
            <v>46234</v>
          </cell>
          <cell r="D2614" t="str">
            <v>QUEEN CAROLYN</v>
          </cell>
          <cell r="E2614">
            <v>5</v>
          </cell>
          <cell r="H2614" t="str">
            <v>SAFISCOR</v>
          </cell>
          <cell r="N2614">
            <v>1000</v>
          </cell>
          <cell r="Y2614">
            <v>46235</v>
          </cell>
          <cell r="Z2614">
            <v>1</v>
          </cell>
          <cell r="AA2614">
            <v>1000</v>
          </cell>
        </row>
        <row r="2615">
          <cell r="A2615">
            <v>46235</v>
          </cell>
          <cell r="D2615" t="str">
            <v>INFINITY 8</v>
          </cell>
          <cell r="E2615">
            <v>3</v>
          </cell>
          <cell r="H2615" t="str">
            <v>BADIE</v>
          </cell>
          <cell r="N2615">
            <v>1000</v>
          </cell>
          <cell r="Y2615">
            <v>46235</v>
          </cell>
          <cell r="Z2615">
            <v>1</v>
          </cell>
          <cell r="AA2615">
            <v>1000</v>
          </cell>
        </row>
        <row r="2616">
          <cell r="A2616">
            <v>46235</v>
          </cell>
          <cell r="D2616" t="str">
            <v>INFINITY 8</v>
          </cell>
          <cell r="E2616">
            <v>3</v>
          </cell>
          <cell r="H2616" t="str">
            <v>GEO</v>
          </cell>
          <cell r="N2616">
            <v>1000</v>
          </cell>
          <cell r="Y2616">
            <v>46235</v>
          </cell>
          <cell r="Z2616">
            <v>1</v>
          </cell>
          <cell r="AA2616">
            <v>1000</v>
          </cell>
        </row>
        <row r="2617">
          <cell r="A2617">
            <v>46235</v>
          </cell>
          <cell r="D2617" t="str">
            <v>INFINITY 8</v>
          </cell>
          <cell r="E2617">
            <v>3</v>
          </cell>
          <cell r="H2617" t="str">
            <v>LAPU-LAPU</v>
          </cell>
          <cell r="N2617">
            <v>1000</v>
          </cell>
          <cell r="Y2617">
            <v>46235</v>
          </cell>
          <cell r="Z2617">
            <v>1</v>
          </cell>
          <cell r="AA2617">
            <v>1000</v>
          </cell>
        </row>
        <row r="2618">
          <cell r="A2618">
            <v>46235</v>
          </cell>
          <cell r="D2618" t="str">
            <v>INFINITY 8</v>
          </cell>
          <cell r="E2618">
            <v>3</v>
          </cell>
          <cell r="H2618" t="str">
            <v>SAFISCOR</v>
          </cell>
          <cell r="N2618">
            <v>1000</v>
          </cell>
          <cell r="Y2618">
            <v>46235</v>
          </cell>
          <cell r="Z2618">
            <v>2</v>
          </cell>
          <cell r="AA2618">
            <v>1000</v>
          </cell>
        </row>
        <row r="2619">
          <cell r="A2619">
            <v>46235</v>
          </cell>
          <cell r="D2619" t="str">
            <v>INFINITY 8</v>
          </cell>
          <cell r="E2619">
            <v>3</v>
          </cell>
          <cell r="H2619" t="str">
            <v>SAFISCOR</v>
          </cell>
          <cell r="N2619">
            <v>1000</v>
          </cell>
          <cell r="Y2619">
            <v>46235</v>
          </cell>
          <cell r="Z2619">
            <v>2</v>
          </cell>
          <cell r="AA2619">
            <v>1000</v>
          </cell>
        </row>
        <row r="2620">
          <cell r="A2620">
            <v>46235</v>
          </cell>
          <cell r="D2620" t="str">
            <v>INFINITY 8</v>
          </cell>
          <cell r="E2620">
            <v>3</v>
          </cell>
          <cell r="H2620" t="str">
            <v>SAFISCOR</v>
          </cell>
          <cell r="N2620">
            <v>1000</v>
          </cell>
          <cell r="Y2620">
            <v>46235</v>
          </cell>
          <cell r="Z2620">
            <v>1</v>
          </cell>
          <cell r="AA2620">
            <v>1000</v>
          </cell>
        </row>
        <row r="2621">
          <cell r="A2621">
            <v>46235</v>
          </cell>
          <cell r="D2621" t="str">
            <v>INFINITY 8</v>
          </cell>
          <cell r="E2621">
            <v>3</v>
          </cell>
          <cell r="H2621" t="str">
            <v>SAFISCOR</v>
          </cell>
          <cell r="N2621">
            <v>1000</v>
          </cell>
          <cell r="Y2621">
            <v>46235</v>
          </cell>
          <cell r="Z2621">
            <v>1</v>
          </cell>
          <cell r="AA2621">
            <v>1000</v>
          </cell>
        </row>
        <row r="2622">
          <cell r="A2622">
            <v>46235</v>
          </cell>
          <cell r="D2622" t="str">
            <v>INFINITY 8</v>
          </cell>
          <cell r="E2622">
            <v>3</v>
          </cell>
          <cell r="H2622" t="str">
            <v>SAFISCOR</v>
          </cell>
          <cell r="N2622">
            <v>1000</v>
          </cell>
          <cell r="Y2622">
            <v>46235</v>
          </cell>
          <cell r="Z2622">
            <v>1</v>
          </cell>
          <cell r="AA2622">
            <v>1000</v>
          </cell>
        </row>
        <row r="2623">
          <cell r="A2623">
            <v>46235</v>
          </cell>
          <cell r="D2623" t="str">
            <v>EFG 5</v>
          </cell>
          <cell r="E2623">
            <v>3</v>
          </cell>
          <cell r="H2623" t="str">
            <v>LAPU-LAPU</v>
          </cell>
          <cell r="N2623">
            <v>1000</v>
          </cell>
          <cell r="Y2623">
            <v>46235</v>
          </cell>
          <cell r="Z2623">
            <v>2</v>
          </cell>
          <cell r="AA2623">
            <v>1000</v>
          </cell>
        </row>
        <row r="2624">
          <cell r="A2624">
            <v>46235</v>
          </cell>
          <cell r="D2624" t="str">
            <v>AGNES LILYGENE</v>
          </cell>
          <cell r="E2624">
            <v>2</v>
          </cell>
          <cell r="H2624" t="str">
            <v>FULACHE</v>
          </cell>
          <cell r="N2624">
            <v>1000</v>
          </cell>
          <cell r="Y2624">
            <v>46235</v>
          </cell>
          <cell r="Z2624">
            <v>1</v>
          </cell>
          <cell r="AA2624">
            <v>1000</v>
          </cell>
        </row>
        <row r="2625">
          <cell r="A2625">
            <v>46235</v>
          </cell>
          <cell r="D2625" t="str">
            <v>AGNES LILYGENE</v>
          </cell>
          <cell r="E2625">
            <v>2</v>
          </cell>
          <cell r="H2625" t="str">
            <v>SAFISCOR</v>
          </cell>
          <cell r="N2625">
            <v>1000</v>
          </cell>
          <cell r="Y2625">
            <v>46236</v>
          </cell>
          <cell r="Z2625">
            <v>1</v>
          </cell>
          <cell r="AA2625">
            <v>1000</v>
          </cell>
        </row>
        <row r="2626">
          <cell r="A2626">
            <v>46235</v>
          </cell>
          <cell r="D2626" t="str">
            <v>AGNES LILYGENE</v>
          </cell>
          <cell r="E2626">
            <v>2</v>
          </cell>
          <cell r="H2626" t="str">
            <v>GEO</v>
          </cell>
          <cell r="N2626">
            <v>1000</v>
          </cell>
          <cell r="Y2626">
            <v>46235</v>
          </cell>
          <cell r="Z2626">
            <v>2</v>
          </cell>
          <cell r="AA2626">
            <v>1000</v>
          </cell>
        </row>
        <row r="2627">
          <cell r="A2627">
            <v>46235</v>
          </cell>
          <cell r="D2627" t="str">
            <v>AGNES LILYGENE</v>
          </cell>
          <cell r="E2627">
            <v>2</v>
          </cell>
          <cell r="H2627" t="str">
            <v>SAFISCOR</v>
          </cell>
          <cell r="N2627">
            <v>1000</v>
          </cell>
          <cell r="Y2627">
            <v>46236</v>
          </cell>
          <cell r="Z2627">
            <v>1</v>
          </cell>
          <cell r="AA2627">
            <v>1000</v>
          </cell>
        </row>
        <row r="2628">
          <cell r="A2628">
            <v>46235</v>
          </cell>
          <cell r="D2628" t="str">
            <v>QUEEN CAROLYN</v>
          </cell>
          <cell r="E2628">
            <v>5</v>
          </cell>
          <cell r="H2628" t="str">
            <v>LAPU-LAPU</v>
          </cell>
          <cell r="N2628">
            <v>1000</v>
          </cell>
          <cell r="Y2628">
            <v>46235</v>
          </cell>
          <cell r="Z2628">
            <v>1</v>
          </cell>
          <cell r="AA2628">
            <v>1000</v>
          </cell>
        </row>
        <row r="2629">
          <cell r="A2629">
            <v>46235</v>
          </cell>
          <cell r="D2629" t="str">
            <v>AGNES LILYGENE</v>
          </cell>
          <cell r="E2629">
            <v>2</v>
          </cell>
          <cell r="H2629" t="str">
            <v>SAFISCOR</v>
          </cell>
          <cell r="N2629">
            <v>1000</v>
          </cell>
          <cell r="Y2629">
            <v>46235</v>
          </cell>
          <cell r="Z2629">
            <v>2</v>
          </cell>
          <cell r="AA2629">
            <v>1000</v>
          </cell>
        </row>
        <row r="2630">
          <cell r="A2630">
            <v>46235</v>
          </cell>
          <cell r="D2630" t="str">
            <v>AGNES LILYGENE</v>
          </cell>
          <cell r="E2630">
            <v>2</v>
          </cell>
          <cell r="H2630" t="str">
            <v>SAFISCOR</v>
          </cell>
          <cell r="N2630">
            <v>1000</v>
          </cell>
          <cell r="Y2630">
            <v>46235</v>
          </cell>
          <cell r="Z2630">
            <v>2</v>
          </cell>
          <cell r="AA2630">
            <v>1000</v>
          </cell>
        </row>
        <row r="2631">
          <cell r="A2631">
            <v>46235</v>
          </cell>
          <cell r="D2631" t="str">
            <v>AGNES LILYGENE</v>
          </cell>
          <cell r="E2631">
            <v>2</v>
          </cell>
          <cell r="H2631" t="str">
            <v>SAFISCOR</v>
          </cell>
          <cell r="N2631">
            <v>1000</v>
          </cell>
          <cell r="Y2631">
            <v>46235</v>
          </cell>
          <cell r="Z2631">
            <v>2</v>
          </cell>
          <cell r="AA2631">
            <v>1000</v>
          </cell>
        </row>
        <row r="2632">
          <cell r="A2632">
            <v>46235</v>
          </cell>
          <cell r="D2632" t="str">
            <v>AGNES LILYGENE</v>
          </cell>
          <cell r="E2632">
            <v>2</v>
          </cell>
          <cell r="H2632" t="str">
            <v>SAFISCOR</v>
          </cell>
          <cell r="N2632">
            <v>1000</v>
          </cell>
          <cell r="Y2632">
            <v>46236</v>
          </cell>
          <cell r="Z2632">
            <v>1</v>
          </cell>
          <cell r="AA2632">
            <v>1000</v>
          </cell>
        </row>
        <row r="2633">
          <cell r="A2633">
            <v>46235</v>
          </cell>
          <cell r="D2633" t="str">
            <v>AGNES LILYGENE</v>
          </cell>
          <cell r="E2633">
            <v>2</v>
          </cell>
          <cell r="H2633" t="str">
            <v>FULACHE</v>
          </cell>
          <cell r="N2633">
            <v>1000</v>
          </cell>
          <cell r="Y2633">
            <v>46235</v>
          </cell>
          <cell r="Z2633">
            <v>2</v>
          </cell>
          <cell r="AA2633">
            <v>1000</v>
          </cell>
        </row>
        <row r="2634">
          <cell r="A2634">
            <v>46235</v>
          </cell>
          <cell r="D2634" t="str">
            <v>AGNES LILYGENE</v>
          </cell>
          <cell r="E2634">
            <v>2</v>
          </cell>
          <cell r="H2634" t="str">
            <v>GEO</v>
          </cell>
          <cell r="N2634">
            <v>1000</v>
          </cell>
          <cell r="Y2634">
            <v>46235</v>
          </cell>
          <cell r="Z2634">
            <v>1</v>
          </cell>
          <cell r="AA2634">
            <v>1000</v>
          </cell>
        </row>
        <row r="2635">
          <cell r="A2635">
            <v>46235</v>
          </cell>
          <cell r="D2635" t="str">
            <v>EFG 5</v>
          </cell>
          <cell r="E2635">
            <v>3</v>
          </cell>
          <cell r="H2635" t="str">
            <v>SAFISCOR</v>
          </cell>
          <cell r="N2635">
            <v>1000</v>
          </cell>
          <cell r="Y2635">
            <v>46236</v>
          </cell>
          <cell r="Z2635">
            <v>1</v>
          </cell>
          <cell r="AA2635">
            <v>1000</v>
          </cell>
        </row>
        <row r="2636">
          <cell r="A2636">
            <v>46235</v>
          </cell>
          <cell r="D2636" t="str">
            <v>EFG 5</v>
          </cell>
          <cell r="E2636">
            <v>3</v>
          </cell>
          <cell r="H2636" t="str">
            <v>SAFISCOR</v>
          </cell>
          <cell r="N2636">
            <v>1000</v>
          </cell>
          <cell r="Y2636">
            <v>46235</v>
          </cell>
          <cell r="Z2636">
            <v>2</v>
          </cell>
          <cell r="AA2636">
            <v>1000</v>
          </cell>
        </row>
        <row r="2637">
          <cell r="A2637">
            <v>46235</v>
          </cell>
          <cell r="D2637" t="str">
            <v>EFG 5</v>
          </cell>
          <cell r="E2637">
            <v>3</v>
          </cell>
          <cell r="H2637" t="str">
            <v>SAFISCOR</v>
          </cell>
          <cell r="N2637">
            <v>1000</v>
          </cell>
          <cell r="Y2637">
            <v>46236</v>
          </cell>
          <cell r="Z2637">
            <v>1</v>
          </cell>
          <cell r="AA2637">
            <v>1000</v>
          </cell>
        </row>
        <row r="2638">
          <cell r="A2638">
            <v>46235</v>
          </cell>
          <cell r="D2638" t="str">
            <v>EFG 5</v>
          </cell>
          <cell r="E2638">
            <v>3</v>
          </cell>
          <cell r="H2638" t="str">
            <v>SAFISCOR</v>
          </cell>
          <cell r="N2638">
            <v>1000</v>
          </cell>
          <cell r="Y2638">
            <v>46236</v>
          </cell>
          <cell r="Z2638">
            <v>1</v>
          </cell>
          <cell r="AA2638">
            <v>1000</v>
          </cell>
        </row>
        <row r="2639">
          <cell r="A2639">
            <v>46235</v>
          </cell>
          <cell r="D2639" t="str">
            <v>EFG 5</v>
          </cell>
          <cell r="E2639">
            <v>3</v>
          </cell>
          <cell r="H2639" t="str">
            <v>LAPU-LAPU</v>
          </cell>
          <cell r="N2639">
            <v>1000</v>
          </cell>
          <cell r="Y2639">
            <v>46235</v>
          </cell>
          <cell r="Z2639">
            <v>2</v>
          </cell>
          <cell r="AA2639">
            <v>1000</v>
          </cell>
        </row>
        <row r="2640">
          <cell r="A2640">
            <v>46235</v>
          </cell>
          <cell r="D2640" t="str">
            <v>EFG 5</v>
          </cell>
          <cell r="E2640">
            <v>3</v>
          </cell>
          <cell r="H2640" t="str">
            <v>LAPU-LAPU</v>
          </cell>
          <cell r="N2640">
            <v>1000</v>
          </cell>
          <cell r="Y2640">
            <v>46235</v>
          </cell>
          <cell r="Z2640">
            <v>2</v>
          </cell>
          <cell r="AA2640">
            <v>1000</v>
          </cell>
        </row>
        <row r="2641">
          <cell r="A2641">
            <v>46235</v>
          </cell>
          <cell r="D2641" t="str">
            <v>QUEEN CAROLYN</v>
          </cell>
          <cell r="E2641">
            <v>5</v>
          </cell>
          <cell r="H2641" t="str">
            <v>SAFISCOR</v>
          </cell>
          <cell r="N2641">
            <v>1000</v>
          </cell>
          <cell r="Y2641">
            <v>46235</v>
          </cell>
          <cell r="Z2641">
            <v>1</v>
          </cell>
          <cell r="AA2641">
            <v>1000</v>
          </cell>
        </row>
        <row r="2642">
          <cell r="A2642">
            <v>46235</v>
          </cell>
          <cell r="D2642" t="str">
            <v>EFG 5</v>
          </cell>
          <cell r="E2642">
            <v>3</v>
          </cell>
          <cell r="H2642" t="str">
            <v>GEO</v>
          </cell>
          <cell r="N2642">
            <v>1000</v>
          </cell>
          <cell r="Y2642">
            <v>46235</v>
          </cell>
          <cell r="Z2642">
            <v>2</v>
          </cell>
          <cell r="AA2642">
            <v>1000</v>
          </cell>
        </row>
        <row r="2643">
          <cell r="A2643">
            <v>46235</v>
          </cell>
          <cell r="D2643" t="str">
            <v>EFG 5</v>
          </cell>
          <cell r="E2643">
            <v>3</v>
          </cell>
          <cell r="H2643" t="str">
            <v>SAFISCOR</v>
          </cell>
          <cell r="N2643">
            <v>1000</v>
          </cell>
          <cell r="Y2643">
            <v>46235</v>
          </cell>
          <cell r="Z2643">
            <v>2</v>
          </cell>
          <cell r="AA2643">
            <v>1000</v>
          </cell>
        </row>
        <row r="2644">
          <cell r="A2644">
            <v>46235</v>
          </cell>
          <cell r="D2644" t="str">
            <v>EFG 5</v>
          </cell>
          <cell r="E2644">
            <v>3</v>
          </cell>
          <cell r="H2644" t="str">
            <v>SAFISCOR</v>
          </cell>
          <cell r="N2644">
            <v>1000</v>
          </cell>
          <cell r="Y2644">
            <v>46235</v>
          </cell>
          <cell r="Z2644">
            <v>2</v>
          </cell>
          <cell r="AA2644">
            <v>1000</v>
          </cell>
        </row>
        <row r="2645">
          <cell r="A2645">
            <v>46235</v>
          </cell>
          <cell r="D2645" t="str">
            <v>EFG 5</v>
          </cell>
          <cell r="E2645">
            <v>3</v>
          </cell>
          <cell r="H2645" t="str">
            <v>SAFISCOR</v>
          </cell>
          <cell r="N2645">
            <v>1000</v>
          </cell>
          <cell r="Y2645">
            <v>46235</v>
          </cell>
          <cell r="Z2645">
            <v>2</v>
          </cell>
          <cell r="AA2645">
            <v>1000</v>
          </cell>
        </row>
        <row r="2646">
          <cell r="A2646">
            <v>46235</v>
          </cell>
          <cell r="D2646" t="str">
            <v>EFG 5</v>
          </cell>
          <cell r="E2646">
            <v>3</v>
          </cell>
          <cell r="H2646" t="str">
            <v>SAFISCOR</v>
          </cell>
          <cell r="N2646">
            <v>1000</v>
          </cell>
          <cell r="Y2646">
            <v>46235</v>
          </cell>
          <cell r="Z2646">
            <v>2</v>
          </cell>
          <cell r="AA2646">
            <v>1000</v>
          </cell>
        </row>
        <row r="2647">
          <cell r="A2647">
            <v>46235</v>
          </cell>
          <cell r="D2647" t="str">
            <v>EFG 5</v>
          </cell>
          <cell r="E2647">
            <v>3</v>
          </cell>
          <cell r="H2647" t="str">
            <v>SAFISCOR</v>
          </cell>
          <cell r="N2647">
            <v>1000</v>
          </cell>
          <cell r="Y2647">
            <v>46235</v>
          </cell>
          <cell r="Z2647">
            <v>2</v>
          </cell>
          <cell r="AA2647">
            <v>1000</v>
          </cell>
        </row>
        <row r="2648">
          <cell r="A2648">
            <v>46235</v>
          </cell>
          <cell r="D2648" t="str">
            <v>INFINITY 8</v>
          </cell>
          <cell r="E2648">
            <v>3</v>
          </cell>
          <cell r="H2648" t="str">
            <v>SAFISCOR</v>
          </cell>
          <cell r="N2648">
            <v>1000</v>
          </cell>
          <cell r="Y2648">
            <v>46235</v>
          </cell>
          <cell r="Z2648">
            <v>2</v>
          </cell>
          <cell r="AA2648">
            <v>1000</v>
          </cell>
        </row>
        <row r="2649">
          <cell r="A2649">
            <v>46235</v>
          </cell>
          <cell r="D2649" t="str">
            <v>AGNES LILYGENE</v>
          </cell>
          <cell r="E2649">
            <v>2</v>
          </cell>
          <cell r="H2649" t="str">
            <v>SAFISCOR</v>
          </cell>
          <cell r="N2649">
            <v>1000</v>
          </cell>
          <cell r="Y2649">
            <v>46236</v>
          </cell>
          <cell r="Z2649">
            <v>1</v>
          </cell>
          <cell r="AA2649">
            <v>1000</v>
          </cell>
        </row>
        <row r="2650">
          <cell r="A2650">
            <v>46235</v>
          </cell>
          <cell r="D2650" t="str">
            <v>EFG 5</v>
          </cell>
          <cell r="E2650">
            <v>3</v>
          </cell>
          <cell r="H2650" t="str">
            <v>SAFISCOR</v>
          </cell>
          <cell r="N2650">
            <v>1000</v>
          </cell>
          <cell r="Y2650">
            <v>46235</v>
          </cell>
          <cell r="Z2650">
            <v>2</v>
          </cell>
          <cell r="AA2650">
            <v>1000</v>
          </cell>
        </row>
        <row r="2651">
          <cell r="A2651">
            <v>46235</v>
          </cell>
          <cell r="D2651" t="str">
            <v>EFG 5</v>
          </cell>
          <cell r="E2651">
            <v>3</v>
          </cell>
          <cell r="H2651" t="str">
            <v>SAFISCOR</v>
          </cell>
          <cell r="N2651">
            <v>1000</v>
          </cell>
          <cell r="Y2651">
            <v>46235</v>
          </cell>
          <cell r="Z2651">
            <v>2</v>
          </cell>
          <cell r="AA2651">
            <v>1000</v>
          </cell>
        </row>
        <row r="2652">
          <cell r="A2652">
            <v>46235</v>
          </cell>
          <cell r="D2652" t="str">
            <v>AGNES LILYGENE</v>
          </cell>
          <cell r="E2652">
            <v>2</v>
          </cell>
          <cell r="H2652" t="str">
            <v>SAFISCOR</v>
          </cell>
          <cell r="N2652">
            <v>1000</v>
          </cell>
          <cell r="Y2652">
            <v>46236</v>
          </cell>
          <cell r="Z2652">
            <v>1</v>
          </cell>
          <cell r="AA2652">
            <v>1000</v>
          </cell>
        </row>
        <row r="2653">
          <cell r="A2653">
            <v>46235</v>
          </cell>
          <cell r="D2653" t="str">
            <v>AGNES LILYGENE</v>
          </cell>
          <cell r="E2653">
            <v>2</v>
          </cell>
          <cell r="H2653" t="str">
            <v>BADIE</v>
          </cell>
          <cell r="N2653">
            <v>1000</v>
          </cell>
          <cell r="Y2653">
            <v>46235</v>
          </cell>
          <cell r="Z2653">
            <v>2</v>
          </cell>
          <cell r="AA2653">
            <v>1000</v>
          </cell>
        </row>
        <row r="2654">
          <cell r="A2654">
            <v>46235</v>
          </cell>
          <cell r="D2654" t="str">
            <v>AGNES LILYGENE</v>
          </cell>
          <cell r="E2654">
            <v>2</v>
          </cell>
          <cell r="H2654" t="str">
            <v>GEO</v>
          </cell>
          <cell r="N2654">
            <v>1000</v>
          </cell>
          <cell r="Y2654">
            <v>46235</v>
          </cell>
          <cell r="Z2654">
            <v>2</v>
          </cell>
          <cell r="AA2654">
            <v>1000</v>
          </cell>
        </row>
        <row r="2655">
          <cell r="A2655">
            <v>46235</v>
          </cell>
          <cell r="D2655" t="str">
            <v>EFG 5</v>
          </cell>
          <cell r="E2655">
            <v>3</v>
          </cell>
          <cell r="H2655" t="str">
            <v>SAFISCOR</v>
          </cell>
          <cell r="N2655">
            <v>1000</v>
          </cell>
          <cell r="Y2655">
            <v>46236</v>
          </cell>
          <cell r="Z2655">
            <v>1</v>
          </cell>
          <cell r="AA2655">
            <v>1000</v>
          </cell>
        </row>
        <row r="2656">
          <cell r="A2656">
            <v>46235</v>
          </cell>
          <cell r="D2656" t="str">
            <v>EFG 5</v>
          </cell>
          <cell r="E2656">
            <v>3</v>
          </cell>
          <cell r="H2656" t="str">
            <v>SAFISCOR</v>
          </cell>
          <cell r="N2656">
            <v>1000</v>
          </cell>
          <cell r="Y2656">
            <v>46236</v>
          </cell>
          <cell r="Z2656">
            <v>1</v>
          </cell>
          <cell r="AA2656">
            <v>1000</v>
          </cell>
        </row>
        <row r="2657">
          <cell r="A2657">
            <v>46235</v>
          </cell>
          <cell r="D2657" t="str">
            <v>EFG 5</v>
          </cell>
          <cell r="E2657">
            <v>3</v>
          </cell>
          <cell r="H2657" t="str">
            <v>SAFISCOR</v>
          </cell>
          <cell r="N2657">
            <v>1000</v>
          </cell>
          <cell r="Y2657">
            <v>46236</v>
          </cell>
          <cell r="Z2657">
            <v>1</v>
          </cell>
          <cell r="AA2657">
            <v>1000</v>
          </cell>
        </row>
        <row r="2658">
          <cell r="A2658">
            <v>46235</v>
          </cell>
          <cell r="D2658" t="str">
            <v>EFG 5</v>
          </cell>
          <cell r="E2658">
            <v>3</v>
          </cell>
          <cell r="H2658" t="str">
            <v>SAFISCOR</v>
          </cell>
          <cell r="N2658">
            <v>1000</v>
          </cell>
          <cell r="Y2658">
            <v>46236</v>
          </cell>
          <cell r="Z2658">
            <v>1</v>
          </cell>
          <cell r="AA2658">
            <v>1000</v>
          </cell>
        </row>
        <row r="2659">
          <cell r="A2659">
            <v>46235</v>
          </cell>
          <cell r="D2659" t="str">
            <v>EFG 5</v>
          </cell>
          <cell r="E2659">
            <v>3</v>
          </cell>
          <cell r="H2659" t="str">
            <v>SAFISCOR</v>
          </cell>
          <cell r="N2659">
            <v>1000</v>
          </cell>
          <cell r="Y2659">
            <v>46236</v>
          </cell>
          <cell r="Z2659">
            <v>2</v>
          </cell>
          <cell r="AA2659">
            <v>1000</v>
          </cell>
        </row>
        <row r="2660">
          <cell r="A2660">
            <v>46235</v>
          </cell>
          <cell r="D2660" t="str">
            <v>EFG 5</v>
          </cell>
          <cell r="E2660">
            <v>3</v>
          </cell>
          <cell r="H2660" t="str">
            <v>SAFISCOR</v>
          </cell>
          <cell r="N2660">
            <v>1000</v>
          </cell>
          <cell r="Y2660">
            <v>46236</v>
          </cell>
          <cell r="Z2660">
            <v>2</v>
          </cell>
          <cell r="AA2660">
            <v>1000</v>
          </cell>
        </row>
        <row r="2661">
          <cell r="A2661">
            <v>46235</v>
          </cell>
          <cell r="D2661" t="str">
            <v>EFG 5</v>
          </cell>
          <cell r="E2661">
            <v>3</v>
          </cell>
          <cell r="H2661" t="str">
            <v>SAFISCOR</v>
          </cell>
          <cell r="N2661">
            <v>1000</v>
          </cell>
          <cell r="Y2661">
            <v>46236</v>
          </cell>
          <cell r="Z2661">
            <v>1</v>
          </cell>
          <cell r="AA2661">
            <v>1000</v>
          </cell>
        </row>
        <row r="2662">
          <cell r="A2662">
            <v>46235</v>
          </cell>
          <cell r="D2662" t="str">
            <v>EFG 5</v>
          </cell>
          <cell r="E2662">
            <v>3</v>
          </cell>
          <cell r="H2662" t="str">
            <v>SAFISCOR</v>
          </cell>
          <cell r="N2662">
            <v>1000</v>
          </cell>
          <cell r="Y2662">
            <v>46235</v>
          </cell>
          <cell r="Z2662">
            <v>2</v>
          </cell>
          <cell r="AA2662">
            <v>1000</v>
          </cell>
        </row>
        <row r="2663">
          <cell r="A2663">
            <v>46235</v>
          </cell>
          <cell r="D2663" t="str">
            <v>INFINITY 8</v>
          </cell>
          <cell r="E2663">
            <v>3</v>
          </cell>
          <cell r="H2663" t="str">
            <v>SAFISCOR</v>
          </cell>
          <cell r="N2663">
            <v>1000</v>
          </cell>
          <cell r="Y2663">
            <v>46235</v>
          </cell>
          <cell r="Z2663">
            <v>2</v>
          </cell>
          <cell r="AA2663">
            <v>1000</v>
          </cell>
        </row>
        <row r="2664">
          <cell r="A2664">
            <v>46235</v>
          </cell>
          <cell r="D2664" t="str">
            <v>INFINITY 8</v>
          </cell>
          <cell r="E2664">
            <v>3</v>
          </cell>
          <cell r="H2664" t="str">
            <v>SAFISCOR</v>
          </cell>
          <cell r="N2664">
            <v>1000</v>
          </cell>
          <cell r="Y2664">
            <v>46235</v>
          </cell>
          <cell r="Z2664">
            <v>2</v>
          </cell>
          <cell r="AA2664">
            <v>1000</v>
          </cell>
        </row>
        <row r="2665">
          <cell r="A2665">
            <v>46235</v>
          </cell>
          <cell r="D2665" t="str">
            <v>EFG 5</v>
          </cell>
          <cell r="E2665">
            <v>3</v>
          </cell>
          <cell r="H2665" t="str">
            <v>SAFISCOR</v>
          </cell>
          <cell r="N2665">
            <v>1000</v>
          </cell>
          <cell r="Y2665">
            <v>46236</v>
          </cell>
          <cell r="Z2665">
            <v>1</v>
          </cell>
          <cell r="AA2665">
            <v>1000</v>
          </cell>
        </row>
        <row r="2666">
          <cell r="A2666">
            <v>46235</v>
          </cell>
          <cell r="D2666" t="str">
            <v>QUEEN CAROLYN</v>
          </cell>
          <cell r="E2666">
            <v>5</v>
          </cell>
          <cell r="H2666" t="str">
            <v>BADIE</v>
          </cell>
          <cell r="N2666">
            <v>1000</v>
          </cell>
          <cell r="Y2666">
            <v>46235</v>
          </cell>
          <cell r="Z2666">
            <v>2</v>
          </cell>
          <cell r="AA2666">
            <v>1000</v>
          </cell>
        </row>
        <row r="2667">
          <cell r="A2667">
            <v>46235</v>
          </cell>
          <cell r="D2667" t="str">
            <v>QUEEN CAROLYN</v>
          </cell>
          <cell r="E2667">
            <v>5</v>
          </cell>
          <cell r="H2667" t="str">
            <v>SAFISCOR</v>
          </cell>
          <cell r="N2667">
            <v>1000</v>
          </cell>
          <cell r="Y2667">
            <v>46235</v>
          </cell>
          <cell r="Z2667">
            <v>2</v>
          </cell>
          <cell r="AA2667">
            <v>1000</v>
          </cell>
        </row>
        <row r="2668">
          <cell r="A2668">
            <v>46236</v>
          </cell>
          <cell r="D2668" t="str">
            <v>EFG 5</v>
          </cell>
          <cell r="E2668">
            <v>3</v>
          </cell>
          <cell r="H2668" t="str">
            <v>SAFISCOR</v>
          </cell>
          <cell r="N2668">
            <v>1000</v>
          </cell>
          <cell r="Y2668">
            <v>46236</v>
          </cell>
          <cell r="Z2668">
            <v>2</v>
          </cell>
          <cell r="AA2668">
            <v>1000</v>
          </cell>
        </row>
        <row r="2669">
          <cell r="A2669">
            <v>46236</v>
          </cell>
          <cell r="D2669" t="str">
            <v>INFINITY 8</v>
          </cell>
          <cell r="E2669">
            <v>3</v>
          </cell>
          <cell r="H2669" t="str">
            <v>BADIE</v>
          </cell>
          <cell r="N2669">
            <v>1000</v>
          </cell>
          <cell r="Y2669">
            <v>46236</v>
          </cell>
          <cell r="Z2669">
            <v>1</v>
          </cell>
          <cell r="AA2669">
            <v>1000</v>
          </cell>
        </row>
        <row r="2670">
          <cell r="A2670">
            <v>46236</v>
          </cell>
          <cell r="D2670" t="str">
            <v>QUEEN CAROLYN</v>
          </cell>
          <cell r="E2670">
            <v>5</v>
          </cell>
          <cell r="H2670" t="str">
            <v>GEO</v>
          </cell>
          <cell r="N2670">
            <v>1000</v>
          </cell>
          <cell r="Y2670">
            <v>46236</v>
          </cell>
          <cell r="Z2670">
            <v>1</v>
          </cell>
          <cell r="AA2670">
            <v>1000</v>
          </cell>
        </row>
        <row r="2671">
          <cell r="A2671">
            <v>46236</v>
          </cell>
          <cell r="D2671" t="str">
            <v>INFINITY 8</v>
          </cell>
          <cell r="E2671">
            <v>3</v>
          </cell>
          <cell r="H2671" t="str">
            <v>GEO</v>
          </cell>
          <cell r="N2671">
            <v>1000</v>
          </cell>
          <cell r="Y2671">
            <v>46236</v>
          </cell>
          <cell r="Z2671">
            <v>2</v>
          </cell>
          <cell r="AA2671">
            <v>1000</v>
          </cell>
        </row>
        <row r="2672">
          <cell r="A2672">
            <v>46236</v>
          </cell>
          <cell r="D2672" t="str">
            <v>INFINITY 8</v>
          </cell>
          <cell r="E2672">
            <v>3</v>
          </cell>
          <cell r="H2672" t="str">
            <v>SAFISCOR</v>
          </cell>
          <cell r="N2672">
            <v>1000</v>
          </cell>
          <cell r="Y2672">
            <v>46236</v>
          </cell>
          <cell r="Z2672">
            <v>2</v>
          </cell>
          <cell r="AA2672">
            <v>1000</v>
          </cell>
        </row>
        <row r="2673">
          <cell r="A2673">
            <v>46236</v>
          </cell>
          <cell r="D2673" t="str">
            <v>INFINITY 8</v>
          </cell>
          <cell r="E2673">
            <v>3</v>
          </cell>
          <cell r="H2673" t="str">
            <v>SAFISCOR</v>
          </cell>
          <cell r="N2673">
            <v>1000</v>
          </cell>
          <cell r="Y2673">
            <v>46236</v>
          </cell>
          <cell r="Z2673">
            <v>2</v>
          </cell>
          <cell r="AA2673">
            <v>1000</v>
          </cell>
        </row>
        <row r="2674">
          <cell r="A2674">
            <v>46236</v>
          </cell>
          <cell r="D2674" t="str">
            <v>QUEEN CAROLYN</v>
          </cell>
          <cell r="E2674">
            <v>5</v>
          </cell>
          <cell r="H2674" t="str">
            <v>LAPU-LAPU</v>
          </cell>
          <cell r="N2674">
            <v>1000</v>
          </cell>
          <cell r="Y2674">
            <v>46236</v>
          </cell>
          <cell r="Z2674">
            <v>1</v>
          </cell>
          <cell r="AA2674">
            <v>1000</v>
          </cell>
        </row>
        <row r="2675">
          <cell r="A2675">
            <v>46236</v>
          </cell>
          <cell r="D2675" t="str">
            <v>INFINITY 8</v>
          </cell>
          <cell r="E2675">
            <v>3</v>
          </cell>
          <cell r="H2675" t="str">
            <v>SAFISCOR</v>
          </cell>
          <cell r="N2675">
            <v>1000</v>
          </cell>
          <cell r="Y2675">
            <v>46236</v>
          </cell>
          <cell r="Z2675">
            <v>2</v>
          </cell>
          <cell r="AA2675">
            <v>1000</v>
          </cell>
        </row>
        <row r="2676">
          <cell r="A2676">
            <v>46236</v>
          </cell>
          <cell r="D2676" t="str">
            <v>QUEEN CAROLYN</v>
          </cell>
          <cell r="E2676">
            <v>5</v>
          </cell>
          <cell r="H2676" t="str">
            <v>SAFISCOR</v>
          </cell>
          <cell r="N2676">
            <v>1000</v>
          </cell>
          <cell r="Y2676">
            <v>46236</v>
          </cell>
          <cell r="Z2676">
            <v>2</v>
          </cell>
          <cell r="AA2676">
            <v>1000</v>
          </cell>
        </row>
        <row r="2677">
          <cell r="A2677">
            <v>46236</v>
          </cell>
          <cell r="D2677" t="str">
            <v>QUEEN CAROLYN</v>
          </cell>
          <cell r="E2677">
            <v>5</v>
          </cell>
          <cell r="H2677" t="str">
            <v>SAFISCOR</v>
          </cell>
          <cell r="N2677">
            <v>1000</v>
          </cell>
          <cell r="Y2677">
            <v>46236</v>
          </cell>
          <cell r="Z2677">
            <v>2</v>
          </cell>
          <cell r="AA2677">
            <v>1000</v>
          </cell>
        </row>
        <row r="2678">
          <cell r="A2678">
            <v>46236</v>
          </cell>
          <cell r="D2678" t="str">
            <v>INFINITY 8</v>
          </cell>
          <cell r="E2678">
            <v>3</v>
          </cell>
          <cell r="H2678" t="str">
            <v>SAFISCOR</v>
          </cell>
          <cell r="N2678">
            <v>1000</v>
          </cell>
          <cell r="Y2678">
            <v>46236</v>
          </cell>
          <cell r="Z2678">
            <v>2</v>
          </cell>
          <cell r="AA2678">
            <v>1000</v>
          </cell>
        </row>
        <row r="2679">
          <cell r="A2679">
            <v>46236</v>
          </cell>
          <cell r="D2679" t="str">
            <v>INFINITY 8</v>
          </cell>
          <cell r="E2679">
            <v>3</v>
          </cell>
          <cell r="H2679" t="str">
            <v>SAFISCOR</v>
          </cell>
          <cell r="N2679">
            <v>1000</v>
          </cell>
          <cell r="Y2679">
            <v>46236</v>
          </cell>
          <cell r="Z2679">
            <v>2</v>
          </cell>
          <cell r="AA2679">
            <v>1000</v>
          </cell>
        </row>
        <row r="2680">
          <cell r="A2680">
            <v>46236</v>
          </cell>
          <cell r="D2680" t="str">
            <v>INFINITY 8</v>
          </cell>
          <cell r="E2680">
            <v>3</v>
          </cell>
          <cell r="H2680" t="str">
            <v>LAPU-LAPU</v>
          </cell>
          <cell r="N2680">
            <v>1000</v>
          </cell>
          <cell r="Y2680">
            <v>46236</v>
          </cell>
          <cell r="Z2680">
            <v>2</v>
          </cell>
          <cell r="AA2680">
            <v>1000</v>
          </cell>
        </row>
        <row r="2681">
          <cell r="A2681">
            <v>46236</v>
          </cell>
          <cell r="D2681" t="str">
            <v>INFINITY 8</v>
          </cell>
          <cell r="E2681">
            <v>3</v>
          </cell>
          <cell r="H2681" t="str">
            <v>SAFISCOR</v>
          </cell>
          <cell r="N2681">
            <v>1000</v>
          </cell>
          <cell r="Y2681">
            <v>46236</v>
          </cell>
          <cell r="Z2681">
            <v>2</v>
          </cell>
          <cell r="AA2681">
            <v>1000</v>
          </cell>
        </row>
        <row r="2682">
          <cell r="A2682">
            <v>46236</v>
          </cell>
          <cell r="D2682" t="str">
            <v>INFINITY 8</v>
          </cell>
          <cell r="E2682">
            <v>3</v>
          </cell>
          <cell r="H2682" t="str">
            <v>LAPU-LAPU</v>
          </cell>
          <cell r="N2682">
            <v>1000</v>
          </cell>
          <cell r="Y2682">
            <v>46236</v>
          </cell>
          <cell r="Z2682">
            <v>2</v>
          </cell>
          <cell r="AA2682">
            <v>1000</v>
          </cell>
        </row>
        <row r="2683">
          <cell r="A2683">
            <v>46236</v>
          </cell>
          <cell r="D2683" t="str">
            <v>INFINITY 8</v>
          </cell>
          <cell r="E2683">
            <v>3</v>
          </cell>
          <cell r="H2683" t="str">
            <v>GEO</v>
          </cell>
          <cell r="N2683">
            <v>1000</v>
          </cell>
          <cell r="Y2683">
            <v>46236</v>
          </cell>
          <cell r="Z2683">
            <v>2</v>
          </cell>
          <cell r="AA2683">
            <v>1000</v>
          </cell>
        </row>
        <row r="2684">
          <cell r="A2684">
            <v>46236</v>
          </cell>
          <cell r="D2684" t="str">
            <v>EFG 5</v>
          </cell>
          <cell r="E2684">
            <v>3</v>
          </cell>
          <cell r="H2684" t="str">
            <v>SAFISCOR</v>
          </cell>
          <cell r="N2684">
            <v>1000</v>
          </cell>
          <cell r="Y2684">
            <v>46236</v>
          </cell>
          <cell r="Z2684">
            <v>2</v>
          </cell>
          <cell r="AA2684">
            <v>1000</v>
          </cell>
        </row>
        <row r="2685">
          <cell r="A2685">
            <v>46236</v>
          </cell>
          <cell r="D2685" t="str">
            <v>INFINITY 8</v>
          </cell>
          <cell r="E2685">
            <v>3</v>
          </cell>
          <cell r="H2685" t="str">
            <v>SAFISCOR</v>
          </cell>
          <cell r="N2685">
            <v>1000</v>
          </cell>
          <cell r="Y2685">
            <v>46236</v>
          </cell>
          <cell r="Z2685">
            <v>2</v>
          </cell>
          <cell r="AA2685">
            <v>1000</v>
          </cell>
        </row>
        <row r="2686">
          <cell r="A2686">
            <v>46236</v>
          </cell>
          <cell r="D2686" t="str">
            <v>INFINITY 8</v>
          </cell>
          <cell r="E2686">
            <v>3</v>
          </cell>
          <cell r="H2686" t="str">
            <v>FULACHE</v>
          </cell>
          <cell r="N2686">
            <v>1000</v>
          </cell>
          <cell r="Y2686">
            <v>46236</v>
          </cell>
          <cell r="Z2686">
            <v>1</v>
          </cell>
          <cell r="AA2686">
            <v>1000</v>
          </cell>
        </row>
        <row r="2687">
          <cell r="A2687">
            <v>46236</v>
          </cell>
          <cell r="D2687" t="str">
            <v>INFINITY 8</v>
          </cell>
          <cell r="E2687">
            <v>3</v>
          </cell>
          <cell r="H2687" t="str">
            <v>SAFISCOR</v>
          </cell>
          <cell r="N2687">
            <v>1000</v>
          </cell>
          <cell r="Y2687">
            <v>46236</v>
          </cell>
          <cell r="Z2687">
            <v>2</v>
          </cell>
          <cell r="AA2687">
            <v>1000</v>
          </cell>
        </row>
        <row r="2688">
          <cell r="A2688">
            <v>46236</v>
          </cell>
          <cell r="D2688" t="str">
            <v>INFINITY 8</v>
          </cell>
          <cell r="E2688">
            <v>3</v>
          </cell>
          <cell r="H2688" t="str">
            <v>SAFISCOR</v>
          </cell>
          <cell r="N2688">
            <v>1000</v>
          </cell>
          <cell r="Y2688">
            <v>46236</v>
          </cell>
          <cell r="Z2688">
            <v>1</v>
          </cell>
          <cell r="AA2688">
            <v>1000</v>
          </cell>
        </row>
        <row r="2689">
          <cell r="A2689">
            <v>46236</v>
          </cell>
          <cell r="D2689" t="str">
            <v>QUEEN CAROLYN</v>
          </cell>
          <cell r="E2689">
            <v>5</v>
          </cell>
          <cell r="H2689" t="str">
            <v>FULACHE</v>
          </cell>
          <cell r="N2689">
            <v>1000</v>
          </cell>
          <cell r="Y2689">
            <v>46236</v>
          </cell>
          <cell r="Z2689">
            <v>1</v>
          </cell>
          <cell r="AA2689">
            <v>1000</v>
          </cell>
        </row>
        <row r="2690">
          <cell r="A2690">
            <v>46236</v>
          </cell>
          <cell r="D2690" t="str">
            <v>QUEEN CAROLYN</v>
          </cell>
          <cell r="E2690">
            <v>5</v>
          </cell>
          <cell r="H2690" t="str">
            <v>SAFISCOR</v>
          </cell>
          <cell r="N2690">
            <v>1000</v>
          </cell>
          <cell r="Y2690">
            <v>46236</v>
          </cell>
          <cell r="Z2690">
            <v>1</v>
          </cell>
          <cell r="AA2690">
            <v>1000</v>
          </cell>
        </row>
        <row r="2691">
          <cell r="A2691">
            <v>46236</v>
          </cell>
          <cell r="D2691" t="str">
            <v>EFG 5</v>
          </cell>
          <cell r="E2691">
            <v>3</v>
          </cell>
          <cell r="H2691" t="str">
            <v>SAFISCOR</v>
          </cell>
          <cell r="N2691">
            <v>1000</v>
          </cell>
          <cell r="Y2691">
            <v>46236</v>
          </cell>
          <cell r="Z2691">
            <v>2</v>
          </cell>
          <cell r="AA2691">
            <v>1000</v>
          </cell>
        </row>
        <row r="2692">
          <cell r="A2692">
            <v>46236</v>
          </cell>
          <cell r="D2692" t="str">
            <v>EFG 5</v>
          </cell>
          <cell r="E2692">
            <v>3</v>
          </cell>
          <cell r="H2692" t="str">
            <v>SAFISCOR</v>
          </cell>
          <cell r="N2692">
            <v>1000</v>
          </cell>
          <cell r="Y2692">
            <v>46236</v>
          </cell>
          <cell r="Z2692">
            <v>2</v>
          </cell>
          <cell r="AA2692">
            <v>1000</v>
          </cell>
        </row>
        <row r="2693">
          <cell r="A2693">
            <v>46236</v>
          </cell>
          <cell r="D2693" t="str">
            <v>INFINITY 8</v>
          </cell>
          <cell r="E2693">
            <v>3</v>
          </cell>
          <cell r="H2693" t="str">
            <v>SAFISCOR</v>
          </cell>
          <cell r="N2693">
            <v>1000</v>
          </cell>
          <cell r="Y2693">
            <v>46236</v>
          </cell>
          <cell r="Z2693">
            <v>2</v>
          </cell>
          <cell r="AA2693">
            <v>1000</v>
          </cell>
        </row>
        <row r="2694">
          <cell r="A2694">
            <v>46236</v>
          </cell>
          <cell r="D2694" t="str">
            <v>INFINITY 8</v>
          </cell>
          <cell r="E2694">
            <v>3</v>
          </cell>
          <cell r="H2694" t="str">
            <v>SAFISCOR</v>
          </cell>
          <cell r="N2694">
            <v>1000</v>
          </cell>
          <cell r="Y2694">
            <v>46236</v>
          </cell>
          <cell r="Z2694">
            <v>2</v>
          </cell>
          <cell r="AA2694">
            <v>1000</v>
          </cell>
        </row>
        <row r="2695">
          <cell r="A2695">
            <v>46236</v>
          </cell>
          <cell r="D2695" t="str">
            <v>INFINITY 8</v>
          </cell>
          <cell r="E2695">
            <v>3</v>
          </cell>
          <cell r="H2695" t="str">
            <v>GEO</v>
          </cell>
          <cell r="N2695">
            <v>1000</v>
          </cell>
          <cell r="Y2695">
            <v>46236</v>
          </cell>
          <cell r="Z2695">
            <v>2</v>
          </cell>
          <cell r="AA2695">
            <v>1000</v>
          </cell>
        </row>
        <row r="2696">
          <cell r="A2696">
            <v>46237</v>
          </cell>
          <cell r="D2696" t="str">
            <v>INFINITY 8</v>
          </cell>
          <cell r="E2696">
            <v>3</v>
          </cell>
          <cell r="H2696" t="str">
            <v>SAFISCOR</v>
          </cell>
          <cell r="N2696">
            <v>1000</v>
          </cell>
          <cell r="Y2696">
            <v>46237</v>
          </cell>
          <cell r="Z2696">
            <v>1</v>
          </cell>
          <cell r="AA2696">
            <v>1000</v>
          </cell>
        </row>
        <row r="2697">
          <cell r="A2697">
            <v>46237</v>
          </cell>
          <cell r="D2697" t="str">
            <v>QUEEN CAROLYN</v>
          </cell>
          <cell r="E2697">
            <v>5</v>
          </cell>
          <cell r="H2697" t="str">
            <v>SAFISCOR</v>
          </cell>
          <cell r="N2697">
            <v>1000</v>
          </cell>
          <cell r="Y2697">
            <v>46237</v>
          </cell>
          <cell r="Z2697">
            <v>1</v>
          </cell>
          <cell r="AA2697">
            <v>1000</v>
          </cell>
        </row>
        <row r="2698">
          <cell r="A2698">
            <v>46237</v>
          </cell>
          <cell r="D2698" t="str">
            <v>INFINITY 8</v>
          </cell>
          <cell r="E2698">
            <v>3</v>
          </cell>
          <cell r="H2698" t="str">
            <v>SAFISCOR</v>
          </cell>
          <cell r="N2698">
            <v>1000</v>
          </cell>
          <cell r="Y2698">
            <v>46237</v>
          </cell>
          <cell r="Z2698">
            <v>1</v>
          </cell>
          <cell r="AA2698">
            <v>1000</v>
          </cell>
        </row>
        <row r="2699">
          <cell r="A2699">
            <v>46237</v>
          </cell>
          <cell r="D2699" t="str">
            <v>QUEEN CAROLYN</v>
          </cell>
          <cell r="E2699">
            <v>5</v>
          </cell>
          <cell r="H2699" t="str">
            <v>LAPU-LAPU</v>
          </cell>
          <cell r="N2699">
            <v>1000</v>
          </cell>
          <cell r="Y2699">
            <v>46237</v>
          </cell>
          <cell r="Z2699">
            <v>1</v>
          </cell>
          <cell r="AA2699">
            <v>1000</v>
          </cell>
        </row>
        <row r="2700">
          <cell r="A2700">
            <v>46237</v>
          </cell>
          <cell r="D2700" t="str">
            <v>INFINITY 8</v>
          </cell>
          <cell r="E2700">
            <v>3</v>
          </cell>
          <cell r="H2700" t="str">
            <v>SAFISCOR</v>
          </cell>
          <cell r="N2700">
            <v>1000</v>
          </cell>
          <cell r="Y2700">
            <v>46240</v>
          </cell>
          <cell r="Z2700">
            <v>1</v>
          </cell>
          <cell r="AA2700">
            <v>1000</v>
          </cell>
        </row>
        <row r="2701">
          <cell r="A2701">
            <v>46237</v>
          </cell>
          <cell r="D2701" t="str">
            <v>INFINITY 8</v>
          </cell>
          <cell r="E2701">
            <v>3</v>
          </cell>
          <cell r="H2701" t="str">
            <v>LAPU-LAPU</v>
          </cell>
          <cell r="N2701">
            <v>1000</v>
          </cell>
          <cell r="Y2701">
            <v>46237</v>
          </cell>
          <cell r="Z2701">
            <v>1</v>
          </cell>
          <cell r="AA2701">
            <v>1000</v>
          </cell>
        </row>
        <row r="2702">
          <cell r="A2702">
            <v>46237</v>
          </cell>
          <cell r="D2702" t="str">
            <v>QUEEN CAROLYN</v>
          </cell>
          <cell r="E2702">
            <v>5</v>
          </cell>
          <cell r="H2702" t="str">
            <v>APLUS</v>
          </cell>
          <cell r="N2702">
            <v>1000</v>
          </cell>
          <cell r="Y2702">
            <v>46237</v>
          </cell>
          <cell r="Z2702">
            <v>1</v>
          </cell>
          <cell r="AA2702">
            <v>1000</v>
          </cell>
        </row>
        <row r="2703">
          <cell r="A2703">
            <v>46237</v>
          </cell>
          <cell r="D2703" t="str">
            <v>QUEEN CAROLYN</v>
          </cell>
          <cell r="E2703">
            <v>5</v>
          </cell>
          <cell r="H2703" t="str">
            <v>GEO</v>
          </cell>
          <cell r="N2703">
            <v>1000</v>
          </cell>
          <cell r="Y2703">
            <v>46238</v>
          </cell>
          <cell r="Z2703">
            <v>1</v>
          </cell>
          <cell r="AA2703">
            <v>1000</v>
          </cell>
        </row>
        <row r="2704">
          <cell r="A2704">
            <v>46237</v>
          </cell>
          <cell r="D2704" t="str">
            <v>INFINITY 8</v>
          </cell>
          <cell r="E2704">
            <v>3</v>
          </cell>
          <cell r="H2704" t="str">
            <v>SAFISCOR</v>
          </cell>
          <cell r="N2704">
            <v>1000</v>
          </cell>
          <cell r="Y2704">
            <v>46237</v>
          </cell>
          <cell r="Z2704">
            <v>2</v>
          </cell>
          <cell r="AA2704">
            <v>1000</v>
          </cell>
        </row>
        <row r="2705">
          <cell r="A2705">
            <v>46237</v>
          </cell>
          <cell r="D2705" t="str">
            <v>INFINITY 8</v>
          </cell>
          <cell r="E2705">
            <v>3</v>
          </cell>
          <cell r="H2705" t="str">
            <v>SAFISCOR</v>
          </cell>
          <cell r="N2705">
            <v>1000</v>
          </cell>
          <cell r="Y2705">
            <v>46240</v>
          </cell>
          <cell r="Z2705">
            <v>1</v>
          </cell>
          <cell r="AA2705">
            <v>1000</v>
          </cell>
        </row>
        <row r="2706">
          <cell r="A2706">
            <v>46237</v>
          </cell>
          <cell r="D2706" t="str">
            <v>STAR FREEDOM</v>
          </cell>
          <cell r="E2706">
            <v>7</v>
          </cell>
          <cell r="H2706" t="str">
            <v>SAFISCOR</v>
          </cell>
          <cell r="N2706">
            <v>1000</v>
          </cell>
          <cell r="Y2706">
            <v>46237</v>
          </cell>
          <cell r="Z2706">
            <v>1</v>
          </cell>
          <cell r="AA2706">
            <v>1000</v>
          </cell>
        </row>
        <row r="2707">
          <cell r="A2707">
            <v>46237</v>
          </cell>
          <cell r="D2707" t="str">
            <v>QUEEN CAROLYN</v>
          </cell>
          <cell r="E2707">
            <v>5</v>
          </cell>
          <cell r="H2707" t="str">
            <v>GEO</v>
          </cell>
          <cell r="N2707">
            <v>1000</v>
          </cell>
          <cell r="Y2707">
            <v>46237</v>
          </cell>
          <cell r="Z2707">
            <v>2</v>
          </cell>
          <cell r="AA2707">
            <v>1000</v>
          </cell>
        </row>
        <row r="2708">
          <cell r="A2708">
            <v>46237</v>
          </cell>
          <cell r="D2708" t="str">
            <v>QUEEN CAROLYN</v>
          </cell>
          <cell r="E2708">
            <v>5</v>
          </cell>
          <cell r="H2708" t="str">
            <v>LAPU-LAPU</v>
          </cell>
          <cell r="N2708">
            <v>1000</v>
          </cell>
          <cell r="Y2708">
            <v>46237</v>
          </cell>
          <cell r="Z2708">
            <v>2</v>
          </cell>
          <cell r="AA2708">
            <v>1000</v>
          </cell>
        </row>
        <row r="2709">
          <cell r="A2709">
            <v>46237</v>
          </cell>
          <cell r="D2709" t="str">
            <v>QUEEN CAROLYN</v>
          </cell>
          <cell r="E2709">
            <v>5</v>
          </cell>
          <cell r="H2709" t="str">
            <v>LAPU-LAPU</v>
          </cell>
          <cell r="N2709">
            <v>1000</v>
          </cell>
          <cell r="Y2709">
            <v>46237</v>
          </cell>
          <cell r="Z2709">
            <v>2</v>
          </cell>
          <cell r="AA2709">
            <v>1000</v>
          </cell>
        </row>
        <row r="2710">
          <cell r="A2710">
            <v>46237</v>
          </cell>
          <cell r="D2710" t="str">
            <v>INFINITY 8</v>
          </cell>
          <cell r="E2710">
            <v>3</v>
          </cell>
          <cell r="H2710" t="str">
            <v>SAFISCOR</v>
          </cell>
          <cell r="N2710">
            <v>1000</v>
          </cell>
          <cell r="Y2710">
            <v>46240</v>
          </cell>
          <cell r="Z2710">
            <v>1</v>
          </cell>
          <cell r="AA2710">
            <v>1000</v>
          </cell>
        </row>
        <row r="2711">
          <cell r="A2711">
            <v>46237</v>
          </cell>
          <cell r="D2711" t="str">
            <v>INFINITY 8</v>
          </cell>
          <cell r="E2711">
            <v>3</v>
          </cell>
          <cell r="H2711" t="str">
            <v>SAFISCOR</v>
          </cell>
          <cell r="N2711">
            <v>1000</v>
          </cell>
          <cell r="Y2711">
            <v>46237</v>
          </cell>
          <cell r="Z2711">
            <v>2</v>
          </cell>
          <cell r="AA2711">
            <v>1000</v>
          </cell>
        </row>
        <row r="2712">
          <cell r="A2712">
            <v>46237</v>
          </cell>
          <cell r="D2712" t="str">
            <v>INFINITY 8</v>
          </cell>
          <cell r="E2712">
            <v>3</v>
          </cell>
          <cell r="H2712" t="str">
            <v>LAPU-LAPU</v>
          </cell>
          <cell r="N2712">
            <v>1000</v>
          </cell>
          <cell r="Y2712">
            <v>46239</v>
          </cell>
          <cell r="Z2712">
            <v>1</v>
          </cell>
          <cell r="AA2712">
            <v>1000</v>
          </cell>
        </row>
        <row r="2713">
          <cell r="A2713">
            <v>46237</v>
          </cell>
          <cell r="D2713" t="str">
            <v>INFINITY 8</v>
          </cell>
          <cell r="E2713">
            <v>3</v>
          </cell>
          <cell r="H2713" t="str">
            <v>BADIE</v>
          </cell>
          <cell r="N2713">
            <v>1000</v>
          </cell>
          <cell r="Y2713">
            <v>46237</v>
          </cell>
          <cell r="Z2713">
            <v>2</v>
          </cell>
          <cell r="AA2713">
            <v>1000</v>
          </cell>
        </row>
        <row r="2714">
          <cell r="A2714">
            <v>46237</v>
          </cell>
          <cell r="D2714" t="str">
            <v>INFINITY 8</v>
          </cell>
          <cell r="E2714">
            <v>3</v>
          </cell>
          <cell r="H2714" t="str">
            <v>SAFISCOR</v>
          </cell>
          <cell r="N2714">
            <v>1000</v>
          </cell>
          <cell r="Y2714">
            <v>46240</v>
          </cell>
          <cell r="Z2714">
            <v>1</v>
          </cell>
          <cell r="AA2714">
            <v>1000</v>
          </cell>
        </row>
        <row r="2715">
          <cell r="A2715">
            <v>46237</v>
          </cell>
          <cell r="D2715" t="str">
            <v>NAPOLI</v>
          </cell>
          <cell r="E2715">
            <v>5</v>
          </cell>
          <cell r="H2715" t="str">
            <v>GEO</v>
          </cell>
          <cell r="N2715">
            <v>1000</v>
          </cell>
          <cell r="Y2715">
            <v>46237</v>
          </cell>
          <cell r="Z2715">
            <v>2</v>
          </cell>
          <cell r="AA2715">
            <v>1000</v>
          </cell>
        </row>
        <row r="2716">
          <cell r="A2716">
            <v>46237</v>
          </cell>
          <cell r="D2716" t="str">
            <v>QUEEN CAROLYN</v>
          </cell>
          <cell r="E2716">
            <v>5</v>
          </cell>
          <cell r="H2716" t="str">
            <v>SAFISCOR</v>
          </cell>
          <cell r="N2716">
            <v>1000</v>
          </cell>
          <cell r="Y2716">
            <v>46237</v>
          </cell>
          <cell r="Z2716">
            <v>1</v>
          </cell>
          <cell r="AA2716">
            <v>1000</v>
          </cell>
        </row>
        <row r="2717">
          <cell r="A2717">
            <v>46237</v>
          </cell>
          <cell r="D2717" t="str">
            <v>QUEEN CAROLYN</v>
          </cell>
          <cell r="E2717">
            <v>5</v>
          </cell>
          <cell r="H2717" t="str">
            <v>SAFISCOR</v>
          </cell>
          <cell r="N2717">
            <v>1000</v>
          </cell>
          <cell r="Y2717">
            <v>46238</v>
          </cell>
          <cell r="Z2717">
            <v>2</v>
          </cell>
          <cell r="AA2717">
            <v>1000</v>
          </cell>
        </row>
        <row r="2718">
          <cell r="A2718">
            <v>46237</v>
          </cell>
          <cell r="D2718" t="str">
            <v>INFINITY 8</v>
          </cell>
          <cell r="E2718">
            <v>3</v>
          </cell>
          <cell r="H2718" t="str">
            <v>SAFISCOR</v>
          </cell>
          <cell r="N2718">
            <v>1000</v>
          </cell>
          <cell r="Y2718">
            <v>46237</v>
          </cell>
          <cell r="Z2718">
            <v>2</v>
          </cell>
          <cell r="AA2718">
            <v>1000</v>
          </cell>
        </row>
        <row r="2719">
          <cell r="A2719">
            <v>46237</v>
          </cell>
          <cell r="D2719" t="str">
            <v>LADY OF DIVINE GRACE</v>
          </cell>
          <cell r="E2719">
            <v>5</v>
          </cell>
          <cell r="H2719" t="str">
            <v>LAPU-LAPU</v>
          </cell>
          <cell r="N2719">
            <v>1000</v>
          </cell>
          <cell r="Y2719">
            <v>46237</v>
          </cell>
          <cell r="Z2719">
            <v>2</v>
          </cell>
          <cell r="AA2719">
            <v>1000</v>
          </cell>
        </row>
        <row r="2720">
          <cell r="A2720">
            <v>46237</v>
          </cell>
          <cell r="D2720" t="str">
            <v>INFINITY 8</v>
          </cell>
          <cell r="E2720">
            <v>3</v>
          </cell>
          <cell r="H2720" t="str">
            <v>SAFISCOR</v>
          </cell>
          <cell r="N2720">
            <v>1000</v>
          </cell>
          <cell r="Y2720">
            <v>46240</v>
          </cell>
          <cell r="Z2720">
            <v>1</v>
          </cell>
          <cell r="AA2720">
            <v>1000</v>
          </cell>
        </row>
        <row r="2721">
          <cell r="A2721">
            <v>46237</v>
          </cell>
          <cell r="D2721" t="str">
            <v>QUEEN CAROLYN</v>
          </cell>
          <cell r="E2721">
            <v>5</v>
          </cell>
          <cell r="H2721" t="str">
            <v>SAFISCOR</v>
          </cell>
          <cell r="N2721">
            <v>1000</v>
          </cell>
          <cell r="Y2721">
            <v>46238</v>
          </cell>
          <cell r="Z2721">
            <v>2</v>
          </cell>
          <cell r="AA2721">
            <v>1000</v>
          </cell>
        </row>
        <row r="2722">
          <cell r="A2722">
            <v>46237</v>
          </cell>
          <cell r="D2722" t="str">
            <v>NAPOLI</v>
          </cell>
          <cell r="E2722">
            <v>5</v>
          </cell>
          <cell r="H2722" t="str">
            <v>GEO</v>
          </cell>
          <cell r="N2722">
            <v>1000</v>
          </cell>
          <cell r="Y2722">
            <v>46237</v>
          </cell>
          <cell r="Z2722">
            <v>2</v>
          </cell>
          <cell r="AA2722">
            <v>1000</v>
          </cell>
        </row>
        <row r="2723">
          <cell r="A2723">
            <v>46237</v>
          </cell>
          <cell r="D2723" t="str">
            <v>NAPOLI</v>
          </cell>
          <cell r="E2723">
            <v>5</v>
          </cell>
          <cell r="H2723" t="str">
            <v>LAPU-LAPU</v>
          </cell>
          <cell r="N2723">
            <v>1000</v>
          </cell>
          <cell r="Y2723">
            <v>46237</v>
          </cell>
          <cell r="Z2723">
            <v>2</v>
          </cell>
          <cell r="AA2723">
            <v>1000</v>
          </cell>
        </row>
        <row r="2724">
          <cell r="A2724">
            <v>46237</v>
          </cell>
          <cell r="D2724" t="str">
            <v>QUEEN CAROLYN</v>
          </cell>
          <cell r="E2724">
            <v>5</v>
          </cell>
          <cell r="H2724" t="str">
            <v>SAFISCOR</v>
          </cell>
          <cell r="N2724">
            <v>1000</v>
          </cell>
          <cell r="Y2724">
            <v>46237</v>
          </cell>
          <cell r="Z2724">
            <v>2</v>
          </cell>
          <cell r="AA2724">
            <v>1000</v>
          </cell>
        </row>
        <row r="2725">
          <cell r="A2725">
            <v>46237</v>
          </cell>
          <cell r="D2725" t="str">
            <v>QUEEN CAROLYN</v>
          </cell>
          <cell r="E2725">
            <v>5</v>
          </cell>
          <cell r="H2725" t="str">
            <v>SAFISCOR</v>
          </cell>
          <cell r="N2725">
            <v>1000</v>
          </cell>
          <cell r="Y2725">
            <v>46238</v>
          </cell>
          <cell r="Z2725">
            <v>2</v>
          </cell>
          <cell r="AA2725">
            <v>1000</v>
          </cell>
        </row>
        <row r="2726">
          <cell r="A2726">
            <v>46237</v>
          </cell>
          <cell r="D2726" t="str">
            <v>INFINITY 8</v>
          </cell>
          <cell r="E2726">
            <v>3</v>
          </cell>
          <cell r="H2726" t="str">
            <v>SAFISCOR</v>
          </cell>
          <cell r="N2726">
            <v>1000</v>
          </cell>
          <cell r="Y2726">
            <v>46238</v>
          </cell>
          <cell r="Z2726">
            <v>1</v>
          </cell>
          <cell r="AA2726">
            <v>1000</v>
          </cell>
        </row>
        <row r="2727">
          <cell r="A2727">
            <v>46237</v>
          </cell>
          <cell r="D2727" t="str">
            <v>QUEEN CAROLYN</v>
          </cell>
          <cell r="E2727">
            <v>5</v>
          </cell>
          <cell r="H2727" t="str">
            <v>SAFISCOR</v>
          </cell>
          <cell r="N2727">
            <v>1000</v>
          </cell>
          <cell r="Y2727">
            <v>46237</v>
          </cell>
          <cell r="Z2727">
            <v>2</v>
          </cell>
          <cell r="AA2727">
            <v>1000</v>
          </cell>
        </row>
        <row r="2728">
          <cell r="A2728">
            <v>46237</v>
          </cell>
          <cell r="D2728" t="str">
            <v>QUEEN CAROLYN</v>
          </cell>
          <cell r="E2728">
            <v>5</v>
          </cell>
          <cell r="H2728" t="str">
            <v>SAFISCOR</v>
          </cell>
          <cell r="N2728">
            <v>1000</v>
          </cell>
          <cell r="Y2728">
            <v>46237</v>
          </cell>
          <cell r="Z2728">
            <v>2</v>
          </cell>
          <cell r="AA2728">
            <v>1000</v>
          </cell>
        </row>
        <row r="2729">
          <cell r="A2729">
            <v>46237</v>
          </cell>
          <cell r="D2729" t="str">
            <v>QUEEN CAROLYN</v>
          </cell>
          <cell r="E2729">
            <v>5</v>
          </cell>
          <cell r="H2729" t="str">
            <v>SAFISCOR</v>
          </cell>
          <cell r="N2729">
            <v>1000</v>
          </cell>
          <cell r="Y2729">
            <v>46237</v>
          </cell>
          <cell r="Z2729">
            <v>2</v>
          </cell>
          <cell r="AA2729">
            <v>1000</v>
          </cell>
        </row>
        <row r="2730">
          <cell r="A2730">
            <v>46237</v>
          </cell>
          <cell r="D2730" t="str">
            <v>ADOLFO SR</v>
          </cell>
          <cell r="E2730">
            <v>6</v>
          </cell>
          <cell r="H2730" t="str">
            <v>SAFISCOR</v>
          </cell>
          <cell r="N2730">
            <v>500</v>
          </cell>
          <cell r="Y2730">
            <v>46237</v>
          </cell>
          <cell r="Z2730">
            <v>2</v>
          </cell>
          <cell r="AA2730">
            <v>500</v>
          </cell>
        </row>
        <row r="2731">
          <cell r="A2731">
            <v>46237</v>
          </cell>
          <cell r="D2731" t="str">
            <v>ADOLFO SR</v>
          </cell>
          <cell r="E2731">
            <v>6</v>
          </cell>
          <cell r="H2731" t="str">
            <v>SAFISCOR</v>
          </cell>
          <cell r="N2731">
            <v>500</v>
          </cell>
          <cell r="Y2731">
            <v>46237</v>
          </cell>
          <cell r="Z2731">
            <v>2</v>
          </cell>
          <cell r="AA2731">
            <v>500</v>
          </cell>
        </row>
        <row r="2732">
          <cell r="A2732">
            <v>46237</v>
          </cell>
          <cell r="D2732" t="str">
            <v>QUEEN CAROLYN</v>
          </cell>
          <cell r="E2732">
            <v>5</v>
          </cell>
          <cell r="H2732" t="str">
            <v>SAFISCOR</v>
          </cell>
          <cell r="N2732">
            <v>1000</v>
          </cell>
          <cell r="Y2732">
            <v>46238</v>
          </cell>
          <cell r="Z2732">
            <v>1</v>
          </cell>
          <cell r="AA2732">
            <v>1000</v>
          </cell>
        </row>
        <row r="2733">
          <cell r="A2733">
            <v>46237</v>
          </cell>
          <cell r="D2733" t="str">
            <v>STAR FREEDOM</v>
          </cell>
          <cell r="E2733">
            <v>7</v>
          </cell>
          <cell r="H2733" t="str">
            <v>SAFISCOR</v>
          </cell>
          <cell r="N2733">
            <v>1000</v>
          </cell>
          <cell r="Y2733">
            <v>46237</v>
          </cell>
          <cell r="Z2733">
            <v>2</v>
          </cell>
          <cell r="AA2733">
            <v>1000</v>
          </cell>
        </row>
        <row r="2734">
          <cell r="A2734">
            <v>46237</v>
          </cell>
          <cell r="D2734" t="str">
            <v>NAPOLI</v>
          </cell>
          <cell r="E2734">
            <v>5</v>
          </cell>
          <cell r="H2734" t="str">
            <v>LAPU-LAPU</v>
          </cell>
          <cell r="N2734">
            <v>1000</v>
          </cell>
          <cell r="Y2734">
            <v>46237</v>
          </cell>
          <cell r="Z2734">
            <v>2</v>
          </cell>
          <cell r="AA2734">
            <v>1000</v>
          </cell>
        </row>
        <row r="2735">
          <cell r="A2735">
            <v>46237</v>
          </cell>
          <cell r="D2735" t="str">
            <v>STAR FREEDOM</v>
          </cell>
          <cell r="E2735">
            <v>7</v>
          </cell>
          <cell r="H2735" t="str">
            <v>LAPU-LAPU</v>
          </cell>
          <cell r="N2735">
            <v>1000</v>
          </cell>
          <cell r="Y2735">
            <v>46237</v>
          </cell>
          <cell r="Z2735">
            <v>2</v>
          </cell>
          <cell r="AA2735">
            <v>1000</v>
          </cell>
        </row>
        <row r="2736">
          <cell r="A2736">
            <v>46237</v>
          </cell>
          <cell r="D2736" t="str">
            <v>STAR FREEDOM</v>
          </cell>
          <cell r="E2736">
            <v>7</v>
          </cell>
          <cell r="H2736" t="str">
            <v>SAFISCOR</v>
          </cell>
          <cell r="N2736">
            <v>1000</v>
          </cell>
          <cell r="Y2736">
            <v>46237</v>
          </cell>
          <cell r="Z2736">
            <v>2</v>
          </cell>
          <cell r="AA2736">
            <v>1000</v>
          </cell>
        </row>
        <row r="2737">
          <cell r="A2737">
            <v>46237</v>
          </cell>
          <cell r="D2737" t="str">
            <v>STAR FREEDOM</v>
          </cell>
          <cell r="E2737">
            <v>7</v>
          </cell>
          <cell r="H2737" t="str">
            <v>BADIE</v>
          </cell>
          <cell r="N2737">
            <v>1000</v>
          </cell>
          <cell r="Y2737">
            <v>46237</v>
          </cell>
          <cell r="Z2737">
            <v>2</v>
          </cell>
          <cell r="AA2737">
            <v>1000</v>
          </cell>
        </row>
        <row r="2738">
          <cell r="A2738">
            <v>46237</v>
          </cell>
          <cell r="D2738" t="str">
            <v>STAR FREEDOM</v>
          </cell>
          <cell r="E2738">
            <v>7</v>
          </cell>
          <cell r="H2738" t="str">
            <v>SAFISCOR</v>
          </cell>
          <cell r="N2738">
            <v>1000</v>
          </cell>
          <cell r="Y2738">
            <v>46237</v>
          </cell>
          <cell r="Z2738">
            <v>2</v>
          </cell>
          <cell r="AA2738">
            <v>1000</v>
          </cell>
        </row>
        <row r="2739">
          <cell r="A2739">
            <v>46237</v>
          </cell>
          <cell r="D2739" t="str">
            <v>INFINITY 8</v>
          </cell>
          <cell r="E2739">
            <v>3</v>
          </cell>
          <cell r="H2739" t="str">
            <v>SAFISCOR</v>
          </cell>
          <cell r="N2739">
            <v>1000</v>
          </cell>
          <cell r="Y2739">
            <v>46239</v>
          </cell>
          <cell r="Z2739">
            <v>1</v>
          </cell>
          <cell r="AA2739">
            <v>1000</v>
          </cell>
        </row>
        <row r="2740">
          <cell r="A2740">
            <v>46237</v>
          </cell>
          <cell r="D2740" t="str">
            <v>STAR FREEDOM</v>
          </cell>
          <cell r="E2740">
            <v>7</v>
          </cell>
          <cell r="H2740" t="str">
            <v>SAFISCOR</v>
          </cell>
          <cell r="N2740">
            <v>1000</v>
          </cell>
          <cell r="Y2740">
            <v>46237</v>
          </cell>
          <cell r="Z2740">
            <v>2</v>
          </cell>
          <cell r="AA2740">
            <v>1000</v>
          </cell>
        </row>
        <row r="2741">
          <cell r="A2741">
            <v>46237</v>
          </cell>
          <cell r="D2741" t="str">
            <v>INFINITY 8</v>
          </cell>
          <cell r="E2741">
            <v>3</v>
          </cell>
          <cell r="H2741" t="str">
            <v>SAFISCOR</v>
          </cell>
          <cell r="N2741">
            <v>1000</v>
          </cell>
          <cell r="Y2741">
            <v>46240</v>
          </cell>
          <cell r="Z2741">
            <v>1</v>
          </cell>
          <cell r="AA2741">
            <v>1000</v>
          </cell>
        </row>
        <row r="2742">
          <cell r="A2742">
            <v>46237</v>
          </cell>
          <cell r="D2742" t="str">
            <v>QUEEN CAROLYN</v>
          </cell>
          <cell r="E2742">
            <v>5</v>
          </cell>
          <cell r="H2742" t="str">
            <v>SAFISCOR</v>
          </cell>
          <cell r="N2742">
            <v>1000</v>
          </cell>
          <cell r="Y2742">
            <v>46238</v>
          </cell>
          <cell r="Z2742">
            <v>1</v>
          </cell>
          <cell r="AA2742">
            <v>1000</v>
          </cell>
        </row>
        <row r="2743">
          <cell r="A2743">
            <v>46237</v>
          </cell>
          <cell r="D2743" t="str">
            <v>ADOLFO SR</v>
          </cell>
          <cell r="E2743">
            <v>6</v>
          </cell>
          <cell r="H2743" t="str">
            <v>SAFISCOR</v>
          </cell>
          <cell r="N2743">
            <v>1000</v>
          </cell>
          <cell r="Y2743">
            <v>46237</v>
          </cell>
          <cell r="Z2743">
            <v>2</v>
          </cell>
          <cell r="AA2743">
            <v>1000</v>
          </cell>
        </row>
        <row r="2744">
          <cell r="A2744">
            <v>46237</v>
          </cell>
          <cell r="D2744" t="str">
            <v>STAR FREEDOM</v>
          </cell>
          <cell r="E2744">
            <v>7</v>
          </cell>
          <cell r="H2744" t="str">
            <v>SAFISCOR</v>
          </cell>
          <cell r="N2744">
            <v>1000</v>
          </cell>
          <cell r="Y2744">
            <v>46237</v>
          </cell>
          <cell r="Z2744">
            <v>2</v>
          </cell>
          <cell r="AA2744">
            <v>1000</v>
          </cell>
        </row>
        <row r="2745">
          <cell r="A2745">
            <v>46237</v>
          </cell>
          <cell r="D2745" t="str">
            <v>QUEEN CAROLYN</v>
          </cell>
          <cell r="E2745">
            <v>5</v>
          </cell>
          <cell r="H2745" t="str">
            <v>SAFISCOR</v>
          </cell>
          <cell r="N2745">
            <v>1000</v>
          </cell>
          <cell r="Y2745">
            <v>46238</v>
          </cell>
          <cell r="Z2745">
            <v>1</v>
          </cell>
          <cell r="AA2745">
            <v>1000</v>
          </cell>
        </row>
        <row r="2746">
          <cell r="A2746">
            <v>46237</v>
          </cell>
          <cell r="D2746" t="str">
            <v>STAR FREEDOM</v>
          </cell>
          <cell r="E2746">
            <v>7</v>
          </cell>
          <cell r="H2746" t="str">
            <v>SAFISCOR</v>
          </cell>
          <cell r="N2746">
            <v>1000</v>
          </cell>
          <cell r="Y2746">
            <v>46237</v>
          </cell>
          <cell r="Z2746">
            <v>2</v>
          </cell>
          <cell r="AA2746">
            <v>1000</v>
          </cell>
        </row>
        <row r="2747">
          <cell r="A2747">
            <v>46237</v>
          </cell>
          <cell r="D2747" t="str">
            <v>STAR FREEDOM</v>
          </cell>
          <cell r="E2747">
            <v>7</v>
          </cell>
          <cell r="H2747" t="str">
            <v>LAPU-LAPU</v>
          </cell>
          <cell r="N2747">
            <v>1000</v>
          </cell>
          <cell r="Y2747">
            <v>46237</v>
          </cell>
          <cell r="Z2747">
            <v>2</v>
          </cell>
          <cell r="AA2747">
            <v>1000</v>
          </cell>
        </row>
        <row r="2748">
          <cell r="A2748">
            <v>46237</v>
          </cell>
          <cell r="D2748" t="str">
            <v>STAR FREEDOM</v>
          </cell>
          <cell r="E2748">
            <v>7</v>
          </cell>
          <cell r="H2748" t="str">
            <v>GEO</v>
          </cell>
          <cell r="N2748">
            <v>1000</v>
          </cell>
          <cell r="Y2748">
            <v>46238</v>
          </cell>
          <cell r="Z2748">
            <v>1</v>
          </cell>
          <cell r="AA2748">
            <v>1000</v>
          </cell>
        </row>
        <row r="2749">
          <cell r="A2749">
            <v>46237</v>
          </cell>
          <cell r="D2749" t="str">
            <v>NAPOLI</v>
          </cell>
          <cell r="E2749">
            <v>5</v>
          </cell>
          <cell r="H2749" t="str">
            <v>LAPU-LAPU</v>
          </cell>
          <cell r="N2749">
            <v>1000</v>
          </cell>
          <cell r="Y2749">
            <v>46237</v>
          </cell>
          <cell r="Z2749">
            <v>2</v>
          </cell>
          <cell r="AA2749">
            <v>1000</v>
          </cell>
        </row>
        <row r="2750">
          <cell r="A2750">
            <v>46237</v>
          </cell>
          <cell r="D2750" t="str">
            <v>STAR FREEDOM</v>
          </cell>
          <cell r="E2750">
            <v>7</v>
          </cell>
          <cell r="H2750" t="str">
            <v>SAFISCOR</v>
          </cell>
          <cell r="N2750">
            <v>1000</v>
          </cell>
          <cell r="Y2750">
            <v>46238</v>
          </cell>
          <cell r="Z2750">
            <v>1</v>
          </cell>
          <cell r="AA2750">
            <v>1000</v>
          </cell>
        </row>
        <row r="2751">
          <cell r="A2751">
            <v>46237</v>
          </cell>
          <cell r="D2751" t="str">
            <v>STAR FREEDOM</v>
          </cell>
          <cell r="E2751">
            <v>7</v>
          </cell>
          <cell r="H2751" t="str">
            <v>SAFISCOR</v>
          </cell>
          <cell r="N2751">
            <v>1000</v>
          </cell>
          <cell r="Y2751">
            <v>46238</v>
          </cell>
          <cell r="Z2751">
            <v>1</v>
          </cell>
          <cell r="AA2751">
            <v>1000</v>
          </cell>
        </row>
        <row r="2752">
          <cell r="A2752">
            <v>46237</v>
          </cell>
          <cell r="D2752" t="str">
            <v>QUEEN CAROLYN</v>
          </cell>
          <cell r="E2752">
            <v>5</v>
          </cell>
          <cell r="H2752" t="str">
            <v>SAFISCOR</v>
          </cell>
          <cell r="N2752">
            <v>1000</v>
          </cell>
          <cell r="Y2752">
            <v>46238</v>
          </cell>
          <cell r="Z2752">
            <v>1</v>
          </cell>
          <cell r="AA2752">
            <v>1000</v>
          </cell>
        </row>
        <row r="2753">
          <cell r="A2753">
            <v>46237</v>
          </cell>
          <cell r="D2753" t="str">
            <v>STAR FREEDOM</v>
          </cell>
          <cell r="E2753">
            <v>7</v>
          </cell>
          <cell r="H2753" t="str">
            <v>BADIE</v>
          </cell>
          <cell r="N2753">
            <v>1000</v>
          </cell>
          <cell r="Y2753">
            <v>46237</v>
          </cell>
          <cell r="Z2753">
            <v>2</v>
          </cell>
          <cell r="AA2753">
            <v>1000</v>
          </cell>
        </row>
        <row r="2754">
          <cell r="A2754">
            <v>46237</v>
          </cell>
          <cell r="D2754" t="str">
            <v>STAR FREEDOM</v>
          </cell>
          <cell r="E2754">
            <v>7</v>
          </cell>
          <cell r="H2754" t="str">
            <v>SAFISCOR</v>
          </cell>
          <cell r="N2754">
            <v>1000</v>
          </cell>
          <cell r="Y2754">
            <v>46238</v>
          </cell>
          <cell r="Z2754">
            <v>1</v>
          </cell>
          <cell r="AA2754">
            <v>1000</v>
          </cell>
        </row>
        <row r="2755">
          <cell r="A2755">
            <v>46237</v>
          </cell>
          <cell r="D2755" t="str">
            <v>SALVACION 8</v>
          </cell>
          <cell r="E2755">
            <v>2</v>
          </cell>
          <cell r="H2755" t="str">
            <v>SAFISCOR</v>
          </cell>
          <cell r="N2755">
            <v>1000</v>
          </cell>
          <cell r="Y2755">
            <v>46238</v>
          </cell>
          <cell r="Z2755">
            <v>1</v>
          </cell>
          <cell r="AA2755">
            <v>1000</v>
          </cell>
        </row>
        <row r="2756">
          <cell r="A2756">
            <v>46237</v>
          </cell>
          <cell r="D2756" t="str">
            <v>SALVACION 8</v>
          </cell>
          <cell r="E2756">
            <v>2</v>
          </cell>
          <cell r="H2756" t="str">
            <v>SAFISCOR</v>
          </cell>
          <cell r="N2756">
            <v>1000</v>
          </cell>
          <cell r="Y2756">
            <v>46238</v>
          </cell>
          <cell r="Z2756">
            <v>1</v>
          </cell>
          <cell r="AA2756">
            <v>1000</v>
          </cell>
        </row>
        <row r="2757">
          <cell r="A2757">
            <v>46237</v>
          </cell>
          <cell r="D2757" t="str">
            <v>QUEEN CAROLYN</v>
          </cell>
          <cell r="E2757">
            <v>5</v>
          </cell>
          <cell r="H2757" t="str">
            <v>SAFISCOR</v>
          </cell>
          <cell r="N2757">
            <v>1000</v>
          </cell>
          <cell r="Y2757">
            <v>46238</v>
          </cell>
          <cell r="Z2757">
            <v>1</v>
          </cell>
          <cell r="AA2757">
            <v>1000</v>
          </cell>
        </row>
        <row r="2758">
          <cell r="A2758">
            <v>46237</v>
          </cell>
          <cell r="D2758" t="str">
            <v>QUEEN CAROLYN</v>
          </cell>
          <cell r="E2758">
            <v>5</v>
          </cell>
          <cell r="H2758" t="str">
            <v>SAFISCOR</v>
          </cell>
          <cell r="N2758">
            <v>1000</v>
          </cell>
          <cell r="Y2758">
            <v>46238</v>
          </cell>
          <cell r="Z2758">
            <v>1</v>
          </cell>
          <cell r="AA2758">
            <v>1000</v>
          </cell>
        </row>
        <row r="2759">
          <cell r="A2759">
            <v>46237</v>
          </cell>
          <cell r="D2759" t="str">
            <v>QUEEN CAROLYN</v>
          </cell>
          <cell r="E2759">
            <v>5</v>
          </cell>
          <cell r="H2759" t="str">
            <v>SAFISCOR</v>
          </cell>
          <cell r="N2759">
            <v>1000</v>
          </cell>
          <cell r="Y2759">
            <v>46238</v>
          </cell>
          <cell r="Z2759">
            <v>1</v>
          </cell>
          <cell r="AA2759">
            <v>1000</v>
          </cell>
        </row>
        <row r="2760">
          <cell r="A2760">
            <v>46237</v>
          </cell>
          <cell r="D2760" t="str">
            <v>STAR FREEDOM</v>
          </cell>
          <cell r="E2760">
            <v>7</v>
          </cell>
          <cell r="H2760" t="str">
            <v>SAFISCOR</v>
          </cell>
          <cell r="N2760">
            <v>1000</v>
          </cell>
          <cell r="Y2760">
            <v>46238</v>
          </cell>
          <cell r="Z2760">
            <v>1</v>
          </cell>
          <cell r="AA2760">
            <v>1000</v>
          </cell>
        </row>
        <row r="2761">
          <cell r="A2761">
            <v>46238</v>
          </cell>
          <cell r="D2761" t="str">
            <v>ADOLFO SR</v>
          </cell>
          <cell r="E2761">
            <v>6</v>
          </cell>
          <cell r="H2761" t="str">
            <v>APLUS</v>
          </cell>
          <cell r="N2761">
            <v>1000</v>
          </cell>
          <cell r="Y2761">
            <v>46238</v>
          </cell>
          <cell r="Z2761">
            <v>1</v>
          </cell>
          <cell r="AA2761">
            <v>1000</v>
          </cell>
        </row>
        <row r="2762">
          <cell r="A2762">
            <v>46238</v>
          </cell>
          <cell r="D2762" t="str">
            <v>ADOLFO SR</v>
          </cell>
          <cell r="E2762">
            <v>6</v>
          </cell>
          <cell r="H2762" t="str">
            <v>LAPU-LAPU</v>
          </cell>
          <cell r="N2762">
            <v>1000</v>
          </cell>
          <cell r="Y2762">
            <v>46238</v>
          </cell>
          <cell r="Z2762">
            <v>1</v>
          </cell>
          <cell r="AA2762">
            <v>1000</v>
          </cell>
        </row>
        <row r="2763">
          <cell r="A2763">
            <v>46238</v>
          </cell>
          <cell r="D2763" t="str">
            <v>STAR FREEDOM</v>
          </cell>
          <cell r="E2763">
            <v>7</v>
          </cell>
          <cell r="H2763" t="str">
            <v>FULACHE</v>
          </cell>
          <cell r="N2763">
            <v>1000</v>
          </cell>
          <cell r="Y2763">
            <v>46238</v>
          </cell>
          <cell r="Z2763">
            <v>1</v>
          </cell>
          <cell r="AA2763">
            <v>1000</v>
          </cell>
        </row>
        <row r="2764">
          <cell r="A2764">
            <v>46238</v>
          </cell>
          <cell r="D2764" t="str">
            <v>ADOLFO SR</v>
          </cell>
          <cell r="E2764">
            <v>6</v>
          </cell>
          <cell r="H2764" t="str">
            <v>LAPU-LAPU</v>
          </cell>
          <cell r="N2764">
            <v>1000</v>
          </cell>
          <cell r="Y2764">
            <v>46238</v>
          </cell>
          <cell r="Z2764">
            <v>2</v>
          </cell>
          <cell r="AA2764">
            <v>1000</v>
          </cell>
        </row>
        <row r="2765">
          <cell r="A2765">
            <v>46238</v>
          </cell>
          <cell r="D2765" t="str">
            <v>QUEEN CAROLYN</v>
          </cell>
          <cell r="E2765">
            <v>5</v>
          </cell>
          <cell r="H2765" t="str">
            <v>SAFISCOR</v>
          </cell>
          <cell r="N2765">
            <v>1000</v>
          </cell>
          <cell r="Y2765">
            <v>46238</v>
          </cell>
          <cell r="Z2765">
            <v>2</v>
          </cell>
          <cell r="AA2765">
            <v>1000</v>
          </cell>
        </row>
        <row r="2766">
          <cell r="A2766">
            <v>46238</v>
          </cell>
          <cell r="D2766" t="str">
            <v>QUEEN CAROLYN</v>
          </cell>
          <cell r="E2766">
            <v>5</v>
          </cell>
          <cell r="H2766" t="str">
            <v>SAFISCOR</v>
          </cell>
          <cell r="N2766">
            <v>1000</v>
          </cell>
          <cell r="Y2766">
            <v>46238</v>
          </cell>
          <cell r="Z2766">
            <v>2</v>
          </cell>
          <cell r="AA2766">
            <v>1000</v>
          </cell>
        </row>
        <row r="2767">
          <cell r="A2767">
            <v>46238</v>
          </cell>
          <cell r="D2767" t="str">
            <v>QUEEN CAROLYN</v>
          </cell>
          <cell r="E2767">
            <v>5</v>
          </cell>
          <cell r="H2767" t="str">
            <v>SAFISCOR</v>
          </cell>
          <cell r="N2767">
            <v>1000</v>
          </cell>
          <cell r="Y2767">
            <v>46238</v>
          </cell>
          <cell r="Z2767">
            <v>2</v>
          </cell>
          <cell r="AA2767">
            <v>1000</v>
          </cell>
        </row>
        <row r="2768">
          <cell r="A2768">
            <v>46238</v>
          </cell>
          <cell r="D2768" t="str">
            <v>STAR FREEDOM</v>
          </cell>
          <cell r="E2768">
            <v>7</v>
          </cell>
          <cell r="H2768" t="str">
            <v>LAPU-LAPU</v>
          </cell>
          <cell r="N2768">
            <v>1000</v>
          </cell>
          <cell r="Y2768">
            <v>46238</v>
          </cell>
          <cell r="Z2768">
            <v>1</v>
          </cell>
          <cell r="AA2768">
            <v>1000</v>
          </cell>
        </row>
        <row r="2769">
          <cell r="A2769">
            <v>46238</v>
          </cell>
          <cell r="D2769" t="str">
            <v>SALVACION 8</v>
          </cell>
          <cell r="E2769">
            <v>2</v>
          </cell>
          <cell r="H2769" t="str">
            <v>SAFISCOR</v>
          </cell>
          <cell r="N2769">
            <v>1000</v>
          </cell>
          <cell r="Y2769">
            <v>46238</v>
          </cell>
          <cell r="Z2769">
            <v>1</v>
          </cell>
          <cell r="AA2769">
            <v>1000</v>
          </cell>
        </row>
        <row r="2770">
          <cell r="A2770">
            <v>46238</v>
          </cell>
          <cell r="D2770" t="str">
            <v>SALVACION 8</v>
          </cell>
          <cell r="E2770">
            <v>2</v>
          </cell>
          <cell r="H2770" t="str">
            <v>APLUS</v>
          </cell>
          <cell r="N2770">
            <v>1000</v>
          </cell>
          <cell r="Y2770">
            <v>46238</v>
          </cell>
          <cell r="Z2770">
            <v>2</v>
          </cell>
          <cell r="AA2770">
            <v>1000</v>
          </cell>
        </row>
        <row r="2771">
          <cell r="A2771">
            <v>46238</v>
          </cell>
          <cell r="D2771" t="str">
            <v>SALVACION 8</v>
          </cell>
          <cell r="E2771">
            <v>2</v>
          </cell>
          <cell r="H2771" t="str">
            <v>LAPU-LAPU</v>
          </cell>
          <cell r="N2771">
            <v>1000</v>
          </cell>
          <cell r="Y2771">
            <v>46238</v>
          </cell>
          <cell r="Z2771">
            <v>1</v>
          </cell>
          <cell r="AA2771">
            <v>1000</v>
          </cell>
        </row>
        <row r="2772">
          <cell r="A2772">
            <v>46238</v>
          </cell>
          <cell r="D2772" t="str">
            <v>STAR FREEDOM</v>
          </cell>
          <cell r="E2772">
            <v>7</v>
          </cell>
          <cell r="H2772" t="str">
            <v>SAFISCOR</v>
          </cell>
          <cell r="N2772">
            <v>1000</v>
          </cell>
          <cell r="Y2772">
            <v>46238</v>
          </cell>
          <cell r="Z2772">
            <v>2</v>
          </cell>
          <cell r="AA2772">
            <v>1000</v>
          </cell>
        </row>
        <row r="2773">
          <cell r="A2773">
            <v>46238</v>
          </cell>
          <cell r="D2773" t="str">
            <v>STAR FREEDOM</v>
          </cell>
          <cell r="E2773">
            <v>7</v>
          </cell>
          <cell r="H2773" t="str">
            <v>LAPU-LAPU</v>
          </cell>
          <cell r="N2773">
            <v>1000</v>
          </cell>
          <cell r="Y2773">
            <v>46238</v>
          </cell>
          <cell r="Z2773">
            <v>1</v>
          </cell>
          <cell r="AA2773">
            <v>1000</v>
          </cell>
        </row>
        <row r="2774">
          <cell r="A2774">
            <v>46238</v>
          </cell>
          <cell r="D2774" t="str">
            <v>NAPOLI</v>
          </cell>
          <cell r="E2774">
            <v>5</v>
          </cell>
          <cell r="H2774" t="str">
            <v>GEO</v>
          </cell>
          <cell r="N2774">
            <v>1000</v>
          </cell>
          <cell r="Y2774">
            <v>46238</v>
          </cell>
          <cell r="Z2774">
            <v>1</v>
          </cell>
          <cell r="AA2774">
            <v>1000</v>
          </cell>
        </row>
        <row r="2775">
          <cell r="A2775">
            <v>46238</v>
          </cell>
          <cell r="D2775" t="str">
            <v>NAPOLI</v>
          </cell>
          <cell r="E2775">
            <v>5</v>
          </cell>
          <cell r="H2775" t="str">
            <v>GEO</v>
          </cell>
          <cell r="N2775">
            <v>1000</v>
          </cell>
          <cell r="Y2775">
            <v>46238</v>
          </cell>
          <cell r="Z2775">
            <v>1</v>
          </cell>
          <cell r="AA2775">
            <v>1000</v>
          </cell>
        </row>
        <row r="2776">
          <cell r="A2776">
            <v>46238</v>
          </cell>
          <cell r="D2776" t="str">
            <v>QUEEN CAROLYN</v>
          </cell>
          <cell r="E2776">
            <v>5</v>
          </cell>
          <cell r="H2776" t="str">
            <v>SAFISCOR</v>
          </cell>
          <cell r="N2776">
            <v>1000</v>
          </cell>
          <cell r="Y2776">
            <v>46238</v>
          </cell>
          <cell r="Z2776">
            <v>2</v>
          </cell>
          <cell r="AA2776">
            <v>1000</v>
          </cell>
        </row>
        <row r="2777">
          <cell r="A2777">
            <v>46238</v>
          </cell>
          <cell r="D2777" t="str">
            <v>QUEEN CAROLYN</v>
          </cell>
          <cell r="E2777">
            <v>5</v>
          </cell>
          <cell r="H2777" t="str">
            <v>SAFISCOR</v>
          </cell>
          <cell r="N2777">
            <v>1000</v>
          </cell>
          <cell r="Y2777">
            <v>46238</v>
          </cell>
          <cell r="Z2777">
            <v>2</v>
          </cell>
          <cell r="AA2777">
            <v>1000</v>
          </cell>
        </row>
        <row r="2778">
          <cell r="A2778">
            <v>46238</v>
          </cell>
          <cell r="D2778" t="str">
            <v>QUEEN CAROLYN</v>
          </cell>
          <cell r="E2778">
            <v>5</v>
          </cell>
          <cell r="H2778" t="str">
            <v>SAFISCOR</v>
          </cell>
          <cell r="N2778">
            <v>1000</v>
          </cell>
          <cell r="Y2778">
            <v>46238</v>
          </cell>
          <cell r="Z2778">
            <v>2</v>
          </cell>
          <cell r="AA2778">
            <v>1000</v>
          </cell>
        </row>
        <row r="2779">
          <cell r="A2779">
            <v>46238</v>
          </cell>
          <cell r="D2779" t="str">
            <v>ADOLFO SR</v>
          </cell>
          <cell r="E2779">
            <v>6</v>
          </cell>
          <cell r="H2779" t="str">
            <v>SAFISCOR</v>
          </cell>
          <cell r="N2779">
            <v>200</v>
          </cell>
          <cell r="Y2779">
            <v>46238</v>
          </cell>
          <cell r="Z2779">
            <v>2</v>
          </cell>
          <cell r="AA2779">
            <v>200</v>
          </cell>
        </row>
        <row r="2780">
          <cell r="A2780">
            <v>46238</v>
          </cell>
          <cell r="D2780" t="str">
            <v>ADOLFO SR</v>
          </cell>
          <cell r="E2780">
            <v>6</v>
          </cell>
          <cell r="H2780" t="str">
            <v>SAFISCOR</v>
          </cell>
          <cell r="N2780">
            <v>800</v>
          </cell>
          <cell r="Y2780">
            <v>46239</v>
          </cell>
          <cell r="Z2780">
            <v>2</v>
          </cell>
          <cell r="AA2780">
            <v>800</v>
          </cell>
        </row>
        <row r="2781">
          <cell r="A2781">
            <v>46238</v>
          </cell>
          <cell r="D2781" t="str">
            <v>NAPOLI</v>
          </cell>
          <cell r="E2781">
            <v>5</v>
          </cell>
          <cell r="H2781" t="str">
            <v>BADIE</v>
          </cell>
          <cell r="N2781">
            <v>1000</v>
          </cell>
          <cell r="Y2781">
            <v>46238</v>
          </cell>
          <cell r="Z2781">
            <v>1</v>
          </cell>
          <cell r="AA2781">
            <v>1000</v>
          </cell>
        </row>
        <row r="2782">
          <cell r="A2782">
            <v>46238</v>
          </cell>
          <cell r="D2782" t="str">
            <v>SALVACION 8</v>
          </cell>
          <cell r="E2782">
            <v>2</v>
          </cell>
          <cell r="H2782" t="str">
            <v>FULACHE</v>
          </cell>
          <cell r="N2782">
            <v>1000</v>
          </cell>
          <cell r="Y2782">
            <v>46239</v>
          </cell>
          <cell r="Z2782">
            <v>1</v>
          </cell>
          <cell r="AA2782">
            <v>1000</v>
          </cell>
        </row>
        <row r="2783">
          <cell r="A2783">
            <v>46238</v>
          </cell>
          <cell r="D2783" t="str">
            <v>SALVACION 8</v>
          </cell>
          <cell r="E2783">
            <v>2</v>
          </cell>
          <cell r="H2783" t="str">
            <v>SAFISCOR</v>
          </cell>
          <cell r="N2783">
            <v>1000</v>
          </cell>
          <cell r="Y2783">
            <v>46241</v>
          </cell>
          <cell r="Z2783">
            <v>1</v>
          </cell>
          <cell r="AA2783">
            <v>1000</v>
          </cell>
        </row>
        <row r="2784">
          <cell r="A2784">
            <v>46238</v>
          </cell>
          <cell r="D2784" t="str">
            <v>SALVACION 8</v>
          </cell>
          <cell r="E2784">
            <v>2</v>
          </cell>
          <cell r="H2784" t="str">
            <v>SAFISCOR</v>
          </cell>
          <cell r="N2784">
            <v>1000</v>
          </cell>
          <cell r="Y2784">
            <v>46238</v>
          </cell>
          <cell r="Z2784">
            <v>2</v>
          </cell>
          <cell r="AA2784">
            <v>1000</v>
          </cell>
        </row>
        <row r="2785">
          <cell r="A2785">
            <v>46238</v>
          </cell>
          <cell r="D2785" t="str">
            <v>SALVACION 8</v>
          </cell>
          <cell r="E2785">
            <v>2</v>
          </cell>
          <cell r="H2785" t="str">
            <v>SAFISCOR</v>
          </cell>
          <cell r="N2785">
            <v>1000</v>
          </cell>
          <cell r="Y2785">
            <v>46238</v>
          </cell>
          <cell r="Z2785">
            <v>2</v>
          </cell>
          <cell r="AA2785">
            <v>1000</v>
          </cell>
        </row>
        <row r="2786">
          <cell r="A2786">
            <v>46238</v>
          </cell>
          <cell r="D2786" t="str">
            <v>STAR FREEDOM</v>
          </cell>
          <cell r="E2786">
            <v>7</v>
          </cell>
          <cell r="H2786" t="str">
            <v>LAPU-LAPU</v>
          </cell>
          <cell r="N2786">
            <v>500</v>
          </cell>
          <cell r="Y2786">
            <v>46238</v>
          </cell>
          <cell r="Z2786">
            <v>1</v>
          </cell>
          <cell r="AA2786">
            <v>500</v>
          </cell>
        </row>
        <row r="2787">
          <cell r="A2787">
            <v>46238</v>
          </cell>
          <cell r="D2787" t="str">
            <v>NAPOLI</v>
          </cell>
          <cell r="E2787">
            <v>5</v>
          </cell>
          <cell r="H2787" t="str">
            <v>LAPU-LAPU</v>
          </cell>
          <cell r="N2787">
            <v>500</v>
          </cell>
          <cell r="Y2787">
            <v>46238</v>
          </cell>
          <cell r="Z2787">
            <v>1</v>
          </cell>
          <cell r="AA2787">
            <v>500</v>
          </cell>
        </row>
        <row r="2788">
          <cell r="A2788">
            <v>46238</v>
          </cell>
          <cell r="D2788" t="str">
            <v>NAPOLI</v>
          </cell>
          <cell r="E2788">
            <v>5</v>
          </cell>
          <cell r="H2788" t="str">
            <v>SAFISCOR</v>
          </cell>
          <cell r="N2788">
            <v>1000</v>
          </cell>
          <cell r="Y2788">
            <v>46238</v>
          </cell>
          <cell r="Z2788">
            <v>1</v>
          </cell>
          <cell r="AA2788">
            <v>1000</v>
          </cell>
        </row>
        <row r="2789">
          <cell r="A2789">
            <v>46238</v>
          </cell>
          <cell r="D2789" t="str">
            <v>SALVACION 8</v>
          </cell>
          <cell r="E2789">
            <v>2</v>
          </cell>
          <cell r="H2789" t="str">
            <v>GEO</v>
          </cell>
          <cell r="N2789">
            <v>1000</v>
          </cell>
          <cell r="Y2789">
            <v>46238</v>
          </cell>
          <cell r="Z2789">
            <v>2</v>
          </cell>
          <cell r="AA2789">
            <v>1000</v>
          </cell>
        </row>
        <row r="2790">
          <cell r="A2790">
            <v>46238</v>
          </cell>
          <cell r="D2790" t="str">
            <v>SALVACION 8</v>
          </cell>
          <cell r="E2790">
            <v>2</v>
          </cell>
          <cell r="H2790" t="str">
            <v>SAFISCOR</v>
          </cell>
          <cell r="N2790">
            <v>1000</v>
          </cell>
          <cell r="Y2790">
            <v>46238</v>
          </cell>
          <cell r="Z2790">
            <v>2</v>
          </cell>
          <cell r="AA2790">
            <v>1000</v>
          </cell>
        </row>
        <row r="2791">
          <cell r="A2791">
            <v>46238</v>
          </cell>
          <cell r="D2791" t="str">
            <v>SALVACION 8</v>
          </cell>
          <cell r="E2791">
            <v>2</v>
          </cell>
          <cell r="H2791" t="str">
            <v>SAFISCOR</v>
          </cell>
          <cell r="N2791">
            <v>1000</v>
          </cell>
          <cell r="Y2791">
            <v>46238</v>
          </cell>
          <cell r="Z2791">
            <v>2</v>
          </cell>
          <cell r="AA2791">
            <v>1000</v>
          </cell>
        </row>
        <row r="2792">
          <cell r="A2792">
            <v>46238</v>
          </cell>
          <cell r="D2792" t="str">
            <v>SALVACION 8</v>
          </cell>
          <cell r="E2792">
            <v>2</v>
          </cell>
          <cell r="H2792" t="str">
            <v>SAFISCOR</v>
          </cell>
          <cell r="N2792">
            <v>1000</v>
          </cell>
          <cell r="Y2792">
            <v>46244</v>
          </cell>
          <cell r="Z2792">
            <v>2</v>
          </cell>
          <cell r="AA2792">
            <v>1000</v>
          </cell>
        </row>
        <row r="2793">
          <cell r="A2793">
            <v>46238</v>
          </cell>
          <cell r="D2793" t="str">
            <v>SALVACION 8</v>
          </cell>
          <cell r="E2793">
            <v>2</v>
          </cell>
          <cell r="H2793" t="str">
            <v>SAFISCOR</v>
          </cell>
          <cell r="N2793">
            <v>1000</v>
          </cell>
          <cell r="Y2793">
            <v>46244</v>
          </cell>
          <cell r="Z2793">
            <v>2</v>
          </cell>
          <cell r="AA2793">
            <v>1000</v>
          </cell>
        </row>
        <row r="2794">
          <cell r="A2794">
            <v>46238</v>
          </cell>
          <cell r="D2794" t="str">
            <v>STAR FREEDOM</v>
          </cell>
          <cell r="E2794">
            <v>7</v>
          </cell>
          <cell r="H2794" t="str">
            <v>LAPU-LAPU</v>
          </cell>
          <cell r="N2794">
            <v>1000</v>
          </cell>
          <cell r="Y2794">
            <v>46238</v>
          </cell>
          <cell r="Z2794">
            <v>1</v>
          </cell>
          <cell r="AA2794">
            <v>1000</v>
          </cell>
        </row>
        <row r="2795">
          <cell r="A2795">
            <v>46238</v>
          </cell>
          <cell r="D2795" t="str">
            <v>SALVACION 8</v>
          </cell>
          <cell r="E2795">
            <v>2</v>
          </cell>
          <cell r="H2795" t="str">
            <v>SAFISCOR</v>
          </cell>
          <cell r="N2795">
            <v>1000</v>
          </cell>
          <cell r="Y2795">
            <v>46240</v>
          </cell>
          <cell r="Z2795">
            <v>1</v>
          </cell>
          <cell r="AA2795">
            <v>1000</v>
          </cell>
        </row>
        <row r="2796">
          <cell r="A2796">
            <v>46238</v>
          </cell>
          <cell r="D2796" t="str">
            <v>SALVACION 8</v>
          </cell>
          <cell r="E2796">
            <v>2</v>
          </cell>
          <cell r="H2796" t="str">
            <v>GEO</v>
          </cell>
          <cell r="N2796">
            <v>1000</v>
          </cell>
          <cell r="Y2796">
            <v>46238</v>
          </cell>
          <cell r="Z2796">
            <v>2</v>
          </cell>
          <cell r="AA2796">
            <v>1000</v>
          </cell>
        </row>
        <row r="2797">
          <cell r="A2797">
            <v>46238</v>
          </cell>
          <cell r="D2797" t="str">
            <v>NAPOLI</v>
          </cell>
          <cell r="E2797">
            <v>5</v>
          </cell>
          <cell r="H2797" t="str">
            <v>APLUS</v>
          </cell>
          <cell r="N2797">
            <v>1000</v>
          </cell>
          <cell r="Y2797">
            <v>46238</v>
          </cell>
          <cell r="Z2797">
            <v>2</v>
          </cell>
          <cell r="AA2797">
            <v>1000</v>
          </cell>
        </row>
        <row r="2798">
          <cell r="A2798">
            <v>46238</v>
          </cell>
          <cell r="D2798" t="str">
            <v>ADOLFO SR</v>
          </cell>
          <cell r="E2798">
            <v>6</v>
          </cell>
          <cell r="H2798" t="str">
            <v>SAFISCOR</v>
          </cell>
          <cell r="N2798">
            <v>1000</v>
          </cell>
          <cell r="Y2798">
            <v>46238</v>
          </cell>
          <cell r="Z2798">
            <v>2</v>
          </cell>
          <cell r="AA2798">
            <v>1000</v>
          </cell>
        </row>
        <row r="2799">
          <cell r="A2799">
            <v>46238</v>
          </cell>
          <cell r="D2799" t="str">
            <v>SALVACION 8</v>
          </cell>
          <cell r="E2799">
            <v>2</v>
          </cell>
          <cell r="H2799" t="str">
            <v>SAFISCOR</v>
          </cell>
          <cell r="N2799">
            <v>1000</v>
          </cell>
          <cell r="Y2799">
            <v>46238</v>
          </cell>
          <cell r="Z2799">
            <v>2</v>
          </cell>
          <cell r="AA2799">
            <v>1000</v>
          </cell>
        </row>
        <row r="2800">
          <cell r="A2800">
            <v>46238</v>
          </cell>
          <cell r="D2800" t="str">
            <v>ADOLFO SR</v>
          </cell>
          <cell r="E2800">
            <v>6</v>
          </cell>
          <cell r="H2800" t="str">
            <v>SAFISCOR</v>
          </cell>
          <cell r="N2800">
            <v>1000</v>
          </cell>
          <cell r="Y2800">
            <v>46238</v>
          </cell>
          <cell r="Z2800">
            <v>2</v>
          </cell>
          <cell r="AA2800">
            <v>1000</v>
          </cell>
        </row>
        <row r="2801">
          <cell r="A2801">
            <v>46238</v>
          </cell>
          <cell r="D2801" t="str">
            <v>NAPOLI</v>
          </cell>
          <cell r="E2801">
            <v>5</v>
          </cell>
          <cell r="H2801" t="str">
            <v>GEO</v>
          </cell>
          <cell r="N2801">
            <v>1000</v>
          </cell>
          <cell r="Y2801">
            <v>46238</v>
          </cell>
          <cell r="Z2801">
            <v>2</v>
          </cell>
          <cell r="AA2801">
            <v>1000</v>
          </cell>
        </row>
        <row r="2802">
          <cell r="A2802">
            <v>46238</v>
          </cell>
          <cell r="D2802" t="str">
            <v>ADOLFO SR</v>
          </cell>
          <cell r="E2802">
            <v>6</v>
          </cell>
          <cell r="H2802" t="str">
            <v>SAFISCOR</v>
          </cell>
          <cell r="N2802">
            <v>1000</v>
          </cell>
          <cell r="Y2802">
            <v>46239</v>
          </cell>
          <cell r="Z2802">
            <v>1</v>
          </cell>
          <cell r="AA2802">
            <v>1000</v>
          </cell>
        </row>
        <row r="2803">
          <cell r="A2803">
            <v>46238</v>
          </cell>
          <cell r="D2803" t="str">
            <v>NAPOLI</v>
          </cell>
          <cell r="E2803">
            <v>5</v>
          </cell>
          <cell r="H2803" t="str">
            <v>LAPU-LAPU</v>
          </cell>
          <cell r="N2803">
            <v>1000</v>
          </cell>
          <cell r="Y2803">
            <v>46239</v>
          </cell>
          <cell r="Z2803">
            <v>1</v>
          </cell>
          <cell r="AA2803">
            <v>1000</v>
          </cell>
        </row>
        <row r="2804">
          <cell r="A2804">
            <v>46238</v>
          </cell>
          <cell r="D2804" t="str">
            <v>EFG 8</v>
          </cell>
          <cell r="E2804">
            <v>3</v>
          </cell>
          <cell r="H2804" t="str">
            <v>LAPU-LAPU</v>
          </cell>
          <cell r="N2804">
            <v>1000</v>
          </cell>
          <cell r="Y2804">
            <v>46238</v>
          </cell>
          <cell r="Z2804">
            <v>2</v>
          </cell>
          <cell r="AA2804">
            <v>1000</v>
          </cell>
        </row>
        <row r="2805">
          <cell r="A2805">
            <v>46238</v>
          </cell>
          <cell r="D2805" t="str">
            <v>EFG 8</v>
          </cell>
          <cell r="E2805">
            <v>3</v>
          </cell>
          <cell r="H2805" t="str">
            <v>BADIE</v>
          </cell>
          <cell r="N2805">
            <v>1000</v>
          </cell>
          <cell r="Y2805">
            <v>46238</v>
          </cell>
          <cell r="Z2805">
            <v>2</v>
          </cell>
          <cell r="AA2805">
            <v>1000</v>
          </cell>
        </row>
        <row r="2806">
          <cell r="A2806">
            <v>46238</v>
          </cell>
          <cell r="D2806" t="str">
            <v>NAPOLI</v>
          </cell>
          <cell r="E2806">
            <v>5</v>
          </cell>
          <cell r="H2806" t="str">
            <v>SAFISCOR</v>
          </cell>
          <cell r="N2806">
            <v>1000</v>
          </cell>
          <cell r="Y2806">
            <v>46238</v>
          </cell>
          <cell r="Z2806">
            <v>2</v>
          </cell>
          <cell r="AA2806">
            <v>1000</v>
          </cell>
        </row>
        <row r="2807">
          <cell r="A2807">
            <v>46238</v>
          </cell>
          <cell r="D2807" t="str">
            <v>ADOLFO SR</v>
          </cell>
          <cell r="E2807">
            <v>6</v>
          </cell>
          <cell r="H2807" t="str">
            <v>SAFISCOR</v>
          </cell>
          <cell r="N2807">
            <v>1000</v>
          </cell>
          <cell r="Y2807">
            <v>46238</v>
          </cell>
          <cell r="Z2807">
            <v>2</v>
          </cell>
          <cell r="AA2807">
            <v>1000</v>
          </cell>
        </row>
        <row r="2808">
          <cell r="A2808">
            <v>46238</v>
          </cell>
          <cell r="D2808" t="str">
            <v>NAPOLI</v>
          </cell>
          <cell r="E2808">
            <v>5</v>
          </cell>
          <cell r="H2808" t="str">
            <v>SAFISCOR</v>
          </cell>
          <cell r="N2808">
            <v>1000</v>
          </cell>
          <cell r="Y2808">
            <v>46238</v>
          </cell>
          <cell r="Z2808">
            <v>2</v>
          </cell>
          <cell r="AA2808">
            <v>1000</v>
          </cell>
        </row>
        <row r="2809">
          <cell r="A2809">
            <v>46238</v>
          </cell>
          <cell r="D2809" t="str">
            <v>ADOLFO SR</v>
          </cell>
          <cell r="E2809">
            <v>6</v>
          </cell>
          <cell r="H2809" t="str">
            <v>SAFISCOR</v>
          </cell>
          <cell r="N2809">
            <v>1000</v>
          </cell>
          <cell r="Y2809">
            <v>46238</v>
          </cell>
          <cell r="Z2809">
            <v>2</v>
          </cell>
          <cell r="AA2809">
            <v>1000</v>
          </cell>
        </row>
        <row r="2810">
          <cell r="A2810">
            <v>46238</v>
          </cell>
          <cell r="D2810" t="str">
            <v>EFG 8</v>
          </cell>
          <cell r="E2810">
            <v>3</v>
          </cell>
          <cell r="H2810" t="str">
            <v>SAFISCOR</v>
          </cell>
          <cell r="N2810">
            <v>1000</v>
          </cell>
          <cell r="Y2810">
            <v>46238</v>
          </cell>
          <cell r="Z2810">
            <v>2</v>
          </cell>
          <cell r="AA2810">
            <v>1000</v>
          </cell>
        </row>
        <row r="2811">
          <cell r="A2811">
            <v>46238</v>
          </cell>
          <cell r="D2811" t="str">
            <v>EFG 8</v>
          </cell>
          <cell r="E2811">
            <v>3</v>
          </cell>
          <cell r="H2811" t="str">
            <v>SAFISCOR</v>
          </cell>
          <cell r="N2811">
            <v>1000</v>
          </cell>
          <cell r="Y2811">
            <v>46238</v>
          </cell>
          <cell r="Z2811">
            <v>2</v>
          </cell>
          <cell r="AA2811">
            <v>1000</v>
          </cell>
        </row>
        <row r="2812">
          <cell r="A2812">
            <v>46238</v>
          </cell>
          <cell r="D2812" t="str">
            <v>LADY OF DIVINE GRACE</v>
          </cell>
          <cell r="E2812">
            <v>5</v>
          </cell>
          <cell r="H2812" t="str">
            <v>GEO</v>
          </cell>
          <cell r="N2812">
            <v>1000</v>
          </cell>
          <cell r="Y2812">
            <v>46239</v>
          </cell>
          <cell r="Z2812">
            <v>1</v>
          </cell>
          <cell r="AA2812">
            <v>1000</v>
          </cell>
        </row>
        <row r="2813">
          <cell r="A2813">
            <v>46238</v>
          </cell>
          <cell r="D2813" t="str">
            <v>SALVACION 8</v>
          </cell>
          <cell r="E2813">
            <v>2</v>
          </cell>
          <cell r="H2813" t="str">
            <v>SAFISCOR</v>
          </cell>
          <cell r="N2813">
            <v>1000</v>
          </cell>
          <cell r="Y2813">
            <v>46240</v>
          </cell>
          <cell r="Z2813">
            <v>1</v>
          </cell>
          <cell r="AA2813">
            <v>1000</v>
          </cell>
        </row>
        <row r="2814">
          <cell r="A2814">
            <v>46238</v>
          </cell>
          <cell r="D2814" t="str">
            <v>SALVACION 8</v>
          </cell>
          <cell r="E2814">
            <v>2</v>
          </cell>
          <cell r="H2814" t="str">
            <v>SAFISCOR</v>
          </cell>
          <cell r="N2814">
            <v>1000</v>
          </cell>
          <cell r="Y2814">
            <v>46243</v>
          </cell>
          <cell r="Z2814">
            <v>1</v>
          </cell>
          <cell r="AA2814">
            <v>1000</v>
          </cell>
        </row>
        <row r="2815">
          <cell r="A2815">
            <v>46238</v>
          </cell>
          <cell r="D2815" t="str">
            <v>SALVACION 8</v>
          </cell>
          <cell r="E2815">
            <v>2</v>
          </cell>
          <cell r="H2815" t="str">
            <v>SAFISCOR</v>
          </cell>
          <cell r="N2815">
            <v>1000</v>
          </cell>
          <cell r="Y2815">
            <v>46239</v>
          </cell>
          <cell r="Z2815">
            <v>1</v>
          </cell>
          <cell r="AA2815">
            <v>1000</v>
          </cell>
        </row>
        <row r="2816">
          <cell r="A2816">
            <v>46238</v>
          </cell>
          <cell r="D2816" t="str">
            <v>SALVACION 8</v>
          </cell>
          <cell r="E2816">
            <v>2</v>
          </cell>
          <cell r="H2816" t="str">
            <v>SAFISCOR</v>
          </cell>
          <cell r="N2816">
            <v>1000</v>
          </cell>
          <cell r="Y2816">
            <v>46238</v>
          </cell>
          <cell r="Z2816">
            <v>2</v>
          </cell>
          <cell r="AA2816">
            <v>1000</v>
          </cell>
        </row>
        <row r="2817">
          <cell r="A2817">
            <v>46238</v>
          </cell>
          <cell r="D2817" t="str">
            <v>LADY OF DIVINE GRACE</v>
          </cell>
          <cell r="E2817">
            <v>5</v>
          </cell>
          <cell r="H2817" t="str">
            <v>LAPU-LAPU</v>
          </cell>
          <cell r="N2817">
            <v>1000</v>
          </cell>
          <cell r="Y2817">
            <v>46238</v>
          </cell>
          <cell r="Z2817">
            <v>2</v>
          </cell>
          <cell r="AA2817">
            <v>1000</v>
          </cell>
        </row>
        <row r="2818">
          <cell r="A2818">
            <v>46238</v>
          </cell>
          <cell r="D2818" t="str">
            <v>LADY OF DIVINE GRACE</v>
          </cell>
          <cell r="E2818">
            <v>5</v>
          </cell>
          <cell r="H2818" t="str">
            <v>SAFISCOR</v>
          </cell>
          <cell r="N2818">
            <v>1000</v>
          </cell>
          <cell r="Y2818">
            <v>46238</v>
          </cell>
          <cell r="Z2818">
            <v>2</v>
          </cell>
          <cell r="AA2818">
            <v>1000</v>
          </cell>
        </row>
        <row r="2819">
          <cell r="A2819">
            <v>46238</v>
          </cell>
          <cell r="D2819" t="str">
            <v>SALVACION 8</v>
          </cell>
          <cell r="E2819">
            <v>2</v>
          </cell>
          <cell r="H2819" t="str">
            <v>SAFISCOR</v>
          </cell>
          <cell r="N2819">
            <v>1000</v>
          </cell>
          <cell r="Y2819">
            <v>46241</v>
          </cell>
          <cell r="Z2819">
            <v>1</v>
          </cell>
          <cell r="AA2819">
            <v>1000</v>
          </cell>
        </row>
        <row r="2820">
          <cell r="A2820">
            <v>46238</v>
          </cell>
          <cell r="D2820" t="str">
            <v>SALVACION 8</v>
          </cell>
          <cell r="E2820">
            <v>2</v>
          </cell>
          <cell r="H2820" t="str">
            <v>SAFISCOR</v>
          </cell>
          <cell r="N2820">
            <v>1000</v>
          </cell>
          <cell r="Y2820">
            <v>46241</v>
          </cell>
          <cell r="Z2820">
            <v>1</v>
          </cell>
          <cell r="AA2820">
            <v>1000</v>
          </cell>
        </row>
        <row r="2821">
          <cell r="A2821">
            <v>46238</v>
          </cell>
          <cell r="D2821" t="str">
            <v>STAR FREEDOM</v>
          </cell>
          <cell r="E2821">
            <v>7</v>
          </cell>
          <cell r="H2821" t="str">
            <v>BADIE</v>
          </cell>
          <cell r="N2821">
            <v>1000</v>
          </cell>
          <cell r="Y2821">
            <v>46238</v>
          </cell>
          <cell r="Z2821">
            <v>2</v>
          </cell>
          <cell r="AA2821">
            <v>1000</v>
          </cell>
        </row>
        <row r="2822">
          <cell r="A2822">
            <v>46238</v>
          </cell>
          <cell r="D2822" t="str">
            <v>STAR FREEDOM</v>
          </cell>
          <cell r="E2822">
            <v>7</v>
          </cell>
          <cell r="H2822" t="str">
            <v>GEO</v>
          </cell>
          <cell r="N2822">
            <v>1000</v>
          </cell>
          <cell r="Y2822">
            <v>46238</v>
          </cell>
          <cell r="Z2822">
            <v>2</v>
          </cell>
          <cell r="AA2822">
            <v>1000</v>
          </cell>
        </row>
        <row r="2823">
          <cell r="A2823">
            <v>46238</v>
          </cell>
          <cell r="D2823" t="str">
            <v>EFG 8</v>
          </cell>
          <cell r="E2823">
            <v>3</v>
          </cell>
          <cell r="H2823" t="str">
            <v>SAFISCOR</v>
          </cell>
          <cell r="N2823">
            <v>1000</v>
          </cell>
          <cell r="Y2823">
            <v>46238</v>
          </cell>
          <cell r="Z2823">
            <v>2</v>
          </cell>
          <cell r="AA2823">
            <v>1000</v>
          </cell>
        </row>
        <row r="2824">
          <cell r="A2824">
            <v>46238</v>
          </cell>
          <cell r="D2824" t="str">
            <v>LADY OF DIVINE GRACE</v>
          </cell>
          <cell r="E2824">
            <v>5</v>
          </cell>
          <cell r="H2824" t="str">
            <v>SAFISCOR</v>
          </cell>
          <cell r="N2824">
            <v>1000</v>
          </cell>
          <cell r="Y2824">
            <v>46239</v>
          </cell>
          <cell r="Z2824">
            <v>1</v>
          </cell>
          <cell r="AA2824">
            <v>1000</v>
          </cell>
        </row>
        <row r="2825">
          <cell r="A2825">
            <v>46238</v>
          </cell>
          <cell r="D2825" t="str">
            <v>ADOLFO SR</v>
          </cell>
          <cell r="E2825">
            <v>6</v>
          </cell>
          <cell r="H2825" t="str">
            <v>SAFISCOR</v>
          </cell>
          <cell r="N2825">
            <v>1000</v>
          </cell>
          <cell r="Y2825">
            <v>46239</v>
          </cell>
          <cell r="Z2825">
            <v>1</v>
          </cell>
          <cell r="AA2825">
            <v>1000</v>
          </cell>
        </row>
        <row r="2826">
          <cell r="A2826">
            <v>46238</v>
          </cell>
          <cell r="D2826" t="str">
            <v>SALVACION 8</v>
          </cell>
          <cell r="E2826">
            <v>2</v>
          </cell>
          <cell r="H2826" t="str">
            <v>SAFISCOR</v>
          </cell>
          <cell r="N2826">
            <v>1000</v>
          </cell>
          <cell r="Y2826">
            <v>46244</v>
          </cell>
          <cell r="Z2826">
            <v>2</v>
          </cell>
          <cell r="AA2826">
            <v>1000</v>
          </cell>
        </row>
        <row r="2827">
          <cell r="A2827">
            <v>46238</v>
          </cell>
          <cell r="D2827" t="str">
            <v>STAR FREEDOM</v>
          </cell>
          <cell r="E2827">
            <v>7</v>
          </cell>
          <cell r="H2827" t="str">
            <v>SAFISCOR</v>
          </cell>
          <cell r="N2827">
            <v>1000</v>
          </cell>
          <cell r="Y2827">
            <v>46238</v>
          </cell>
          <cell r="Z2827">
            <v>2</v>
          </cell>
          <cell r="AA2827">
            <v>1000</v>
          </cell>
        </row>
        <row r="2828">
          <cell r="A2828">
            <v>46238</v>
          </cell>
          <cell r="D2828" t="str">
            <v>EFG 8</v>
          </cell>
          <cell r="E2828">
            <v>3</v>
          </cell>
          <cell r="H2828" t="str">
            <v>SAFISCOR</v>
          </cell>
          <cell r="N2828">
            <v>1000</v>
          </cell>
          <cell r="Y2828">
            <v>46238</v>
          </cell>
          <cell r="Z2828">
            <v>2</v>
          </cell>
          <cell r="AA2828">
            <v>1000</v>
          </cell>
        </row>
        <row r="2830">
          <cell r="A2830">
            <v>46238</v>
          </cell>
          <cell r="D2830" t="str">
            <v>STAR FREEDOM</v>
          </cell>
          <cell r="E2830">
            <v>7</v>
          </cell>
          <cell r="H2830" t="str">
            <v>SAFISCOR</v>
          </cell>
          <cell r="N2830">
            <v>500</v>
          </cell>
          <cell r="Y2830">
            <v>46238</v>
          </cell>
          <cell r="Z2830">
            <v>2</v>
          </cell>
          <cell r="AA2830">
            <v>500</v>
          </cell>
        </row>
        <row r="2831">
          <cell r="A2831">
            <v>46238</v>
          </cell>
          <cell r="D2831" t="str">
            <v>NAPOLI</v>
          </cell>
          <cell r="E2831">
            <v>5</v>
          </cell>
          <cell r="H2831" t="str">
            <v>SAFISCOR</v>
          </cell>
          <cell r="N2831">
            <v>500</v>
          </cell>
          <cell r="Y2831">
            <v>46239</v>
          </cell>
          <cell r="Z2831">
            <v>2</v>
          </cell>
          <cell r="AA2831">
            <v>500</v>
          </cell>
        </row>
        <row r="2832">
          <cell r="A2832">
            <v>46239</v>
          </cell>
          <cell r="D2832" t="str">
            <v>SALVACION 8</v>
          </cell>
          <cell r="E2832">
            <v>2</v>
          </cell>
          <cell r="H2832" t="str">
            <v>SAFISCOR</v>
          </cell>
          <cell r="N2832">
            <v>1000</v>
          </cell>
          <cell r="Y2832">
            <v>46240</v>
          </cell>
          <cell r="Z2832">
            <v>1</v>
          </cell>
          <cell r="AA2832">
            <v>1000</v>
          </cell>
        </row>
        <row r="2833">
          <cell r="A2833">
            <v>46239</v>
          </cell>
          <cell r="D2833" t="str">
            <v>NAPOLI</v>
          </cell>
          <cell r="E2833">
            <v>5</v>
          </cell>
          <cell r="H2833" t="str">
            <v>SAFISCOR</v>
          </cell>
          <cell r="N2833">
            <v>1000</v>
          </cell>
          <cell r="Y2833">
            <v>46239</v>
          </cell>
          <cell r="Z2833">
            <v>1</v>
          </cell>
          <cell r="AA2833">
            <v>1000</v>
          </cell>
        </row>
        <row r="2834">
          <cell r="A2834">
            <v>46239</v>
          </cell>
          <cell r="D2834" t="str">
            <v>SALVACION 8</v>
          </cell>
          <cell r="E2834">
            <v>2</v>
          </cell>
          <cell r="H2834" t="str">
            <v>SAFISCOR</v>
          </cell>
          <cell r="N2834">
            <v>1000</v>
          </cell>
          <cell r="Y2834">
            <v>46244</v>
          </cell>
          <cell r="Z2834">
            <v>2</v>
          </cell>
          <cell r="AA2834">
            <v>1000</v>
          </cell>
        </row>
        <row r="2835">
          <cell r="A2835">
            <v>46239</v>
          </cell>
          <cell r="D2835" t="str">
            <v>LADY OF DIVINE GRACE</v>
          </cell>
          <cell r="E2835">
            <v>5</v>
          </cell>
          <cell r="H2835" t="str">
            <v>SAFISCOR</v>
          </cell>
          <cell r="N2835">
            <v>1000</v>
          </cell>
          <cell r="Y2835">
            <v>46239</v>
          </cell>
          <cell r="Z2835">
            <v>1</v>
          </cell>
          <cell r="AA2835">
            <v>1000</v>
          </cell>
        </row>
        <row r="2836">
          <cell r="A2836">
            <v>46239</v>
          </cell>
          <cell r="D2836" t="str">
            <v>NAPOLI</v>
          </cell>
          <cell r="E2836">
            <v>5</v>
          </cell>
          <cell r="H2836" t="str">
            <v>LAPU-LAPU</v>
          </cell>
          <cell r="N2836">
            <v>1000</v>
          </cell>
          <cell r="Y2836">
            <v>46239</v>
          </cell>
          <cell r="Z2836">
            <v>1</v>
          </cell>
          <cell r="AA2836">
            <v>1000</v>
          </cell>
        </row>
        <row r="2837">
          <cell r="A2837">
            <v>46239</v>
          </cell>
          <cell r="D2837" t="str">
            <v>EFG 8</v>
          </cell>
          <cell r="E2837">
            <v>3</v>
          </cell>
          <cell r="H2837" t="str">
            <v>SAFISCOR</v>
          </cell>
          <cell r="N2837">
            <v>1000</v>
          </cell>
          <cell r="Y2837">
            <v>46239</v>
          </cell>
          <cell r="Z2837">
            <v>1</v>
          </cell>
          <cell r="AA2837">
            <v>1000</v>
          </cell>
        </row>
        <row r="2838">
          <cell r="A2838">
            <v>46239</v>
          </cell>
          <cell r="D2838" t="str">
            <v>EFG 8</v>
          </cell>
          <cell r="E2838">
            <v>3</v>
          </cell>
          <cell r="H2838" t="str">
            <v>SAFISCOR</v>
          </cell>
          <cell r="N2838">
            <v>1000</v>
          </cell>
          <cell r="Y2838">
            <v>46239</v>
          </cell>
          <cell r="Z2838">
            <v>1</v>
          </cell>
          <cell r="AA2838">
            <v>1000</v>
          </cell>
        </row>
        <row r="2839">
          <cell r="A2839">
            <v>46239</v>
          </cell>
          <cell r="D2839" t="str">
            <v>SALVACION 8</v>
          </cell>
          <cell r="E2839">
            <v>2</v>
          </cell>
          <cell r="H2839" t="str">
            <v>FULACHE</v>
          </cell>
          <cell r="N2839">
            <v>1000</v>
          </cell>
          <cell r="Y2839">
            <v>46239</v>
          </cell>
          <cell r="Z2839">
            <v>1</v>
          </cell>
          <cell r="AA2839">
            <v>1000</v>
          </cell>
        </row>
        <row r="2840">
          <cell r="A2840">
            <v>46239</v>
          </cell>
          <cell r="D2840" t="str">
            <v>NAPOLI</v>
          </cell>
          <cell r="E2840">
            <v>5</v>
          </cell>
          <cell r="H2840" t="str">
            <v>APLUS</v>
          </cell>
          <cell r="N2840">
            <v>1000</v>
          </cell>
          <cell r="Y2840">
            <v>46239</v>
          </cell>
          <cell r="Z2840">
            <v>1</v>
          </cell>
          <cell r="AA2840">
            <v>1000</v>
          </cell>
        </row>
        <row r="2841">
          <cell r="A2841">
            <v>46239</v>
          </cell>
          <cell r="D2841" t="str">
            <v>LADY OF DIVINE GRACE</v>
          </cell>
          <cell r="E2841">
            <v>5</v>
          </cell>
          <cell r="H2841" t="str">
            <v>SAFISCOR</v>
          </cell>
          <cell r="N2841">
            <v>1000</v>
          </cell>
          <cell r="Y2841">
            <v>46239</v>
          </cell>
          <cell r="Z2841">
            <v>1</v>
          </cell>
          <cell r="AA2841">
            <v>1000</v>
          </cell>
        </row>
        <row r="2842">
          <cell r="A2842">
            <v>46239</v>
          </cell>
          <cell r="D2842" t="str">
            <v>ADOLFO SR</v>
          </cell>
          <cell r="E2842">
            <v>6</v>
          </cell>
          <cell r="H2842" t="str">
            <v>SAFISCOR</v>
          </cell>
          <cell r="N2842">
            <v>1000</v>
          </cell>
          <cell r="Y2842">
            <v>46239</v>
          </cell>
          <cell r="Z2842">
            <v>2</v>
          </cell>
          <cell r="AA2842">
            <v>1000</v>
          </cell>
        </row>
        <row r="2843">
          <cell r="A2843">
            <v>46239</v>
          </cell>
          <cell r="D2843" t="str">
            <v>ADOLFO SR</v>
          </cell>
          <cell r="E2843">
            <v>6</v>
          </cell>
          <cell r="H2843" t="str">
            <v>SAFISCOR</v>
          </cell>
          <cell r="N2843">
            <v>1000</v>
          </cell>
          <cell r="Y2843">
            <v>46239</v>
          </cell>
          <cell r="Z2843">
            <v>2</v>
          </cell>
          <cell r="AA2843">
            <v>1000</v>
          </cell>
        </row>
        <row r="2844">
          <cell r="A2844">
            <v>46239</v>
          </cell>
          <cell r="D2844" t="str">
            <v>ADOLFO SR</v>
          </cell>
          <cell r="E2844">
            <v>6</v>
          </cell>
          <cell r="H2844" t="str">
            <v>FULACHE</v>
          </cell>
          <cell r="N2844">
            <v>1000</v>
          </cell>
          <cell r="Y2844">
            <v>46239</v>
          </cell>
          <cell r="Z2844">
            <v>1</v>
          </cell>
          <cell r="AA2844">
            <v>1000</v>
          </cell>
        </row>
        <row r="2845">
          <cell r="A2845">
            <v>46239</v>
          </cell>
          <cell r="D2845" t="str">
            <v>EFG 8</v>
          </cell>
          <cell r="E2845">
            <v>3</v>
          </cell>
          <cell r="H2845" t="str">
            <v>SAFISCOR</v>
          </cell>
          <cell r="N2845">
            <v>1000</v>
          </cell>
          <cell r="Y2845">
            <v>46239</v>
          </cell>
          <cell r="Z2845">
            <v>2</v>
          </cell>
          <cell r="AA2845">
            <v>1000</v>
          </cell>
        </row>
        <row r="2846">
          <cell r="A2846">
            <v>46239</v>
          </cell>
          <cell r="D2846" t="str">
            <v>EFG 8</v>
          </cell>
          <cell r="E2846">
            <v>3</v>
          </cell>
          <cell r="H2846" t="str">
            <v>SAFISCOR</v>
          </cell>
          <cell r="N2846">
            <v>1000</v>
          </cell>
          <cell r="Y2846">
            <v>46239</v>
          </cell>
          <cell r="Z2846">
            <v>1</v>
          </cell>
          <cell r="AA2846">
            <v>1000</v>
          </cell>
        </row>
        <row r="2847">
          <cell r="A2847">
            <v>46239</v>
          </cell>
          <cell r="D2847" t="str">
            <v>JOHANNAH 7</v>
          </cell>
          <cell r="E2847">
            <v>3</v>
          </cell>
          <cell r="H2847" t="str">
            <v>SAFISCOR</v>
          </cell>
          <cell r="N2847">
            <v>1000</v>
          </cell>
        </row>
        <row r="2848">
          <cell r="A2848">
            <v>46239</v>
          </cell>
          <cell r="D2848" t="str">
            <v>LADY OF DIVINE GRACE</v>
          </cell>
          <cell r="E2848">
            <v>5</v>
          </cell>
          <cell r="H2848" t="str">
            <v>FULACHE</v>
          </cell>
          <cell r="N2848">
            <v>1000</v>
          </cell>
          <cell r="Y2848">
            <v>46239</v>
          </cell>
          <cell r="Z2848">
            <v>1</v>
          </cell>
          <cell r="AA2848">
            <v>1000</v>
          </cell>
        </row>
        <row r="2849">
          <cell r="A2849">
            <v>46239</v>
          </cell>
          <cell r="D2849" t="str">
            <v>LADY OF DIVINE GRACE</v>
          </cell>
          <cell r="E2849">
            <v>5</v>
          </cell>
          <cell r="H2849" t="str">
            <v>GEO</v>
          </cell>
          <cell r="N2849">
            <v>1000</v>
          </cell>
          <cell r="Y2849">
            <v>46239</v>
          </cell>
          <cell r="Z2849">
            <v>1</v>
          </cell>
          <cell r="AA2849">
            <v>1000</v>
          </cell>
        </row>
        <row r="2850">
          <cell r="A2850">
            <v>46239</v>
          </cell>
          <cell r="D2850" t="str">
            <v>ADOLFO SR</v>
          </cell>
          <cell r="E2850">
            <v>6</v>
          </cell>
          <cell r="H2850" t="str">
            <v>SAFISCOR</v>
          </cell>
          <cell r="N2850">
            <v>800</v>
          </cell>
          <cell r="Y2850">
            <v>46240</v>
          </cell>
          <cell r="Z2850">
            <v>1</v>
          </cell>
          <cell r="AA2850">
            <v>800</v>
          </cell>
        </row>
        <row r="2851">
          <cell r="A2851">
            <v>46239</v>
          </cell>
          <cell r="D2851" t="str">
            <v>ADOLFO SR</v>
          </cell>
          <cell r="E2851">
            <v>6</v>
          </cell>
          <cell r="H2851" t="str">
            <v>SAFISCOR</v>
          </cell>
          <cell r="N2851">
            <v>200</v>
          </cell>
          <cell r="Y2851">
            <v>46240</v>
          </cell>
          <cell r="Z2851">
            <v>1</v>
          </cell>
          <cell r="AA2851">
            <v>200</v>
          </cell>
        </row>
        <row r="2852">
          <cell r="A2852">
            <v>46239</v>
          </cell>
          <cell r="D2852" t="str">
            <v>ADOLFO SR</v>
          </cell>
          <cell r="E2852">
            <v>6</v>
          </cell>
          <cell r="H2852" t="str">
            <v>SAFISCOR</v>
          </cell>
          <cell r="N2852">
            <v>1000</v>
          </cell>
          <cell r="Y2852">
            <v>46239</v>
          </cell>
          <cell r="Z2852">
            <v>2</v>
          </cell>
          <cell r="AA2852">
            <v>1000</v>
          </cell>
        </row>
        <row r="2853">
          <cell r="A2853">
            <v>46239</v>
          </cell>
          <cell r="D2853" t="str">
            <v>NAPOLI</v>
          </cell>
          <cell r="E2853">
            <v>5</v>
          </cell>
          <cell r="H2853" t="str">
            <v>SAFISCOR</v>
          </cell>
          <cell r="N2853">
            <v>1000</v>
          </cell>
          <cell r="Y2853">
            <v>46239</v>
          </cell>
          <cell r="Z2853">
            <v>2</v>
          </cell>
          <cell r="AA2853">
            <v>1000</v>
          </cell>
        </row>
        <row r="2854">
          <cell r="A2854">
            <v>46239</v>
          </cell>
          <cell r="D2854" t="str">
            <v>NAPOLI</v>
          </cell>
          <cell r="E2854">
            <v>5</v>
          </cell>
          <cell r="H2854" t="str">
            <v>GEO</v>
          </cell>
          <cell r="N2854">
            <v>1000</v>
          </cell>
          <cell r="Y2854">
            <v>46239</v>
          </cell>
          <cell r="Z2854">
            <v>1</v>
          </cell>
          <cell r="AA2854">
            <v>1000</v>
          </cell>
        </row>
        <row r="2855">
          <cell r="A2855">
            <v>46239</v>
          </cell>
          <cell r="D2855" t="str">
            <v>NAPOLI</v>
          </cell>
          <cell r="E2855">
            <v>5</v>
          </cell>
          <cell r="H2855" t="str">
            <v>LAPU-LAPU</v>
          </cell>
          <cell r="N2855">
            <v>1000</v>
          </cell>
          <cell r="Y2855">
            <v>46239</v>
          </cell>
          <cell r="Z2855">
            <v>1</v>
          </cell>
          <cell r="AA2855">
            <v>1000</v>
          </cell>
        </row>
        <row r="2856">
          <cell r="A2856">
            <v>46239</v>
          </cell>
          <cell r="D2856" t="str">
            <v>EFG 8</v>
          </cell>
          <cell r="E2856">
            <v>3</v>
          </cell>
          <cell r="H2856" t="str">
            <v>SAFISCOR</v>
          </cell>
          <cell r="N2856">
            <v>1000</v>
          </cell>
          <cell r="Y2856">
            <v>46239</v>
          </cell>
          <cell r="Z2856">
            <v>1</v>
          </cell>
          <cell r="AA2856">
            <v>1000</v>
          </cell>
        </row>
        <row r="2857">
          <cell r="A2857">
            <v>46239</v>
          </cell>
          <cell r="D2857" t="str">
            <v>SALVACION 8</v>
          </cell>
          <cell r="E2857">
            <v>2</v>
          </cell>
          <cell r="H2857" t="str">
            <v>SAFISCOR</v>
          </cell>
          <cell r="N2857">
            <v>1000</v>
          </cell>
          <cell r="Y2857">
            <v>46240</v>
          </cell>
          <cell r="Z2857">
            <v>1</v>
          </cell>
          <cell r="AA2857">
            <v>1000</v>
          </cell>
        </row>
        <row r="2858">
          <cell r="A2858">
            <v>46239</v>
          </cell>
          <cell r="D2858" t="str">
            <v>SALVACION 8</v>
          </cell>
          <cell r="E2858">
            <v>2</v>
          </cell>
          <cell r="H2858" t="str">
            <v>SAFISCOR</v>
          </cell>
          <cell r="N2858">
            <v>1000</v>
          </cell>
          <cell r="Y2858">
            <v>46240</v>
          </cell>
          <cell r="Z2858">
            <v>1</v>
          </cell>
          <cell r="AA2858">
            <v>1000</v>
          </cell>
        </row>
        <row r="2859">
          <cell r="A2859">
            <v>46239</v>
          </cell>
          <cell r="D2859" t="str">
            <v>JOHANNAH 7</v>
          </cell>
          <cell r="E2859">
            <v>3</v>
          </cell>
          <cell r="H2859" t="str">
            <v>SAFISCOR</v>
          </cell>
          <cell r="N2859">
            <v>1000</v>
          </cell>
          <cell r="Y2859">
            <v>46245</v>
          </cell>
          <cell r="Z2859">
            <v>1</v>
          </cell>
          <cell r="AA2859">
            <v>1000</v>
          </cell>
        </row>
        <row r="2860">
          <cell r="A2860">
            <v>46239</v>
          </cell>
          <cell r="D2860" t="str">
            <v>JOHANNAH 7</v>
          </cell>
          <cell r="E2860">
            <v>3</v>
          </cell>
          <cell r="H2860" t="str">
            <v>SAFISCOR</v>
          </cell>
          <cell r="N2860">
            <v>1000</v>
          </cell>
          <cell r="Y2860">
            <v>46245</v>
          </cell>
          <cell r="Z2860">
            <v>1</v>
          </cell>
          <cell r="AA2860">
            <v>1000</v>
          </cell>
        </row>
        <row r="2861">
          <cell r="A2861">
            <v>46239</v>
          </cell>
          <cell r="D2861" t="str">
            <v>NAPOLI</v>
          </cell>
          <cell r="E2861">
            <v>5</v>
          </cell>
          <cell r="H2861" t="str">
            <v>APLUS</v>
          </cell>
          <cell r="N2861">
            <v>1000</v>
          </cell>
          <cell r="Y2861">
            <v>46239</v>
          </cell>
          <cell r="Z2861">
            <v>1</v>
          </cell>
          <cell r="AA2861">
            <v>1000</v>
          </cell>
        </row>
        <row r="2862">
          <cell r="A2862">
            <v>46239</v>
          </cell>
          <cell r="D2862" t="str">
            <v>NAPOLI</v>
          </cell>
          <cell r="E2862">
            <v>5</v>
          </cell>
          <cell r="H2862" t="str">
            <v>BADIE</v>
          </cell>
          <cell r="N2862">
            <v>1000</v>
          </cell>
          <cell r="Y2862">
            <v>46239</v>
          </cell>
          <cell r="Z2862">
            <v>1</v>
          </cell>
          <cell r="AA2862">
            <v>1000</v>
          </cell>
        </row>
        <row r="2863">
          <cell r="A2863">
            <v>46239</v>
          </cell>
          <cell r="D2863" t="str">
            <v>NAPOLI</v>
          </cell>
          <cell r="E2863">
            <v>5</v>
          </cell>
          <cell r="H2863" t="str">
            <v>LAPU-LAPU</v>
          </cell>
          <cell r="N2863">
            <v>1000</v>
          </cell>
          <cell r="Y2863">
            <v>46239</v>
          </cell>
          <cell r="Z2863">
            <v>2</v>
          </cell>
          <cell r="AA2863">
            <v>1000</v>
          </cell>
        </row>
        <row r="2864">
          <cell r="A2864">
            <v>46239</v>
          </cell>
          <cell r="D2864" t="str">
            <v>NAPOLI</v>
          </cell>
          <cell r="E2864">
            <v>5</v>
          </cell>
          <cell r="H2864" t="str">
            <v>LAPU-LAPU</v>
          </cell>
          <cell r="N2864">
            <v>1000</v>
          </cell>
          <cell r="Y2864">
            <v>46239</v>
          </cell>
          <cell r="Z2864">
            <v>2</v>
          </cell>
          <cell r="AA2864">
            <v>1000</v>
          </cell>
        </row>
        <row r="2865">
          <cell r="A2865">
            <v>46239</v>
          </cell>
          <cell r="D2865" t="str">
            <v>JOHANNAH 7</v>
          </cell>
          <cell r="E2865">
            <v>3</v>
          </cell>
          <cell r="H2865" t="str">
            <v>LAPU-LAPU</v>
          </cell>
          <cell r="N2865">
            <v>1000</v>
          </cell>
          <cell r="Y2865">
            <v>46245</v>
          </cell>
          <cell r="Z2865">
            <v>1</v>
          </cell>
          <cell r="AA2865">
            <v>1000</v>
          </cell>
        </row>
        <row r="2866">
          <cell r="A2866">
            <v>46239</v>
          </cell>
          <cell r="D2866" t="str">
            <v>LADY OF DIVINE GRACE</v>
          </cell>
          <cell r="E2866">
            <v>5</v>
          </cell>
          <cell r="H2866" t="str">
            <v>SAFISCOR</v>
          </cell>
          <cell r="N2866">
            <v>1000</v>
          </cell>
          <cell r="Y2866">
            <v>46239</v>
          </cell>
          <cell r="Z2866">
            <v>2</v>
          </cell>
          <cell r="AA2866">
            <v>1000</v>
          </cell>
        </row>
        <row r="2867">
          <cell r="A2867">
            <v>46239</v>
          </cell>
          <cell r="D2867" t="str">
            <v>EFG 8</v>
          </cell>
          <cell r="E2867">
            <v>3</v>
          </cell>
          <cell r="H2867" t="str">
            <v>SAFISCOR</v>
          </cell>
          <cell r="N2867">
            <v>1000</v>
          </cell>
          <cell r="Y2867">
            <v>46239</v>
          </cell>
          <cell r="Z2867">
            <v>2</v>
          </cell>
          <cell r="AA2867">
            <v>1000</v>
          </cell>
        </row>
        <row r="2868">
          <cell r="A2868">
            <v>46239</v>
          </cell>
          <cell r="D2868" t="str">
            <v>JOHANNAH 7</v>
          </cell>
          <cell r="E2868">
            <v>3</v>
          </cell>
          <cell r="H2868" t="str">
            <v>SAFISCOR</v>
          </cell>
          <cell r="N2868">
            <v>1000</v>
          </cell>
          <cell r="Y2868">
            <v>46245</v>
          </cell>
          <cell r="Z2868">
            <v>1</v>
          </cell>
          <cell r="AA2868">
            <v>1000</v>
          </cell>
        </row>
        <row r="2869">
          <cell r="A2869">
            <v>46239</v>
          </cell>
          <cell r="D2869" t="str">
            <v>JOHANNAH 7</v>
          </cell>
          <cell r="E2869">
            <v>3</v>
          </cell>
          <cell r="H2869" t="str">
            <v>SAFISCOR</v>
          </cell>
          <cell r="N2869">
            <v>1000</v>
          </cell>
          <cell r="Y2869">
            <v>46245</v>
          </cell>
          <cell r="Z2869">
            <v>1</v>
          </cell>
          <cell r="AA2869">
            <v>1000</v>
          </cell>
        </row>
        <row r="2870">
          <cell r="A2870">
            <v>46239</v>
          </cell>
          <cell r="D2870" t="str">
            <v>JOHANNAH 7</v>
          </cell>
          <cell r="E2870">
            <v>3</v>
          </cell>
          <cell r="H2870" t="str">
            <v>GEO</v>
          </cell>
          <cell r="N2870">
            <v>1000</v>
          </cell>
          <cell r="Y2870">
            <v>46245</v>
          </cell>
          <cell r="Z2870">
            <v>1</v>
          </cell>
          <cell r="AA2870">
            <v>1000</v>
          </cell>
        </row>
        <row r="2871">
          <cell r="A2871">
            <v>46239</v>
          </cell>
          <cell r="D2871" t="str">
            <v>LADY OF DIVINE GRACE</v>
          </cell>
          <cell r="E2871">
            <v>5</v>
          </cell>
          <cell r="H2871" t="str">
            <v>GEO</v>
          </cell>
          <cell r="N2871">
            <v>1000</v>
          </cell>
          <cell r="Y2871">
            <v>46239</v>
          </cell>
          <cell r="Z2871">
            <v>2</v>
          </cell>
          <cell r="AA2871">
            <v>1000</v>
          </cell>
        </row>
        <row r="2872">
          <cell r="A2872">
            <v>46239</v>
          </cell>
          <cell r="D2872" t="str">
            <v>LADY OF DIVINE GRACE</v>
          </cell>
          <cell r="E2872">
            <v>5</v>
          </cell>
          <cell r="H2872" t="str">
            <v>LAPU-LAPU</v>
          </cell>
          <cell r="N2872">
            <v>1000</v>
          </cell>
          <cell r="Y2872">
            <v>46239</v>
          </cell>
          <cell r="Z2872">
            <v>2</v>
          </cell>
          <cell r="AA2872">
            <v>1000</v>
          </cell>
        </row>
        <row r="2873">
          <cell r="A2873">
            <v>46239</v>
          </cell>
          <cell r="D2873" t="str">
            <v>EFG 8</v>
          </cell>
          <cell r="E2873">
            <v>3</v>
          </cell>
          <cell r="H2873" t="str">
            <v>SAFISCOR</v>
          </cell>
          <cell r="N2873">
            <v>1000</v>
          </cell>
          <cell r="Y2873">
            <v>46239</v>
          </cell>
          <cell r="Z2873">
            <v>2</v>
          </cell>
          <cell r="AA2873">
            <v>1000</v>
          </cell>
        </row>
        <row r="2874">
          <cell r="A2874">
            <v>46239</v>
          </cell>
          <cell r="D2874" t="str">
            <v>EFG 8</v>
          </cell>
          <cell r="E2874">
            <v>3</v>
          </cell>
          <cell r="H2874" t="str">
            <v>SAFISCOR</v>
          </cell>
          <cell r="N2874">
            <v>1000</v>
          </cell>
          <cell r="Y2874">
            <v>46239</v>
          </cell>
          <cell r="Z2874">
            <v>2</v>
          </cell>
          <cell r="AA2874">
            <v>1000</v>
          </cell>
        </row>
        <row r="2875">
          <cell r="A2875">
            <v>46239</v>
          </cell>
          <cell r="D2875" t="str">
            <v>JOHANNAH 7</v>
          </cell>
          <cell r="E2875">
            <v>3</v>
          </cell>
          <cell r="H2875" t="str">
            <v>BADIE</v>
          </cell>
          <cell r="N2875">
            <v>1000</v>
          </cell>
        </row>
        <row r="2876">
          <cell r="A2876">
            <v>46239</v>
          </cell>
          <cell r="D2876" t="str">
            <v>JOHANNAH 7</v>
          </cell>
          <cell r="E2876">
            <v>3</v>
          </cell>
          <cell r="H2876" t="str">
            <v>SAFISCOR</v>
          </cell>
          <cell r="N2876">
            <v>1000</v>
          </cell>
        </row>
        <row r="2877">
          <cell r="A2877">
            <v>46239</v>
          </cell>
          <cell r="D2877" t="str">
            <v>EFG 8</v>
          </cell>
          <cell r="E2877">
            <v>3</v>
          </cell>
          <cell r="H2877" t="str">
            <v>SAFISCOR</v>
          </cell>
          <cell r="N2877">
            <v>1000</v>
          </cell>
          <cell r="Y2877">
            <v>46240</v>
          </cell>
          <cell r="Z2877">
            <v>1</v>
          </cell>
          <cell r="AA2877">
            <v>1000</v>
          </cell>
        </row>
        <row r="2878">
          <cell r="A2878">
            <v>46239</v>
          </cell>
          <cell r="D2878" t="str">
            <v>EFG 8</v>
          </cell>
          <cell r="E2878">
            <v>3</v>
          </cell>
          <cell r="H2878" t="str">
            <v>SAFISCOR</v>
          </cell>
          <cell r="N2878">
            <v>1000</v>
          </cell>
          <cell r="Y2878">
            <v>46240</v>
          </cell>
          <cell r="Z2878">
            <v>2</v>
          </cell>
          <cell r="AA2878">
            <v>1000</v>
          </cell>
        </row>
        <row r="2879">
          <cell r="A2879">
            <v>46239</v>
          </cell>
          <cell r="D2879" t="str">
            <v>ADOLFO SR</v>
          </cell>
          <cell r="E2879">
            <v>6</v>
          </cell>
          <cell r="H2879" t="str">
            <v>SAFISCOR</v>
          </cell>
          <cell r="N2879">
            <v>1000</v>
          </cell>
          <cell r="Y2879">
            <v>46239</v>
          </cell>
          <cell r="Z2879">
            <v>2</v>
          </cell>
          <cell r="AA2879">
            <v>1000</v>
          </cell>
        </row>
        <row r="2880">
          <cell r="A2880">
            <v>46239</v>
          </cell>
          <cell r="D2880" t="str">
            <v>EFG 8</v>
          </cell>
          <cell r="E2880">
            <v>3</v>
          </cell>
          <cell r="H2880" t="str">
            <v>SAFISCOR</v>
          </cell>
          <cell r="N2880">
            <v>1000</v>
          </cell>
          <cell r="Y2880">
            <v>46241</v>
          </cell>
          <cell r="Z2880">
            <v>1</v>
          </cell>
          <cell r="AA2880">
            <v>1000</v>
          </cell>
        </row>
        <row r="2881">
          <cell r="A2881">
            <v>46239</v>
          </cell>
          <cell r="D2881" t="str">
            <v>ADOLFO SR</v>
          </cell>
          <cell r="E2881">
            <v>6</v>
          </cell>
          <cell r="H2881" t="str">
            <v>SAFISCOR</v>
          </cell>
          <cell r="N2881">
            <v>1000</v>
          </cell>
          <cell r="Y2881">
            <v>46239</v>
          </cell>
          <cell r="Z2881">
            <v>2</v>
          </cell>
          <cell r="AA2881">
            <v>1000</v>
          </cell>
        </row>
        <row r="2882">
          <cell r="A2882">
            <v>46239</v>
          </cell>
          <cell r="D2882" t="str">
            <v>ADOLFO SR</v>
          </cell>
          <cell r="E2882">
            <v>6</v>
          </cell>
          <cell r="H2882" t="str">
            <v>SAFISCOR</v>
          </cell>
          <cell r="N2882">
            <v>500</v>
          </cell>
          <cell r="Y2882">
            <v>46240</v>
          </cell>
          <cell r="Z2882">
            <v>1</v>
          </cell>
          <cell r="AA2882">
            <v>500</v>
          </cell>
        </row>
        <row r="2883">
          <cell r="A2883">
            <v>46239</v>
          </cell>
          <cell r="D2883" t="str">
            <v>ADOLFO SR</v>
          </cell>
          <cell r="E2883">
            <v>6</v>
          </cell>
          <cell r="H2883" t="str">
            <v>SAFISCOR</v>
          </cell>
          <cell r="N2883">
            <v>500</v>
          </cell>
          <cell r="Y2883">
            <v>46240</v>
          </cell>
          <cell r="Z2883">
            <v>1</v>
          </cell>
          <cell r="AA2883">
            <v>500</v>
          </cell>
        </row>
        <row r="2884">
          <cell r="A2884">
            <v>46239</v>
          </cell>
          <cell r="D2884" t="str">
            <v>LADY OF DIVINE GRACE</v>
          </cell>
          <cell r="E2884">
            <v>5</v>
          </cell>
          <cell r="H2884" t="str">
            <v>APLUS</v>
          </cell>
          <cell r="N2884">
            <v>500</v>
          </cell>
          <cell r="Y2884">
            <v>46239</v>
          </cell>
          <cell r="Z2884">
            <v>2</v>
          </cell>
          <cell r="AA2884">
            <v>500</v>
          </cell>
        </row>
        <row r="2885">
          <cell r="A2885">
            <v>46239</v>
          </cell>
          <cell r="D2885" t="str">
            <v>LADY OF DIVINE GRACE</v>
          </cell>
          <cell r="E2885">
            <v>5</v>
          </cell>
          <cell r="H2885" t="str">
            <v>APLUS</v>
          </cell>
          <cell r="N2885">
            <v>500</v>
          </cell>
          <cell r="Y2885">
            <v>46239</v>
          </cell>
          <cell r="Z2885">
            <v>2</v>
          </cell>
          <cell r="AA2885">
            <v>500</v>
          </cell>
        </row>
        <row r="2886">
          <cell r="A2886">
            <v>46239</v>
          </cell>
          <cell r="D2886" t="str">
            <v>ADOLFO SR</v>
          </cell>
          <cell r="E2886">
            <v>6</v>
          </cell>
          <cell r="H2886" t="str">
            <v>SAFISCOR</v>
          </cell>
          <cell r="N2886">
            <v>1000</v>
          </cell>
          <cell r="Y2886">
            <v>46240</v>
          </cell>
          <cell r="Z2886">
            <v>1</v>
          </cell>
          <cell r="AA2886">
            <v>1000</v>
          </cell>
        </row>
        <row r="2887">
          <cell r="A2887">
            <v>46239</v>
          </cell>
          <cell r="D2887" t="str">
            <v>ADOLFO SR</v>
          </cell>
          <cell r="E2887">
            <v>6</v>
          </cell>
          <cell r="H2887" t="str">
            <v>SAFISCOR</v>
          </cell>
          <cell r="N2887">
            <v>1000</v>
          </cell>
          <cell r="Y2887">
            <v>46240</v>
          </cell>
          <cell r="Z2887">
            <v>1</v>
          </cell>
          <cell r="AA2887">
            <v>1000</v>
          </cell>
        </row>
        <row r="2888">
          <cell r="A2888">
            <v>46239</v>
          </cell>
          <cell r="D2888" t="str">
            <v>NAPOLI</v>
          </cell>
          <cell r="E2888">
            <v>5</v>
          </cell>
          <cell r="H2888" t="str">
            <v>LAPU-LAPU</v>
          </cell>
          <cell r="N2888">
            <v>1000</v>
          </cell>
          <cell r="Y2888">
            <v>46239</v>
          </cell>
          <cell r="Z2888">
            <v>2</v>
          </cell>
          <cell r="AA2888">
            <v>1000</v>
          </cell>
        </row>
        <row r="2889">
          <cell r="A2889">
            <v>46239</v>
          </cell>
          <cell r="D2889" t="str">
            <v>LADY OF DIVINE GRACE</v>
          </cell>
          <cell r="E2889">
            <v>5</v>
          </cell>
          <cell r="H2889" t="str">
            <v>LAPU-LAPU</v>
          </cell>
          <cell r="N2889">
            <v>1000</v>
          </cell>
          <cell r="Y2889">
            <v>46239</v>
          </cell>
          <cell r="Z2889">
            <v>2</v>
          </cell>
          <cell r="AA2889">
            <v>1000</v>
          </cell>
        </row>
        <row r="2890">
          <cell r="A2890">
            <v>46239</v>
          </cell>
          <cell r="D2890" t="str">
            <v>LADY OF DIVINE GRACE</v>
          </cell>
          <cell r="E2890">
            <v>5</v>
          </cell>
          <cell r="H2890" t="str">
            <v>GEO</v>
          </cell>
          <cell r="N2890">
            <v>1000</v>
          </cell>
          <cell r="Y2890">
            <v>46239</v>
          </cell>
          <cell r="Z2890">
            <v>2</v>
          </cell>
          <cell r="AA2890">
            <v>1000</v>
          </cell>
        </row>
        <row r="2891">
          <cell r="A2891">
            <v>46239</v>
          </cell>
          <cell r="D2891" t="str">
            <v>EFG 8</v>
          </cell>
          <cell r="E2891">
            <v>3</v>
          </cell>
          <cell r="H2891" t="str">
            <v>LAPU-LAPU</v>
          </cell>
          <cell r="N2891">
            <v>1000</v>
          </cell>
          <cell r="Y2891">
            <v>46240</v>
          </cell>
          <cell r="Z2891">
            <v>1</v>
          </cell>
          <cell r="AA2891">
            <v>1000</v>
          </cell>
        </row>
        <row r="2892">
          <cell r="A2892">
            <v>46239</v>
          </cell>
          <cell r="D2892" t="str">
            <v>LADY OF DIVINE GRACE</v>
          </cell>
          <cell r="E2892">
            <v>5</v>
          </cell>
          <cell r="H2892" t="str">
            <v>LAPU-LAPU</v>
          </cell>
          <cell r="N2892">
            <v>1000</v>
          </cell>
          <cell r="Y2892">
            <v>46239</v>
          </cell>
          <cell r="Z2892">
            <v>2</v>
          </cell>
          <cell r="AA2892">
            <v>1000</v>
          </cell>
        </row>
        <row r="2893">
          <cell r="A2893">
            <v>46239</v>
          </cell>
          <cell r="D2893" t="str">
            <v>ADOLFO SR</v>
          </cell>
          <cell r="E2893">
            <v>6</v>
          </cell>
          <cell r="H2893" t="str">
            <v>SAFISCOR</v>
          </cell>
          <cell r="N2893">
            <v>1000</v>
          </cell>
          <cell r="Y2893">
            <v>46240</v>
          </cell>
          <cell r="Z2893">
            <v>1</v>
          </cell>
          <cell r="AA2893">
            <v>1000</v>
          </cell>
        </row>
        <row r="2894">
          <cell r="A2894">
            <v>46239</v>
          </cell>
          <cell r="D2894" t="str">
            <v>EFG 8</v>
          </cell>
          <cell r="E2894">
            <v>3</v>
          </cell>
          <cell r="H2894" t="str">
            <v>LAPU-LAPU</v>
          </cell>
          <cell r="N2894">
            <v>1000</v>
          </cell>
          <cell r="Y2894">
            <v>46240</v>
          </cell>
          <cell r="Z2894">
            <v>2</v>
          </cell>
          <cell r="AA2894">
            <v>1000</v>
          </cell>
        </row>
        <row r="2895">
          <cell r="A2895">
            <v>46239</v>
          </cell>
          <cell r="D2895" t="str">
            <v>EFG 8</v>
          </cell>
          <cell r="E2895">
            <v>3</v>
          </cell>
          <cell r="H2895" t="str">
            <v>SAFISCOR</v>
          </cell>
          <cell r="N2895">
            <v>1000</v>
          </cell>
          <cell r="Y2895">
            <v>46240</v>
          </cell>
          <cell r="Z2895">
            <v>1</v>
          </cell>
          <cell r="AA2895">
            <v>1000</v>
          </cell>
        </row>
        <row r="2896">
          <cell r="A2896">
            <v>46239</v>
          </cell>
          <cell r="D2896" t="str">
            <v>EFG 8</v>
          </cell>
          <cell r="E2896">
            <v>3</v>
          </cell>
          <cell r="H2896" t="str">
            <v>SAFISCOR</v>
          </cell>
          <cell r="N2896">
            <v>1000</v>
          </cell>
          <cell r="Y2896">
            <v>46240</v>
          </cell>
          <cell r="Z2896">
            <v>1</v>
          </cell>
          <cell r="AA2896">
            <v>1000</v>
          </cell>
        </row>
        <row r="2897">
          <cell r="A2897">
            <v>46239</v>
          </cell>
          <cell r="D2897" t="str">
            <v>EFG 8</v>
          </cell>
          <cell r="E2897">
            <v>3</v>
          </cell>
          <cell r="H2897" t="str">
            <v>SAFISCOR</v>
          </cell>
          <cell r="N2897">
            <v>1000</v>
          </cell>
          <cell r="Y2897">
            <v>46240</v>
          </cell>
          <cell r="Z2897">
            <v>1</v>
          </cell>
          <cell r="AA2897">
            <v>1000</v>
          </cell>
        </row>
        <row r="2898">
          <cell r="A2898">
            <v>46239</v>
          </cell>
          <cell r="D2898" t="str">
            <v>EFG 8</v>
          </cell>
          <cell r="E2898">
            <v>3</v>
          </cell>
          <cell r="H2898" t="str">
            <v>SAFISCOR</v>
          </cell>
          <cell r="N2898">
            <v>1000</v>
          </cell>
          <cell r="Y2898">
            <v>46239</v>
          </cell>
          <cell r="Z2898">
            <v>2</v>
          </cell>
          <cell r="AA2898">
            <v>1000</v>
          </cell>
        </row>
        <row r="2899">
          <cell r="A2899">
            <v>46240</v>
          </cell>
          <cell r="D2899" t="str">
            <v>ADOLFO SR</v>
          </cell>
          <cell r="E2899">
            <v>6</v>
          </cell>
          <cell r="H2899" t="str">
            <v>SAFISCOR</v>
          </cell>
          <cell r="N2899">
            <v>1000</v>
          </cell>
          <cell r="Y2899">
            <v>46240</v>
          </cell>
          <cell r="Z2899">
            <v>1</v>
          </cell>
          <cell r="AA2899">
            <v>1000</v>
          </cell>
        </row>
        <row r="2900">
          <cell r="A2900">
            <v>46240</v>
          </cell>
          <cell r="D2900" t="str">
            <v>EFG 8</v>
          </cell>
          <cell r="E2900">
            <v>3</v>
          </cell>
          <cell r="H2900" t="str">
            <v>SAFISCOR</v>
          </cell>
          <cell r="N2900">
            <v>1000</v>
          </cell>
          <cell r="Y2900">
            <v>46240</v>
          </cell>
          <cell r="Z2900">
            <v>1</v>
          </cell>
          <cell r="AA2900">
            <v>1000</v>
          </cell>
        </row>
        <row r="2901">
          <cell r="A2901">
            <v>46240</v>
          </cell>
          <cell r="D2901" t="str">
            <v>EMERALD STAR</v>
          </cell>
          <cell r="E2901">
            <v>6</v>
          </cell>
          <cell r="H2901" t="str">
            <v>FULACHE</v>
          </cell>
          <cell r="N2901">
            <v>1000</v>
          </cell>
          <cell r="Y2901">
            <v>46240</v>
          </cell>
          <cell r="Z2901">
            <v>1</v>
          </cell>
          <cell r="AA2901">
            <v>1000</v>
          </cell>
        </row>
        <row r="2902">
          <cell r="A2902">
            <v>46240</v>
          </cell>
          <cell r="D2902" t="str">
            <v>EMERALD STAR</v>
          </cell>
          <cell r="E2902">
            <v>6</v>
          </cell>
          <cell r="H2902" t="str">
            <v>LAPU-LAPU</v>
          </cell>
          <cell r="N2902">
            <v>1000</v>
          </cell>
          <cell r="Y2902">
            <v>46240</v>
          </cell>
          <cell r="Z2902">
            <v>1</v>
          </cell>
          <cell r="AA2902">
            <v>1000</v>
          </cell>
        </row>
        <row r="2903">
          <cell r="A2903">
            <v>46240</v>
          </cell>
          <cell r="D2903" t="str">
            <v>ADOLFO SR</v>
          </cell>
          <cell r="E2903">
            <v>6</v>
          </cell>
          <cell r="H2903" t="str">
            <v>GEO</v>
          </cell>
          <cell r="N2903">
            <v>1000</v>
          </cell>
          <cell r="Y2903">
            <v>46240</v>
          </cell>
          <cell r="Z2903">
            <v>1</v>
          </cell>
          <cell r="AA2903">
            <v>1000</v>
          </cell>
        </row>
        <row r="2904">
          <cell r="A2904">
            <v>46240</v>
          </cell>
          <cell r="D2904" t="str">
            <v>LADY OF DIVINE GRACE</v>
          </cell>
          <cell r="E2904">
            <v>5</v>
          </cell>
          <cell r="H2904" t="str">
            <v>APLUS</v>
          </cell>
          <cell r="N2904">
            <v>1000</v>
          </cell>
          <cell r="Y2904">
            <v>46240</v>
          </cell>
          <cell r="Z2904">
            <v>1</v>
          </cell>
          <cell r="AA2904">
            <v>1000</v>
          </cell>
        </row>
        <row r="2905">
          <cell r="A2905">
            <v>46240</v>
          </cell>
          <cell r="D2905" t="str">
            <v>EMERALD STAR</v>
          </cell>
          <cell r="E2905">
            <v>6</v>
          </cell>
          <cell r="H2905" t="str">
            <v>SAFISCOR</v>
          </cell>
          <cell r="N2905">
            <v>1000</v>
          </cell>
          <cell r="Y2905">
            <v>46240</v>
          </cell>
          <cell r="Z2905">
            <v>2</v>
          </cell>
          <cell r="AA2905">
            <v>1000</v>
          </cell>
        </row>
        <row r="2906">
          <cell r="A2906">
            <v>46240</v>
          </cell>
          <cell r="D2906" t="str">
            <v>LADY OF DIVINE GRACE</v>
          </cell>
          <cell r="E2906">
            <v>5</v>
          </cell>
          <cell r="H2906" t="str">
            <v>GEO</v>
          </cell>
          <cell r="N2906">
            <v>500</v>
          </cell>
          <cell r="Y2906">
            <v>46240</v>
          </cell>
          <cell r="Z2906">
            <v>1</v>
          </cell>
          <cell r="AA2906">
            <v>500</v>
          </cell>
        </row>
        <row r="2907">
          <cell r="A2907">
            <v>46240</v>
          </cell>
          <cell r="D2907" t="str">
            <v>ADOLFO SR</v>
          </cell>
          <cell r="E2907">
            <v>6</v>
          </cell>
          <cell r="H2907" t="str">
            <v>GEO</v>
          </cell>
          <cell r="N2907">
            <v>500</v>
          </cell>
          <cell r="Y2907">
            <v>46240</v>
          </cell>
          <cell r="Z2907">
            <v>1</v>
          </cell>
          <cell r="AA2907">
            <v>500</v>
          </cell>
        </row>
        <row r="2908">
          <cell r="A2908">
            <v>46240</v>
          </cell>
          <cell r="D2908" t="str">
            <v>ADOLFO SR</v>
          </cell>
          <cell r="E2908">
            <v>6</v>
          </cell>
          <cell r="H2908" t="str">
            <v>BADIE</v>
          </cell>
          <cell r="N2908">
            <v>1000</v>
          </cell>
          <cell r="Y2908">
            <v>46240</v>
          </cell>
          <cell r="Z2908">
            <v>1</v>
          </cell>
          <cell r="AA2908">
            <v>1000</v>
          </cell>
        </row>
        <row r="2909">
          <cell r="A2909">
            <v>46240</v>
          </cell>
          <cell r="D2909" t="str">
            <v>EFG 8</v>
          </cell>
          <cell r="E2909">
            <v>3</v>
          </cell>
          <cell r="H2909" t="str">
            <v>SAFISCOR</v>
          </cell>
          <cell r="N2909">
            <v>1000</v>
          </cell>
          <cell r="Y2909">
            <v>46240</v>
          </cell>
          <cell r="Z2909">
            <v>2</v>
          </cell>
          <cell r="AA2909">
            <v>1000</v>
          </cell>
        </row>
        <row r="2910">
          <cell r="A2910">
            <v>46240</v>
          </cell>
          <cell r="D2910" t="str">
            <v>EMERALD STAR</v>
          </cell>
          <cell r="E2910">
            <v>6</v>
          </cell>
          <cell r="H2910" t="str">
            <v>SAFISCOR</v>
          </cell>
          <cell r="N2910">
            <v>1000</v>
          </cell>
          <cell r="Y2910">
            <v>46240</v>
          </cell>
          <cell r="Z2910">
            <v>2</v>
          </cell>
          <cell r="AA2910">
            <v>1000</v>
          </cell>
        </row>
        <row r="2911">
          <cell r="A2911">
            <v>46240</v>
          </cell>
          <cell r="D2911" t="str">
            <v>EMERALD STAR</v>
          </cell>
          <cell r="E2911">
            <v>6</v>
          </cell>
          <cell r="H2911" t="str">
            <v>SAFISCOR</v>
          </cell>
          <cell r="N2911">
            <v>1000</v>
          </cell>
          <cell r="Y2911">
            <v>46240</v>
          </cell>
          <cell r="Z2911">
            <v>2</v>
          </cell>
          <cell r="AA2911">
            <v>1000</v>
          </cell>
        </row>
        <row r="2912">
          <cell r="A2912">
            <v>46240</v>
          </cell>
          <cell r="D2912" t="str">
            <v>EMERALD STAR</v>
          </cell>
          <cell r="E2912">
            <v>6</v>
          </cell>
          <cell r="H2912" t="str">
            <v>FULACHE</v>
          </cell>
          <cell r="N2912">
            <v>1000</v>
          </cell>
          <cell r="Y2912">
            <v>46240</v>
          </cell>
          <cell r="Z2912">
            <v>1</v>
          </cell>
          <cell r="AA2912">
            <v>1000</v>
          </cell>
        </row>
        <row r="2913">
          <cell r="A2913">
            <v>46240</v>
          </cell>
          <cell r="D2913" t="str">
            <v>EMERALD STAR</v>
          </cell>
          <cell r="E2913">
            <v>6</v>
          </cell>
          <cell r="H2913" t="str">
            <v>LAPU-LAPU</v>
          </cell>
          <cell r="N2913">
            <v>1000</v>
          </cell>
          <cell r="Y2913">
            <v>46240</v>
          </cell>
          <cell r="Z2913">
            <v>1</v>
          </cell>
          <cell r="AA2913">
            <v>1000</v>
          </cell>
        </row>
        <row r="2914">
          <cell r="A2914">
            <v>46240</v>
          </cell>
          <cell r="D2914" t="str">
            <v>EMERALD STAR</v>
          </cell>
          <cell r="E2914">
            <v>6</v>
          </cell>
          <cell r="H2914" t="str">
            <v>LAPU-LAPU</v>
          </cell>
          <cell r="N2914">
            <v>1000</v>
          </cell>
          <cell r="Y2914">
            <v>46240</v>
          </cell>
          <cell r="Z2914">
            <v>1</v>
          </cell>
          <cell r="AA2914">
            <v>1000</v>
          </cell>
        </row>
        <row r="2915">
          <cell r="A2915">
            <v>46240</v>
          </cell>
          <cell r="D2915" t="str">
            <v>JOHANNAH 7</v>
          </cell>
          <cell r="E2915">
            <v>4</v>
          </cell>
          <cell r="H2915" t="str">
            <v>SAFISCOR</v>
          </cell>
          <cell r="N2915">
            <v>1000</v>
          </cell>
          <cell r="Y2915">
            <v>46245</v>
          </cell>
          <cell r="Z2915">
            <v>1</v>
          </cell>
          <cell r="AA2915">
            <v>1000</v>
          </cell>
        </row>
        <row r="2916">
          <cell r="A2916">
            <v>46240</v>
          </cell>
          <cell r="D2916" t="str">
            <v>JOHANNAH 7</v>
          </cell>
          <cell r="E2916">
            <v>4</v>
          </cell>
          <cell r="H2916" t="str">
            <v>SAFISCOR</v>
          </cell>
          <cell r="N2916">
            <v>1000</v>
          </cell>
          <cell r="Y2916">
            <v>46245</v>
          </cell>
          <cell r="Z2916">
            <v>1</v>
          </cell>
          <cell r="AA2916">
            <v>1000</v>
          </cell>
        </row>
        <row r="2917">
          <cell r="A2917">
            <v>46240</v>
          </cell>
          <cell r="D2917" t="str">
            <v>JOHANNAH 7</v>
          </cell>
          <cell r="E2917">
            <v>4</v>
          </cell>
          <cell r="H2917" t="str">
            <v>SAFISCOR</v>
          </cell>
          <cell r="N2917">
            <v>1000</v>
          </cell>
          <cell r="Y2917">
            <v>46245</v>
          </cell>
          <cell r="Z2917">
            <v>1</v>
          </cell>
          <cell r="AA2917">
            <v>1000</v>
          </cell>
        </row>
        <row r="2918">
          <cell r="A2918">
            <v>46240</v>
          </cell>
          <cell r="D2918" t="str">
            <v>ADOLFO SR</v>
          </cell>
          <cell r="E2918">
            <v>6</v>
          </cell>
          <cell r="H2918" t="str">
            <v>SAFISCOR</v>
          </cell>
          <cell r="N2918">
            <v>1000</v>
          </cell>
          <cell r="Y2918">
            <v>46240</v>
          </cell>
          <cell r="Z2918">
            <v>1</v>
          </cell>
          <cell r="AA2918">
            <v>1000</v>
          </cell>
        </row>
        <row r="2919">
          <cell r="A2919">
            <v>46240</v>
          </cell>
          <cell r="D2919" t="str">
            <v>EFG 8</v>
          </cell>
          <cell r="E2919">
            <v>3</v>
          </cell>
          <cell r="H2919" t="str">
            <v>GEO</v>
          </cell>
          <cell r="N2919">
            <v>1000</v>
          </cell>
          <cell r="Y2919">
            <v>46240</v>
          </cell>
          <cell r="Z2919">
            <v>1</v>
          </cell>
          <cell r="AA2919">
            <v>1000</v>
          </cell>
        </row>
        <row r="2920">
          <cell r="A2920">
            <v>46240</v>
          </cell>
          <cell r="D2920" t="str">
            <v>EFG 8</v>
          </cell>
          <cell r="E2920">
            <v>3</v>
          </cell>
          <cell r="H2920" t="str">
            <v>SAFISCOR</v>
          </cell>
          <cell r="N2920">
            <v>1000</v>
          </cell>
          <cell r="Y2920">
            <v>46240</v>
          </cell>
          <cell r="Z2920">
            <v>2</v>
          </cell>
          <cell r="AA2920">
            <v>1000</v>
          </cell>
        </row>
        <row r="2921">
          <cell r="A2921">
            <v>46240</v>
          </cell>
          <cell r="D2921" t="str">
            <v>EFG 8</v>
          </cell>
          <cell r="E2921">
            <v>3</v>
          </cell>
          <cell r="H2921" t="str">
            <v>SAFISCOR</v>
          </cell>
          <cell r="N2921">
            <v>1000</v>
          </cell>
          <cell r="Y2921">
            <v>46240</v>
          </cell>
          <cell r="Z2921">
            <v>2</v>
          </cell>
          <cell r="AA2921">
            <v>1000</v>
          </cell>
        </row>
        <row r="2922">
          <cell r="A2922">
            <v>46240</v>
          </cell>
          <cell r="D2922" t="str">
            <v>EFG 8</v>
          </cell>
          <cell r="E2922">
            <v>3</v>
          </cell>
          <cell r="H2922" t="str">
            <v>SAFISCOR</v>
          </cell>
          <cell r="N2922">
            <v>1000</v>
          </cell>
          <cell r="Y2922">
            <v>46240</v>
          </cell>
          <cell r="Z2922">
            <v>2</v>
          </cell>
          <cell r="AA2922">
            <v>1000</v>
          </cell>
        </row>
        <row r="2923">
          <cell r="A2923">
            <v>46240</v>
          </cell>
          <cell r="D2923" t="str">
            <v>EFG 8</v>
          </cell>
          <cell r="E2923">
            <v>3</v>
          </cell>
          <cell r="H2923" t="str">
            <v>SAFISCOR</v>
          </cell>
          <cell r="N2923">
            <v>1000</v>
          </cell>
          <cell r="Y2923">
            <v>46240</v>
          </cell>
          <cell r="Z2923">
            <v>2</v>
          </cell>
          <cell r="AA2923">
            <v>1000</v>
          </cell>
        </row>
        <row r="2924">
          <cell r="A2924">
            <v>46240</v>
          </cell>
          <cell r="D2924" t="str">
            <v>EMERALD STAR</v>
          </cell>
          <cell r="E2924">
            <v>6</v>
          </cell>
          <cell r="H2924" t="str">
            <v>FULACHE</v>
          </cell>
          <cell r="N2924">
            <v>1000</v>
          </cell>
          <cell r="Y2924">
            <v>46240</v>
          </cell>
          <cell r="Z2924">
            <v>1</v>
          </cell>
          <cell r="AA2924">
            <v>1000</v>
          </cell>
        </row>
        <row r="2925">
          <cell r="A2925">
            <v>46240</v>
          </cell>
          <cell r="D2925" t="str">
            <v>EFG 8</v>
          </cell>
          <cell r="E2925">
            <v>3</v>
          </cell>
          <cell r="H2925" t="str">
            <v>BADIE</v>
          </cell>
          <cell r="N2925">
            <v>1000</v>
          </cell>
          <cell r="Y2925">
            <v>46240</v>
          </cell>
          <cell r="Z2925">
            <v>1</v>
          </cell>
          <cell r="AA2925">
            <v>1000</v>
          </cell>
        </row>
        <row r="2926">
          <cell r="A2926">
            <v>46240</v>
          </cell>
          <cell r="D2926" t="str">
            <v>EFG 8</v>
          </cell>
          <cell r="E2926">
            <v>3</v>
          </cell>
          <cell r="H2926" t="str">
            <v>SAFISCOR</v>
          </cell>
          <cell r="N2926">
            <v>1000</v>
          </cell>
          <cell r="Y2926">
            <v>46240</v>
          </cell>
          <cell r="Z2926">
            <v>1</v>
          </cell>
          <cell r="AA2926">
            <v>1000</v>
          </cell>
        </row>
        <row r="2927">
          <cell r="A2927">
            <v>46240</v>
          </cell>
          <cell r="D2927" t="str">
            <v>SALVACION 8</v>
          </cell>
          <cell r="E2927">
            <v>2</v>
          </cell>
          <cell r="H2927" t="str">
            <v>SAFISCOR</v>
          </cell>
          <cell r="N2927">
            <v>1000</v>
          </cell>
          <cell r="Y2927">
            <v>46244</v>
          </cell>
          <cell r="Z2927">
            <v>2</v>
          </cell>
          <cell r="AA2927">
            <v>1000</v>
          </cell>
        </row>
        <row r="2928">
          <cell r="A2928">
            <v>46240</v>
          </cell>
          <cell r="D2928" t="str">
            <v>EMERALD STAR</v>
          </cell>
          <cell r="E2928">
            <v>6</v>
          </cell>
          <cell r="H2928" t="str">
            <v>GEO</v>
          </cell>
          <cell r="N2928">
            <v>1000</v>
          </cell>
          <cell r="Y2928">
            <v>46240</v>
          </cell>
          <cell r="Z2928">
            <v>2</v>
          </cell>
          <cell r="AA2928">
            <v>1000</v>
          </cell>
        </row>
        <row r="2929">
          <cell r="A2929">
            <v>46240</v>
          </cell>
          <cell r="D2929" t="str">
            <v>EMERALD STAR</v>
          </cell>
          <cell r="E2929">
            <v>6</v>
          </cell>
          <cell r="H2929" t="str">
            <v>LAPU-LAPU</v>
          </cell>
          <cell r="N2929">
            <v>1000</v>
          </cell>
          <cell r="Y2929">
            <v>46240</v>
          </cell>
          <cell r="Z2929">
            <v>2</v>
          </cell>
          <cell r="AA2929">
            <v>1000</v>
          </cell>
        </row>
        <row r="2930">
          <cell r="A2930">
            <v>46240</v>
          </cell>
          <cell r="D2930" t="str">
            <v>LADY OF WISDOM</v>
          </cell>
          <cell r="E2930">
            <v>4</v>
          </cell>
          <cell r="H2930" t="str">
            <v>SAFISCOR</v>
          </cell>
          <cell r="N2930">
            <v>1000</v>
          </cell>
          <cell r="Y2930">
            <v>46240</v>
          </cell>
          <cell r="Z2930">
            <v>2</v>
          </cell>
          <cell r="AA2930">
            <v>1000</v>
          </cell>
        </row>
        <row r="2931">
          <cell r="A2931">
            <v>46240</v>
          </cell>
          <cell r="D2931" t="str">
            <v>SALVACION 8</v>
          </cell>
          <cell r="E2931">
            <v>2</v>
          </cell>
          <cell r="H2931" t="str">
            <v>SAFISCOR</v>
          </cell>
          <cell r="N2931">
            <v>1000</v>
          </cell>
          <cell r="Y2931">
            <v>46241</v>
          </cell>
          <cell r="Z2931">
            <v>1</v>
          </cell>
          <cell r="AA2931">
            <v>1000</v>
          </cell>
        </row>
        <row r="2932">
          <cell r="A2932">
            <v>46240</v>
          </cell>
          <cell r="D2932" t="str">
            <v>SALVACION 8</v>
          </cell>
          <cell r="E2932">
            <v>2</v>
          </cell>
          <cell r="H2932" t="str">
            <v>SAFISCOR</v>
          </cell>
          <cell r="N2932">
            <v>1000</v>
          </cell>
          <cell r="Y2932">
            <v>46241</v>
          </cell>
          <cell r="Z2932">
            <v>1</v>
          </cell>
          <cell r="AA2932">
            <v>1000</v>
          </cell>
        </row>
        <row r="2933">
          <cell r="A2933">
            <v>46240</v>
          </cell>
          <cell r="D2933" t="str">
            <v>LADY OF WISDOM</v>
          </cell>
          <cell r="E2933">
            <v>4</v>
          </cell>
          <cell r="H2933" t="str">
            <v>LAPU-LAPU</v>
          </cell>
          <cell r="N2933">
            <v>1000</v>
          </cell>
          <cell r="Y2933">
            <v>46240</v>
          </cell>
          <cell r="Z2933">
            <v>2</v>
          </cell>
          <cell r="AA2933">
            <v>1000</v>
          </cell>
        </row>
        <row r="2934">
          <cell r="A2934">
            <v>46240</v>
          </cell>
          <cell r="D2934" t="str">
            <v>EMERALD STAR</v>
          </cell>
          <cell r="E2934">
            <v>6</v>
          </cell>
          <cell r="H2934" t="str">
            <v>SAFISCOR</v>
          </cell>
          <cell r="N2934">
            <v>1000</v>
          </cell>
          <cell r="Y2934">
            <v>46240</v>
          </cell>
          <cell r="Z2934">
            <v>2</v>
          </cell>
          <cell r="AA2934">
            <v>1000</v>
          </cell>
        </row>
        <row r="2935">
          <cell r="A2935">
            <v>46240</v>
          </cell>
          <cell r="D2935" t="str">
            <v>EFG 8</v>
          </cell>
          <cell r="E2935">
            <v>3</v>
          </cell>
          <cell r="H2935" t="str">
            <v>SAFISCOR</v>
          </cell>
          <cell r="N2935">
            <v>1000</v>
          </cell>
          <cell r="Y2935">
            <v>46241</v>
          </cell>
          <cell r="Z2935">
            <v>1</v>
          </cell>
          <cell r="AA2935">
            <v>1000</v>
          </cell>
        </row>
        <row r="2936">
          <cell r="A2936">
            <v>46240</v>
          </cell>
          <cell r="D2936" t="str">
            <v>EFG 8</v>
          </cell>
          <cell r="E2936">
            <v>3</v>
          </cell>
          <cell r="H2936" t="str">
            <v>SAFISCOR</v>
          </cell>
          <cell r="N2936">
            <v>1000</v>
          </cell>
          <cell r="Y2936">
            <v>46240</v>
          </cell>
          <cell r="Z2936">
            <v>2</v>
          </cell>
          <cell r="AA2936">
            <v>1000</v>
          </cell>
        </row>
        <row r="2937">
          <cell r="A2937">
            <v>46240</v>
          </cell>
          <cell r="D2937" t="str">
            <v>EFG 8</v>
          </cell>
          <cell r="E2937">
            <v>3</v>
          </cell>
          <cell r="H2937" t="str">
            <v>SAFISCOR</v>
          </cell>
          <cell r="N2937">
            <v>1000</v>
          </cell>
          <cell r="Y2937">
            <v>46240</v>
          </cell>
          <cell r="Z2937">
            <v>2</v>
          </cell>
          <cell r="AA2937">
            <v>1000</v>
          </cell>
        </row>
        <row r="2938">
          <cell r="A2938">
            <v>46240</v>
          </cell>
          <cell r="D2938" t="str">
            <v>EFG 8</v>
          </cell>
          <cell r="E2938">
            <v>3</v>
          </cell>
          <cell r="H2938" t="str">
            <v>SAFISCOR</v>
          </cell>
          <cell r="N2938">
            <v>1000</v>
          </cell>
          <cell r="Y2938">
            <v>46242</v>
          </cell>
          <cell r="Z2938">
            <v>1</v>
          </cell>
          <cell r="AA2938">
            <v>1000</v>
          </cell>
        </row>
        <row r="2939">
          <cell r="A2939">
            <v>46240</v>
          </cell>
          <cell r="D2939" t="str">
            <v>EMERALD STAR</v>
          </cell>
          <cell r="E2939">
            <v>6</v>
          </cell>
          <cell r="H2939" t="str">
            <v>SAFISCOR</v>
          </cell>
          <cell r="N2939">
            <v>1000</v>
          </cell>
          <cell r="Y2939">
            <v>46240</v>
          </cell>
          <cell r="Z2939">
            <v>2</v>
          </cell>
          <cell r="AA2939">
            <v>1000</v>
          </cell>
        </row>
        <row r="2940">
          <cell r="A2940">
            <v>46240</v>
          </cell>
          <cell r="D2940" t="str">
            <v>EMERALD STAR</v>
          </cell>
          <cell r="E2940">
            <v>6</v>
          </cell>
          <cell r="H2940" t="str">
            <v>LAPU-LAPU</v>
          </cell>
          <cell r="N2940">
            <v>1000</v>
          </cell>
          <cell r="Y2940">
            <v>46240</v>
          </cell>
          <cell r="Z2940">
            <v>2</v>
          </cell>
          <cell r="AA2940">
            <v>1000</v>
          </cell>
        </row>
        <row r="2941">
          <cell r="A2941">
            <v>46240</v>
          </cell>
          <cell r="D2941" t="str">
            <v>EMERALD STAR</v>
          </cell>
          <cell r="E2941">
            <v>6</v>
          </cell>
          <cell r="H2941" t="str">
            <v>SAFISCOR</v>
          </cell>
          <cell r="N2941">
            <v>1000</v>
          </cell>
          <cell r="Y2941">
            <v>46240</v>
          </cell>
          <cell r="Z2941">
            <v>2</v>
          </cell>
          <cell r="AA2941">
            <v>1000</v>
          </cell>
        </row>
        <row r="2942">
          <cell r="A2942">
            <v>46240</v>
          </cell>
          <cell r="D2942" t="str">
            <v>LADY OF WISDOM</v>
          </cell>
          <cell r="E2942">
            <v>4</v>
          </cell>
          <cell r="H2942" t="str">
            <v>BADIE</v>
          </cell>
          <cell r="N2942">
            <v>1000</v>
          </cell>
          <cell r="Y2942">
            <v>46240</v>
          </cell>
          <cell r="Z2942">
            <v>2</v>
          </cell>
          <cell r="AA2942">
            <v>1000</v>
          </cell>
        </row>
        <row r="2943">
          <cell r="A2943">
            <v>46240</v>
          </cell>
          <cell r="D2943" t="str">
            <v>EFG 8</v>
          </cell>
          <cell r="E2943">
            <v>3</v>
          </cell>
          <cell r="H2943" t="str">
            <v>SAFISCOR</v>
          </cell>
          <cell r="N2943">
            <v>1000</v>
          </cell>
          <cell r="Y2943">
            <v>46241</v>
          </cell>
          <cell r="Z2943">
            <v>2</v>
          </cell>
          <cell r="AA2943">
            <v>1000</v>
          </cell>
        </row>
        <row r="2944">
          <cell r="A2944">
            <v>46240</v>
          </cell>
          <cell r="D2944" t="str">
            <v>LADY OF WISDOM</v>
          </cell>
          <cell r="E2944">
            <v>4</v>
          </cell>
          <cell r="H2944" t="str">
            <v>SAFISCOR</v>
          </cell>
          <cell r="N2944">
            <v>1000</v>
          </cell>
          <cell r="Y2944">
            <v>46240</v>
          </cell>
          <cell r="Z2944">
            <v>2</v>
          </cell>
          <cell r="AA2944">
            <v>1000</v>
          </cell>
        </row>
        <row r="2945">
          <cell r="A2945">
            <v>46240</v>
          </cell>
          <cell r="D2945" t="str">
            <v>LADY OF WISDOM</v>
          </cell>
          <cell r="E2945">
            <v>4</v>
          </cell>
          <cell r="H2945" t="str">
            <v>SAFISCOR</v>
          </cell>
          <cell r="N2945">
            <v>1000</v>
          </cell>
          <cell r="Y2945">
            <v>46240</v>
          </cell>
          <cell r="Z2945">
            <v>2</v>
          </cell>
          <cell r="AA2945">
            <v>1000</v>
          </cell>
        </row>
        <row r="2946">
          <cell r="A2946">
            <v>46240</v>
          </cell>
          <cell r="D2946" t="str">
            <v>LADY OF WISDOM</v>
          </cell>
          <cell r="E2946">
            <v>4</v>
          </cell>
          <cell r="H2946" t="str">
            <v>SAFISCOR</v>
          </cell>
          <cell r="N2946">
            <v>1000</v>
          </cell>
          <cell r="Y2946">
            <v>46240</v>
          </cell>
          <cell r="Z2946">
            <v>2</v>
          </cell>
          <cell r="AA2946">
            <v>1000</v>
          </cell>
        </row>
        <row r="2947">
          <cell r="A2947">
            <v>46240</v>
          </cell>
          <cell r="D2947" t="str">
            <v>LADY OF WISDOM</v>
          </cell>
          <cell r="E2947">
            <v>4</v>
          </cell>
          <cell r="H2947" t="str">
            <v>SAFISCOR</v>
          </cell>
          <cell r="N2947">
            <v>1000</v>
          </cell>
          <cell r="Y2947">
            <v>46240</v>
          </cell>
          <cell r="Z2947">
            <v>2</v>
          </cell>
          <cell r="AA2947">
            <v>1000</v>
          </cell>
        </row>
        <row r="2948">
          <cell r="A2948">
            <v>46240</v>
          </cell>
          <cell r="D2948" t="str">
            <v>LADY OF WISDOM</v>
          </cell>
          <cell r="E2948">
            <v>4</v>
          </cell>
          <cell r="H2948" t="str">
            <v>GEO</v>
          </cell>
          <cell r="N2948">
            <v>1000</v>
          </cell>
          <cell r="Y2948">
            <v>46240</v>
          </cell>
          <cell r="Z2948">
            <v>2</v>
          </cell>
          <cell r="AA2948">
            <v>1000</v>
          </cell>
        </row>
        <row r="2949">
          <cell r="A2949">
            <v>46240</v>
          </cell>
          <cell r="D2949" t="str">
            <v>LADY OF WISDOM</v>
          </cell>
          <cell r="E2949">
            <v>4</v>
          </cell>
          <cell r="H2949" t="str">
            <v>SAFISCOR</v>
          </cell>
          <cell r="N2949">
            <v>1000</v>
          </cell>
          <cell r="Y2949">
            <v>46240</v>
          </cell>
          <cell r="Z2949">
            <v>2</v>
          </cell>
          <cell r="AA2949">
            <v>1000</v>
          </cell>
        </row>
        <row r="2950">
          <cell r="A2950">
            <v>46240</v>
          </cell>
          <cell r="D2950" t="str">
            <v>EMERALD STAR</v>
          </cell>
          <cell r="E2950">
            <v>6</v>
          </cell>
          <cell r="H2950" t="str">
            <v>BADIE</v>
          </cell>
          <cell r="N2950">
            <v>1000</v>
          </cell>
          <cell r="Y2950">
            <v>46240</v>
          </cell>
          <cell r="Z2950">
            <v>2</v>
          </cell>
          <cell r="AA2950">
            <v>1000</v>
          </cell>
        </row>
        <row r="2951">
          <cell r="A2951">
            <v>46240</v>
          </cell>
          <cell r="D2951" t="str">
            <v>LADY OF WISDOM</v>
          </cell>
          <cell r="E2951">
            <v>4</v>
          </cell>
          <cell r="H2951" t="str">
            <v>SAFISCOR</v>
          </cell>
          <cell r="N2951">
            <v>1000</v>
          </cell>
          <cell r="Y2951">
            <v>46240</v>
          </cell>
          <cell r="Z2951">
            <v>2</v>
          </cell>
          <cell r="AA2951">
            <v>1000</v>
          </cell>
        </row>
        <row r="2952">
          <cell r="A2952">
            <v>46240</v>
          </cell>
          <cell r="D2952" t="str">
            <v>EFG 8</v>
          </cell>
          <cell r="E2952">
            <v>3</v>
          </cell>
          <cell r="H2952" t="str">
            <v>SAFISCOR</v>
          </cell>
          <cell r="N2952">
            <v>1000</v>
          </cell>
          <cell r="Y2952">
            <v>46241</v>
          </cell>
          <cell r="Z2952">
            <v>2</v>
          </cell>
          <cell r="AA2952">
            <v>1000</v>
          </cell>
        </row>
        <row r="2953">
          <cell r="A2953">
            <v>46240</v>
          </cell>
          <cell r="D2953" t="str">
            <v>EMERALD STAR</v>
          </cell>
          <cell r="E2953">
            <v>6</v>
          </cell>
          <cell r="H2953" t="str">
            <v>GEO</v>
          </cell>
          <cell r="N2953">
            <v>1000</v>
          </cell>
          <cell r="Y2953">
            <v>46240</v>
          </cell>
          <cell r="Z2953">
            <v>2</v>
          </cell>
          <cell r="AA2953">
            <v>1000</v>
          </cell>
        </row>
        <row r="2954">
          <cell r="A2954">
            <v>46240</v>
          </cell>
          <cell r="D2954" t="str">
            <v>LADY OF WISDOM</v>
          </cell>
          <cell r="E2954">
            <v>4</v>
          </cell>
          <cell r="H2954" t="str">
            <v>SAFISCOR</v>
          </cell>
          <cell r="N2954">
            <v>1000</v>
          </cell>
          <cell r="Y2954">
            <v>46240</v>
          </cell>
          <cell r="Z2954">
            <v>2</v>
          </cell>
          <cell r="AA2954">
            <v>1000</v>
          </cell>
        </row>
        <row r="2955">
          <cell r="A2955">
            <v>46240</v>
          </cell>
          <cell r="D2955" t="str">
            <v>EMERALD STAR</v>
          </cell>
          <cell r="E2955">
            <v>6</v>
          </cell>
          <cell r="H2955" t="str">
            <v>LAPU-LAPU</v>
          </cell>
          <cell r="N2955">
            <v>1000</v>
          </cell>
          <cell r="Y2955">
            <v>46240</v>
          </cell>
          <cell r="Z2955">
            <v>2</v>
          </cell>
          <cell r="AA2955">
            <v>1000</v>
          </cell>
        </row>
        <row r="2956">
          <cell r="A2956">
            <v>46240</v>
          </cell>
          <cell r="D2956" t="str">
            <v>EMERALD STAR</v>
          </cell>
          <cell r="E2956">
            <v>6</v>
          </cell>
          <cell r="H2956" t="str">
            <v>SAFISCOR</v>
          </cell>
          <cell r="N2956">
            <v>1000</v>
          </cell>
          <cell r="Y2956">
            <v>46240</v>
          </cell>
          <cell r="Z2956">
            <v>2</v>
          </cell>
          <cell r="AA2956">
            <v>1000</v>
          </cell>
        </row>
        <row r="2957">
          <cell r="A2957">
            <v>46240</v>
          </cell>
          <cell r="D2957" t="str">
            <v>EMERALD STAR</v>
          </cell>
          <cell r="E2957">
            <v>6</v>
          </cell>
          <cell r="H2957" t="str">
            <v>SAFISCOR</v>
          </cell>
          <cell r="N2957">
            <v>1000</v>
          </cell>
          <cell r="Y2957">
            <v>46240</v>
          </cell>
          <cell r="Z2957">
            <v>2</v>
          </cell>
          <cell r="AA2957">
            <v>1000</v>
          </cell>
        </row>
        <row r="2958">
          <cell r="A2958">
            <v>46240</v>
          </cell>
          <cell r="D2958" t="str">
            <v>EFG 8</v>
          </cell>
          <cell r="E2958">
            <v>3</v>
          </cell>
          <cell r="H2958" t="str">
            <v>SAFISCOR</v>
          </cell>
          <cell r="N2958">
            <v>1000</v>
          </cell>
          <cell r="Y2958">
            <v>46241</v>
          </cell>
          <cell r="Z2958">
            <v>2</v>
          </cell>
          <cell r="AA2958">
            <v>1000</v>
          </cell>
        </row>
        <row r="2959">
          <cell r="A2959">
            <v>46240</v>
          </cell>
          <cell r="D2959" t="str">
            <v>EMERALD STAR</v>
          </cell>
          <cell r="E2959">
            <v>6</v>
          </cell>
          <cell r="H2959" t="str">
            <v>SAFISCOR</v>
          </cell>
          <cell r="N2959">
            <v>1000</v>
          </cell>
          <cell r="Y2959">
            <v>46241</v>
          </cell>
          <cell r="Z2959">
            <v>1</v>
          </cell>
          <cell r="AA2959">
            <v>1000</v>
          </cell>
        </row>
        <row r="2960">
          <cell r="A2960">
            <v>46240</v>
          </cell>
          <cell r="D2960" t="str">
            <v>EMERALD STAR</v>
          </cell>
          <cell r="E2960">
            <v>6</v>
          </cell>
          <cell r="H2960" t="str">
            <v>SAFISCOR</v>
          </cell>
          <cell r="N2960">
            <v>1000</v>
          </cell>
          <cell r="Y2960">
            <v>46241</v>
          </cell>
          <cell r="Z2960">
            <v>1</v>
          </cell>
          <cell r="AA2960">
            <v>1000</v>
          </cell>
        </row>
        <row r="2961">
          <cell r="A2961">
            <v>46241</v>
          </cell>
          <cell r="D2961" t="str">
            <v>SALVACION 8</v>
          </cell>
          <cell r="E2961">
            <v>2</v>
          </cell>
          <cell r="H2961" t="str">
            <v>SAFISCOR</v>
          </cell>
          <cell r="N2961">
            <v>1000</v>
          </cell>
          <cell r="Y2961">
            <v>46244</v>
          </cell>
          <cell r="Z2961">
            <v>2</v>
          </cell>
          <cell r="AA2961">
            <v>1000</v>
          </cell>
        </row>
        <row r="2962">
          <cell r="A2962">
            <v>46241</v>
          </cell>
          <cell r="D2962" t="str">
            <v>SALVACION 8</v>
          </cell>
          <cell r="E2962">
            <v>2</v>
          </cell>
          <cell r="H2962" t="str">
            <v>SAFISCOR</v>
          </cell>
          <cell r="N2962">
            <v>1000</v>
          </cell>
          <cell r="Y2962">
            <v>46244</v>
          </cell>
          <cell r="Z2962">
            <v>2</v>
          </cell>
          <cell r="AA2962">
            <v>1000</v>
          </cell>
        </row>
        <row r="2963">
          <cell r="A2963">
            <v>46241</v>
          </cell>
          <cell r="D2963" t="str">
            <v>SALVACION 8</v>
          </cell>
          <cell r="E2963">
            <v>2</v>
          </cell>
          <cell r="H2963" t="str">
            <v>SAFISCOR</v>
          </cell>
          <cell r="N2963">
            <v>1000</v>
          </cell>
          <cell r="Y2963">
            <v>46244</v>
          </cell>
          <cell r="Z2963">
            <v>2</v>
          </cell>
          <cell r="AA2963">
            <v>1000</v>
          </cell>
        </row>
        <row r="2964">
          <cell r="A2964">
            <v>46241</v>
          </cell>
          <cell r="D2964" t="str">
            <v>EFG 8</v>
          </cell>
          <cell r="E2964">
            <v>3</v>
          </cell>
          <cell r="H2964" t="str">
            <v>SAFISCOR</v>
          </cell>
          <cell r="N2964">
            <v>1000</v>
          </cell>
          <cell r="Y2964">
            <v>46241</v>
          </cell>
          <cell r="Z2964">
            <v>2</v>
          </cell>
          <cell r="AA2964">
            <v>1000</v>
          </cell>
        </row>
        <row r="2965">
          <cell r="A2965">
            <v>46241</v>
          </cell>
          <cell r="D2965" t="str">
            <v>EFG 8</v>
          </cell>
          <cell r="E2965">
            <v>3</v>
          </cell>
          <cell r="H2965" t="str">
            <v>SAFISCOR</v>
          </cell>
          <cell r="N2965">
            <v>1000</v>
          </cell>
          <cell r="Y2965">
            <v>46241</v>
          </cell>
          <cell r="Z2965">
            <v>2</v>
          </cell>
          <cell r="AA2965">
            <v>1000</v>
          </cell>
        </row>
        <row r="2966">
          <cell r="A2966">
            <v>46241</v>
          </cell>
          <cell r="D2966" t="str">
            <v>EFG 8</v>
          </cell>
          <cell r="E2966">
            <v>3</v>
          </cell>
          <cell r="H2966" t="str">
            <v>SAFISCOR</v>
          </cell>
          <cell r="N2966">
            <v>1000</v>
          </cell>
          <cell r="Y2966">
            <v>46241</v>
          </cell>
          <cell r="Z2966">
            <v>2</v>
          </cell>
          <cell r="AA2966">
            <v>1000</v>
          </cell>
        </row>
        <row r="2967">
          <cell r="A2967">
            <v>46241</v>
          </cell>
          <cell r="D2967" t="str">
            <v>EMERALD STAR</v>
          </cell>
          <cell r="E2967">
            <v>6</v>
          </cell>
          <cell r="H2967" t="str">
            <v>LAPU-LAPU</v>
          </cell>
          <cell r="N2967">
            <v>1000</v>
          </cell>
          <cell r="Y2967">
            <v>46241</v>
          </cell>
          <cell r="Z2967">
            <v>1</v>
          </cell>
          <cell r="AA2967">
            <v>1000</v>
          </cell>
        </row>
        <row r="2968">
          <cell r="A2968">
            <v>46241</v>
          </cell>
          <cell r="D2968" t="str">
            <v>JOHANNAH 7</v>
          </cell>
          <cell r="E2968">
            <v>4</v>
          </cell>
          <cell r="H2968" t="str">
            <v>SAFISCOR</v>
          </cell>
          <cell r="N2968">
            <v>1000</v>
          </cell>
          <cell r="Y2968">
            <v>46245</v>
          </cell>
          <cell r="Z2968">
            <v>1</v>
          </cell>
          <cell r="AA2968">
            <v>1000</v>
          </cell>
        </row>
        <row r="2969">
          <cell r="A2969">
            <v>46241</v>
          </cell>
          <cell r="D2969" t="str">
            <v>EFG 8</v>
          </cell>
          <cell r="E2969">
            <v>3</v>
          </cell>
          <cell r="H2969" t="str">
            <v>SAFISCOR</v>
          </cell>
          <cell r="N2969">
            <v>1000</v>
          </cell>
          <cell r="Y2969">
            <v>46241</v>
          </cell>
          <cell r="Z2969">
            <v>2</v>
          </cell>
          <cell r="AA2969">
            <v>1000</v>
          </cell>
        </row>
        <row r="2970">
          <cell r="A2970">
            <v>46241</v>
          </cell>
          <cell r="D2970" t="str">
            <v>EFG 8</v>
          </cell>
          <cell r="E2970">
            <v>3</v>
          </cell>
          <cell r="H2970" t="str">
            <v>SAFISCOR</v>
          </cell>
          <cell r="N2970">
            <v>1000</v>
          </cell>
          <cell r="Y2970">
            <v>46241</v>
          </cell>
          <cell r="Z2970">
            <v>2</v>
          </cell>
          <cell r="AA2970">
            <v>1000</v>
          </cell>
        </row>
        <row r="2971">
          <cell r="A2971">
            <v>46241</v>
          </cell>
          <cell r="D2971" t="str">
            <v>SALVACION 8</v>
          </cell>
          <cell r="E2971">
            <v>2</v>
          </cell>
          <cell r="H2971" t="str">
            <v>FULACHE</v>
          </cell>
          <cell r="N2971">
            <v>1000</v>
          </cell>
          <cell r="Y2971">
            <v>46241</v>
          </cell>
          <cell r="Z2971">
            <v>1</v>
          </cell>
          <cell r="AA2971">
            <v>1000</v>
          </cell>
        </row>
        <row r="2972">
          <cell r="A2972">
            <v>46241</v>
          </cell>
          <cell r="D2972" t="str">
            <v>SALVACION 8</v>
          </cell>
          <cell r="E2972">
            <v>2</v>
          </cell>
          <cell r="H2972" t="str">
            <v>LAPU-LAPU</v>
          </cell>
          <cell r="N2972">
            <v>1000</v>
          </cell>
          <cell r="Y2972">
            <v>46242</v>
          </cell>
          <cell r="Z2972">
            <v>1</v>
          </cell>
          <cell r="AA2972">
            <v>1000</v>
          </cell>
        </row>
        <row r="2973">
          <cell r="A2973">
            <v>46241</v>
          </cell>
          <cell r="D2973" t="str">
            <v>EMERALD STAR</v>
          </cell>
          <cell r="E2973">
            <v>6</v>
          </cell>
          <cell r="H2973" t="str">
            <v>APLUS</v>
          </cell>
          <cell r="N2973">
            <v>1000</v>
          </cell>
          <cell r="Y2973">
            <v>46241</v>
          </cell>
          <cell r="Z2973">
            <v>1</v>
          </cell>
          <cell r="AA2973">
            <v>1000</v>
          </cell>
        </row>
        <row r="2974">
          <cell r="A2974">
            <v>46241</v>
          </cell>
          <cell r="D2974" t="str">
            <v>EFG 8</v>
          </cell>
          <cell r="E2974">
            <v>3</v>
          </cell>
          <cell r="H2974" t="str">
            <v>SAFISCOR</v>
          </cell>
          <cell r="N2974">
            <v>1000</v>
          </cell>
          <cell r="Y2974">
            <v>46242</v>
          </cell>
          <cell r="Z2974">
            <v>1</v>
          </cell>
          <cell r="AA2974">
            <v>1000</v>
          </cell>
        </row>
        <row r="2975">
          <cell r="A2975">
            <v>46241</v>
          </cell>
          <cell r="D2975" t="str">
            <v>SALVACION 8</v>
          </cell>
          <cell r="E2975">
            <v>2</v>
          </cell>
          <cell r="H2975" t="str">
            <v>GEO</v>
          </cell>
          <cell r="N2975">
            <v>1000</v>
          </cell>
          <cell r="Y2975">
            <v>46242</v>
          </cell>
          <cell r="Z2975">
            <v>1</v>
          </cell>
          <cell r="AA2975">
            <v>1000</v>
          </cell>
        </row>
        <row r="2976">
          <cell r="A2976">
            <v>46241</v>
          </cell>
          <cell r="D2976" t="str">
            <v>EFG 8</v>
          </cell>
          <cell r="E2976">
            <v>3</v>
          </cell>
          <cell r="H2976" t="str">
            <v>SAFISCOR</v>
          </cell>
          <cell r="N2976">
            <v>1000</v>
          </cell>
          <cell r="Y2976">
            <v>46241</v>
          </cell>
          <cell r="Z2976">
            <v>2</v>
          </cell>
          <cell r="AA2976">
            <v>1000</v>
          </cell>
        </row>
        <row r="2977">
          <cell r="A2977">
            <v>46241</v>
          </cell>
          <cell r="D2977" t="str">
            <v>SALVACION 8</v>
          </cell>
          <cell r="E2977">
            <v>2</v>
          </cell>
          <cell r="H2977" t="str">
            <v>FULACHE</v>
          </cell>
          <cell r="N2977">
            <v>1000</v>
          </cell>
          <cell r="Y2977">
            <v>46242</v>
          </cell>
          <cell r="Z2977">
            <v>1</v>
          </cell>
          <cell r="AA2977">
            <v>1000</v>
          </cell>
        </row>
        <row r="2978">
          <cell r="A2978">
            <v>46241</v>
          </cell>
          <cell r="D2978" t="str">
            <v>SALVACION 8</v>
          </cell>
          <cell r="E2978">
            <v>2</v>
          </cell>
          <cell r="H2978" t="str">
            <v>GEO</v>
          </cell>
          <cell r="N2978">
            <v>1000</v>
          </cell>
          <cell r="Y2978">
            <v>46243</v>
          </cell>
          <cell r="Z2978">
            <v>1</v>
          </cell>
          <cell r="AA2978">
            <v>1000</v>
          </cell>
        </row>
        <row r="2979">
          <cell r="A2979">
            <v>46241</v>
          </cell>
          <cell r="D2979" t="str">
            <v>SALVACION 8</v>
          </cell>
          <cell r="E2979">
            <v>2</v>
          </cell>
          <cell r="H2979" t="str">
            <v>SAFISCOR</v>
          </cell>
          <cell r="N2979">
            <v>1000</v>
          </cell>
          <cell r="Y2979">
            <v>46243</v>
          </cell>
          <cell r="Z2979">
            <v>1</v>
          </cell>
          <cell r="AA2979">
            <v>1000</v>
          </cell>
        </row>
        <row r="2980">
          <cell r="A2980">
            <v>46241</v>
          </cell>
          <cell r="D2980" t="str">
            <v>SALVACION 8</v>
          </cell>
          <cell r="E2980">
            <v>2</v>
          </cell>
          <cell r="H2980" t="str">
            <v>SAFISCOR</v>
          </cell>
          <cell r="N2980">
            <v>1000</v>
          </cell>
          <cell r="Y2980">
            <v>46244</v>
          </cell>
          <cell r="Z2980">
            <v>2</v>
          </cell>
          <cell r="AA2980">
            <v>1000</v>
          </cell>
        </row>
        <row r="2981">
          <cell r="A2981">
            <v>46241</v>
          </cell>
          <cell r="D2981" t="str">
            <v>SALVACION 8</v>
          </cell>
          <cell r="E2981">
            <v>2</v>
          </cell>
          <cell r="H2981" t="str">
            <v>SAFISCOR</v>
          </cell>
          <cell r="N2981">
            <v>1000</v>
          </cell>
          <cell r="Y2981">
            <v>46244</v>
          </cell>
          <cell r="Z2981">
            <v>2</v>
          </cell>
          <cell r="AA2981">
            <v>1000</v>
          </cell>
        </row>
        <row r="2982">
          <cell r="A2982">
            <v>46241</v>
          </cell>
          <cell r="D2982" t="str">
            <v>SALVACION 8</v>
          </cell>
          <cell r="E2982">
            <v>2</v>
          </cell>
          <cell r="H2982" t="str">
            <v>SAFISCOR</v>
          </cell>
          <cell r="N2982">
            <v>1000</v>
          </cell>
          <cell r="Y2982">
            <v>46244</v>
          </cell>
          <cell r="Z2982">
            <v>2</v>
          </cell>
          <cell r="AA2982">
            <v>1000</v>
          </cell>
        </row>
        <row r="2983">
          <cell r="A2983">
            <v>46241</v>
          </cell>
          <cell r="D2983" t="str">
            <v>SALVACION 8</v>
          </cell>
          <cell r="E2983">
            <v>2</v>
          </cell>
          <cell r="H2983" t="str">
            <v>SAFISCOR</v>
          </cell>
          <cell r="N2983">
            <v>1000</v>
          </cell>
          <cell r="Y2983">
            <v>46243</v>
          </cell>
          <cell r="Z2983">
            <v>1</v>
          </cell>
          <cell r="AA2983">
            <v>1000</v>
          </cell>
        </row>
        <row r="2984">
          <cell r="A2984">
            <v>46241</v>
          </cell>
          <cell r="D2984" t="str">
            <v>SALVACION 8</v>
          </cell>
          <cell r="E2984">
            <v>2</v>
          </cell>
          <cell r="H2984" t="str">
            <v>LAPU-LAPU</v>
          </cell>
          <cell r="N2984">
            <v>1000</v>
          </cell>
          <cell r="Y2984">
            <v>46242</v>
          </cell>
          <cell r="Z2984">
            <v>1</v>
          </cell>
          <cell r="AA2984">
            <v>1000</v>
          </cell>
        </row>
        <row r="2985">
          <cell r="A2985">
            <v>46241</v>
          </cell>
          <cell r="D2985" t="str">
            <v>SALVACION 8</v>
          </cell>
          <cell r="E2985">
            <v>2</v>
          </cell>
          <cell r="H2985" t="str">
            <v>APLUS</v>
          </cell>
          <cell r="N2985">
            <v>1000</v>
          </cell>
          <cell r="Y2985">
            <v>46243</v>
          </cell>
          <cell r="Z2985">
            <v>1</v>
          </cell>
          <cell r="AA2985">
            <v>1000</v>
          </cell>
        </row>
        <row r="2986">
          <cell r="A2986">
            <v>46241</v>
          </cell>
          <cell r="D2986" t="str">
            <v>EASTERN CEBU</v>
          </cell>
          <cell r="E2986">
            <v>6</v>
          </cell>
          <cell r="H2986" t="str">
            <v>GEO</v>
          </cell>
          <cell r="N2986">
            <v>1000</v>
          </cell>
          <cell r="Y2986">
            <v>46241</v>
          </cell>
          <cell r="Z2986">
            <v>2</v>
          </cell>
          <cell r="AA2986">
            <v>1000</v>
          </cell>
        </row>
        <row r="2987">
          <cell r="A2987">
            <v>46241</v>
          </cell>
          <cell r="D2987" t="str">
            <v>EFG 8</v>
          </cell>
          <cell r="E2987">
            <v>3</v>
          </cell>
          <cell r="H2987" t="str">
            <v>BADIE</v>
          </cell>
          <cell r="N2987">
            <v>1000</v>
          </cell>
          <cell r="Y2987">
            <v>46241</v>
          </cell>
          <cell r="Z2987">
            <v>2</v>
          </cell>
          <cell r="AA2987">
            <v>1000</v>
          </cell>
        </row>
        <row r="2988">
          <cell r="A2988">
            <v>46241</v>
          </cell>
          <cell r="D2988" t="str">
            <v>EASTERN CEBU</v>
          </cell>
          <cell r="E2988">
            <v>6</v>
          </cell>
          <cell r="H2988" t="str">
            <v>LAPU-LAPU</v>
          </cell>
          <cell r="N2988">
            <v>1000</v>
          </cell>
          <cell r="Y2988">
            <v>46241</v>
          </cell>
          <cell r="Z2988">
            <v>2</v>
          </cell>
          <cell r="AA2988">
            <v>1000</v>
          </cell>
        </row>
        <row r="2989">
          <cell r="A2989">
            <v>46241</v>
          </cell>
          <cell r="D2989" t="str">
            <v>EASTERN CEBU</v>
          </cell>
          <cell r="E2989">
            <v>6</v>
          </cell>
          <cell r="H2989" t="str">
            <v>LAPU-LAPU</v>
          </cell>
          <cell r="N2989">
            <v>1000</v>
          </cell>
          <cell r="Y2989">
            <v>46241</v>
          </cell>
          <cell r="Z2989">
            <v>2</v>
          </cell>
          <cell r="AA2989">
            <v>1000</v>
          </cell>
        </row>
        <row r="2990">
          <cell r="A2990">
            <v>46241</v>
          </cell>
          <cell r="D2990" t="str">
            <v>EASTERN CEBU</v>
          </cell>
          <cell r="E2990">
            <v>6</v>
          </cell>
          <cell r="H2990" t="str">
            <v>LAPU-LAPU</v>
          </cell>
          <cell r="N2990">
            <v>1000</v>
          </cell>
          <cell r="Y2990">
            <v>46241</v>
          </cell>
          <cell r="Z2990">
            <v>2</v>
          </cell>
          <cell r="AA2990">
            <v>1000</v>
          </cell>
        </row>
        <row r="2991">
          <cell r="A2991">
            <v>46241</v>
          </cell>
          <cell r="D2991" t="str">
            <v>EASTERN CEBU</v>
          </cell>
          <cell r="E2991">
            <v>6</v>
          </cell>
          <cell r="H2991" t="str">
            <v>SAFISCOR</v>
          </cell>
          <cell r="N2991">
            <v>1000</v>
          </cell>
          <cell r="Y2991">
            <v>46241</v>
          </cell>
          <cell r="Z2991">
            <v>2</v>
          </cell>
          <cell r="AA2991">
            <v>1000</v>
          </cell>
        </row>
        <row r="2992">
          <cell r="A2992">
            <v>46241</v>
          </cell>
          <cell r="D2992" t="str">
            <v>EFG 8</v>
          </cell>
          <cell r="E2992">
            <v>3</v>
          </cell>
          <cell r="H2992" t="str">
            <v>SAFISCOR</v>
          </cell>
          <cell r="N2992">
            <v>1000</v>
          </cell>
          <cell r="Y2992">
            <v>46242</v>
          </cell>
          <cell r="Z2992">
            <v>1</v>
          </cell>
          <cell r="AA2992">
            <v>1000</v>
          </cell>
        </row>
        <row r="2993">
          <cell r="A2993">
            <v>46241</v>
          </cell>
          <cell r="D2993" t="str">
            <v>EASTERN CEBU</v>
          </cell>
          <cell r="E2993">
            <v>6</v>
          </cell>
          <cell r="H2993" t="str">
            <v>SAFISCOR</v>
          </cell>
          <cell r="N2993">
            <v>1000</v>
          </cell>
          <cell r="Y2993">
            <v>46241</v>
          </cell>
          <cell r="Z2993">
            <v>2</v>
          </cell>
          <cell r="AA2993">
            <v>1000</v>
          </cell>
        </row>
        <row r="2994">
          <cell r="A2994">
            <v>46241</v>
          </cell>
          <cell r="D2994" t="str">
            <v>LADY OF WISDOM</v>
          </cell>
          <cell r="E2994">
            <v>4</v>
          </cell>
          <cell r="H2994" t="str">
            <v>SAFISCOR</v>
          </cell>
          <cell r="N2994">
            <v>1000</v>
          </cell>
          <cell r="Y2994">
            <v>46241</v>
          </cell>
          <cell r="Z2994">
            <v>2</v>
          </cell>
          <cell r="AA2994">
            <v>1000</v>
          </cell>
        </row>
        <row r="2995">
          <cell r="A2995">
            <v>46241</v>
          </cell>
          <cell r="D2995" t="str">
            <v>EASTERN CEBU</v>
          </cell>
          <cell r="E2995">
            <v>6</v>
          </cell>
          <cell r="H2995" t="str">
            <v>LAPU-LAPU</v>
          </cell>
          <cell r="N2995">
            <v>1000</v>
          </cell>
          <cell r="Y2995">
            <v>46241</v>
          </cell>
          <cell r="Z2995">
            <v>2</v>
          </cell>
          <cell r="AA2995">
            <v>1000</v>
          </cell>
        </row>
        <row r="2996">
          <cell r="A2996">
            <v>46241</v>
          </cell>
          <cell r="D2996" t="str">
            <v>EASTERN CEBU</v>
          </cell>
          <cell r="E2996">
            <v>6</v>
          </cell>
          <cell r="H2996" t="str">
            <v>SAFISCOR</v>
          </cell>
          <cell r="N2996">
            <v>1000</v>
          </cell>
          <cell r="Y2996">
            <v>46241</v>
          </cell>
          <cell r="Z2996">
            <v>2</v>
          </cell>
          <cell r="AA2996">
            <v>1000</v>
          </cell>
        </row>
        <row r="2997">
          <cell r="A2997">
            <v>46241</v>
          </cell>
          <cell r="D2997" t="str">
            <v>LADY OF WISDOM</v>
          </cell>
          <cell r="E2997">
            <v>4</v>
          </cell>
          <cell r="H2997" t="str">
            <v>SAFISCOR</v>
          </cell>
          <cell r="N2997">
            <v>1000</v>
          </cell>
          <cell r="Y2997">
            <v>46241</v>
          </cell>
          <cell r="Z2997">
            <v>2</v>
          </cell>
          <cell r="AA2997">
            <v>1000</v>
          </cell>
        </row>
        <row r="2998">
          <cell r="A2998">
            <v>46241</v>
          </cell>
          <cell r="D2998" t="str">
            <v>LADY OF WISDOM</v>
          </cell>
          <cell r="E2998">
            <v>4</v>
          </cell>
          <cell r="H2998" t="str">
            <v>SAFISCOR</v>
          </cell>
          <cell r="N2998">
            <v>1000</v>
          </cell>
          <cell r="Y2998">
            <v>46241</v>
          </cell>
          <cell r="Z2998">
            <v>2</v>
          </cell>
          <cell r="AA2998">
            <v>1000</v>
          </cell>
        </row>
        <row r="2999">
          <cell r="A2999">
            <v>46241</v>
          </cell>
          <cell r="D2999" t="str">
            <v>EASTERN CEBU</v>
          </cell>
          <cell r="E2999">
            <v>6</v>
          </cell>
          <cell r="H2999" t="str">
            <v>LAPU-LAPU</v>
          </cell>
          <cell r="N2999">
            <v>1000</v>
          </cell>
          <cell r="Y2999">
            <v>46241</v>
          </cell>
          <cell r="Z2999">
            <v>2</v>
          </cell>
          <cell r="AA2999">
            <v>1000</v>
          </cell>
        </row>
        <row r="3000">
          <cell r="A3000">
            <v>46241</v>
          </cell>
          <cell r="D3000" t="str">
            <v>EASTERN CEBU</v>
          </cell>
          <cell r="E3000">
            <v>6</v>
          </cell>
          <cell r="H3000" t="str">
            <v>GEO</v>
          </cell>
          <cell r="N3000">
            <v>1000</v>
          </cell>
          <cell r="Y3000">
            <v>46241</v>
          </cell>
          <cell r="Z3000">
            <v>2</v>
          </cell>
          <cell r="AA3000">
            <v>1000</v>
          </cell>
        </row>
        <row r="3001">
          <cell r="A3001">
            <v>46241</v>
          </cell>
          <cell r="D3001" t="str">
            <v>EASTERN CEBU</v>
          </cell>
          <cell r="E3001">
            <v>6</v>
          </cell>
          <cell r="H3001" t="str">
            <v>LAPU-LAPU</v>
          </cell>
          <cell r="N3001">
            <v>1000</v>
          </cell>
          <cell r="Y3001">
            <v>46241</v>
          </cell>
          <cell r="Z3001">
            <v>2</v>
          </cell>
          <cell r="AA3001">
            <v>1000</v>
          </cell>
        </row>
        <row r="3002">
          <cell r="A3002">
            <v>46241</v>
          </cell>
          <cell r="D3002" t="str">
            <v>LADY OF WISDOM</v>
          </cell>
          <cell r="E3002">
            <v>4</v>
          </cell>
          <cell r="H3002" t="str">
            <v>LAPU-LAPU</v>
          </cell>
          <cell r="N3002">
            <v>1000</v>
          </cell>
          <cell r="Y3002">
            <v>46241</v>
          </cell>
          <cell r="Z3002">
            <v>2</v>
          </cell>
          <cell r="AA3002">
            <v>1000</v>
          </cell>
        </row>
        <row r="3003">
          <cell r="A3003">
            <v>46241</v>
          </cell>
          <cell r="D3003" t="str">
            <v>LADY OF WISDOM</v>
          </cell>
          <cell r="E3003">
            <v>4</v>
          </cell>
          <cell r="H3003" t="str">
            <v>SAFISCOR</v>
          </cell>
          <cell r="N3003">
            <v>500</v>
          </cell>
          <cell r="Y3003">
            <v>46241</v>
          </cell>
          <cell r="Z3003">
            <v>2</v>
          </cell>
          <cell r="AA3003">
            <v>500</v>
          </cell>
        </row>
        <row r="3004">
          <cell r="A3004">
            <v>46241</v>
          </cell>
          <cell r="D3004" t="str">
            <v>LADY OF WISDOM</v>
          </cell>
          <cell r="E3004">
            <v>4</v>
          </cell>
          <cell r="H3004" t="str">
            <v>SAFISCOR</v>
          </cell>
          <cell r="N3004">
            <v>500</v>
          </cell>
          <cell r="Y3004">
            <v>46241</v>
          </cell>
          <cell r="Z3004">
            <v>2</v>
          </cell>
          <cell r="AA3004">
            <v>500</v>
          </cell>
        </row>
        <row r="3005">
          <cell r="A3005">
            <v>46241</v>
          </cell>
          <cell r="D3005" t="str">
            <v>EASTERN CEBU</v>
          </cell>
          <cell r="E3005">
            <v>6</v>
          </cell>
          <cell r="H3005" t="str">
            <v>SAFISCOR</v>
          </cell>
          <cell r="N3005">
            <v>1000</v>
          </cell>
          <cell r="Y3005">
            <v>46241</v>
          </cell>
          <cell r="Z3005">
            <v>2</v>
          </cell>
          <cell r="AA3005">
            <v>1000</v>
          </cell>
        </row>
        <row r="3006">
          <cell r="A3006">
            <v>46241</v>
          </cell>
          <cell r="D3006" t="str">
            <v>EASTERN CEBU</v>
          </cell>
          <cell r="E3006">
            <v>6</v>
          </cell>
          <cell r="H3006" t="str">
            <v>SAFISCOR</v>
          </cell>
          <cell r="N3006">
            <v>1000</v>
          </cell>
          <cell r="Y3006">
            <v>46241</v>
          </cell>
          <cell r="Z3006">
            <v>2</v>
          </cell>
          <cell r="AA3006">
            <v>1000</v>
          </cell>
        </row>
        <row r="3007">
          <cell r="A3007">
            <v>46241</v>
          </cell>
          <cell r="D3007" t="str">
            <v>EASTERN CEBU</v>
          </cell>
          <cell r="E3007">
            <v>6</v>
          </cell>
          <cell r="H3007" t="str">
            <v>SAFISCOR</v>
          </cell>
          <cell r="N3007">
            <v>1000</v>
          </cell>
          <cell r="Y3007">
            <v>46241</v>
          </cell>
          <cell r="Z3007">
            <v>2</v>
          </cell>
          <cell r="AA3007">
            <v>1000</v>
          </cell>
        </row>
        <row r="3008">
          <cell r="A3008">
            <v>46241</v>
          </cell>
          <cell r="D3008" t="str">
            <v>EFG 8</v>
          </cell>
          <cell r="E3008">
            <v>3</v>
          </cell>
          <cell r="H3008" t="str">
            <v>SAFISCOR</v>
          </cell>
          <cell r="N3008">
            <v>1000</v>
          </cell>
          <cell r="Y3008">
            <v>46241</v>
          </cell>
          <cell r="Z3008">
            <v>2</v>
          </cell>
          <cell r="AA3008">
            <v>1000</v>
          </cell>
        </row>
        <row r="3009">
          <cell r="A3009">
            <v>46241</v>
          </cell>
          <cell r="D3009" t="str">
            <v>EFG 8</v>
          </cell>
          <cell r="E3009">
            <v>3</v>
          </cell>
          <cell r="H3009" t="str">
            <v>BADIE</v>
          </cell>
          <cell r="N3009">
            <v>1000</v>
          </cell>
          <cell r="Y3009">
            <v>46241</v>
          </cell>
          <cell r="Z3009">
            <v>2</v>
          </cell>
          <cell r="AA3009">
            <v>1000</v>
          </cell>
        </row>
        <row r="3010">
          <cell r="A3010">
            <v>46241</v>
          </cell>
          <cell r="D3010" t="str">
            <v>EASTERN CEBU</v>
          </cell>
          <cell r="E3010">
            <v>6</v>
          </cell>
          <cell r="H3010" t="str">
            <v>SAFISCOR</v>
          </cell>
          <cell r="N3010">
            <v>1000</v>
          </cell>
          <cell r="Y3010">
            <v>46242</v>
          </cell>
          <cell r="Z3010">
            <v>1</v>
          </cell>
          <cell r="AA3010">
            <v>1000</v>
          </cell>
        </row>
        <row r="3011">
          <cell r="A3011">
            <v>46241</v>
          </cell>
          <cell r="D3011" t="str">
            <v>EASTERN CEBU</v>
          </cell>
          <cell r="E3011">
            <v>6</v>
          </cell>
          <cell r="H3011" t="str">
            <v>SAFISCOR</v>
          </cell>
          <cell r="N3011">
            <v>1000</v>
          </cell>
          <cell r="Y3011">
            <v>46242</v>
          </cell>
          <cell r="Z3011">
            <v>1</v>
          </cell>
          <cell r="AA3011">
            <v>1000</v>
          </cell>
        </row>
        <row r="3012">
          <cell r="A3012">
            <v>46242</v>
          </cell>
          <cell r="D3012" t="str">
            <v>EASTERN CEBU</v>
          </cell>
          <cell r="E3012">
            <v>6</v>
          </cell>
          <cell r="H3012" t="str">
            <v>LAPU-LAPU</v>
          </cell>
          <cell r="N3012">
            <v>1000</v>
          </cell>
          <cell r="Y3012">
            <v>46242</v>
          </cell>
          <cell r="Z3012">
            <v>1</v>
          </cell>
          <cell r="AA3012">
            <v>1000</v>
          </cell>
        </row>
        <row r="3013">
          <cell r="A3013">
            <v>46242</v>
          </cell>
          <cell r="D3013" t="str">
            <v>LADY OF WISDOM</v>
          </cell>
          <cell r="E3013">
            <v>4</v>
          </cell>
          <cell r="H3013" t="str">
            <v>SAFISCOR</v>
          </cell>
          <cell r="N3013">
            <v>1000</v>
          </cell>
          <cell r="Y3013">
            <v>46242</v>
          </cell>
          <cell r="Z3013">
            <v>1</v>
          </cell>
          <cell r="AA3013">
            <v>1000</v>
          </cell>
        </row>
        <row r="3014">
          <cell r="A3014">
            <v>46242</v>
          </cell>
          <cell r="D3014" t="str">
            <v>LADY OF WISDOM</v>
          </cell>
          <cell r="E3014">
            <v>4</v>
          </cell>
          <cell r="H3014" t="str">
            <v>SAFISCOR</v>
          </cell>
          <cell r="N3014">
            <v>1000</v>
          </cell>
          <cell r="Y3014">
            <v>46243</v>
          </cell>
          <cell r="Z3014">
            <v>1</v>
          </cell>
          <cell r="AA3014">
            <v>1000</v>
          </cell>
        </row>
        <row r="3015">
          <cell r="A3015">
            <v>46242</v>
          </cell>
          <cell r="D3015" t="str">
            <v>LADY OF WISDOM</v>
          </cell>
          <cell r="E3015">
            <v>4</v>
          </cell>
          <cell r="H3015" t="str">
            <v>SAFISCOR</v>
          </cell>
          <cell r="N3015">
            <v>1000</v>
          </cell>
          <cell r="Y3015">
            <v>46243</v>
          </cell>
          <cell r="Z3015">
            <v>1</v>
          </cell>
          <cell r="AA3015">
            <v>1000</v>
          </cell>
        </row>
        <row r="3016">
          <cell r="A3016">
            <v>46242</v>
          </cell>
          <cell r="D3016" t="str">
            <v>LADY OF WISDOM</v>
          </cell>
          <cell r="E3016">
            <v>4</v>
          </cell>
          <cell r="H3016" t="str">
            <v>SAFISCOR</v>
          </cell>
          <cell r="N3016">
            <v>1000</v>
          </cell>
          <cell r="Y3016">
            <v>46243</v>
          </cell>
          <cell r="Z3016">
            <v>1</v>
          </cell>
          <cell r="AA3016">
            <v>1000</v>
          </cell>
        </row>
        <row r="3017">
          <cell r="A3017">
            <v>46242</v>
          </cell>
          <cell r="D3017" t="str">
            <v>LADY OF WISDOM</v>
          </cell>
          <cell r="E3017">
            <v>4</v>
          </cell>
          <cell r="H3017" t="str">
            <v>SAFISCOR</v>
          </cell>
          <cell r="N3017">
            <v>1000</v>
          </cell>
          <cell r="Y3017">
            <v>46243</v>
          </cell>
          <cell r="Z3017">
            <v>1</v>
          </cell>
          <cell r="AA3017">
            <v>1000</v>
          </cell>
        </row>
        <row r="3018">
          <cell r="A3018">
            <v>46242</v>
          </cell>
          <cell r="D3018" t="str">
            <v>EASTERN CEBU</v>
          </cell>
          <cell r="E3018">
            <v>6</v>
          </cell>
          <cell r="H3018" t="str">
            <v>SAFISCOR</v>
          </cell>
          <cell r="N3018">
            <v>1000</v>
          </cell>
          <cell r="Y3018">
            <v>46242</v>
          </cell>
          <cell r="Z3018">
            <v>1</v>
          </cell>
          <cell r="AA3018">
            <v>1000</v>
          </cell>
        </row>
        <row r="3019">
          <cell r="A3019">
            <v>46242</v>
          </cell>
          <cell r="D3019" t="str">
            <v>LADY OF WISDOM</v>
          </cell>
          <cell r="E3019">
            <v>4</v>
          </cell>
          <cell r="H3019" t="str">
            <v>SAFISCOR</v>
          </cell>
          <cell r="N3019">
            <v>1000</v>
          </cell>
          <cell r="Y3019">
            <v>46243</v>
          </cell>
          <cell r="Z3019">
            <v>1</v>
          </cell>
          <cell r="AA3019">
            <v>1000</v>
          </cell>
        </row>
        <row r="3020">
          <cell r="A3020">
            <v>46242</v>
          </cell>
          <cell r="D3020" t="str">
            <v>LADY OF WISDOM</v>
          </cell>
          <cell r="E3020">
            <v>4</v>
          </cell>
          <cell r="H3020" t="str">
            <v>SAFISCOR</v>
          </cell>
          <cell r="N3020">
            <v>1000</v>
          </cell>
          <cell r="Y3020">
            <v>46243</v>
          </cell>
          <cell r="Z3020">
            <v>1</v>
          </cell>
          <cell r="AA3020">
            <v>1000</v>
          </cell>
        </row>
        <row r="3021">
          <cell r="A3021">
            <v>46242</v>
          </cell>
          <cell r="D3021" t="str">
            <v>LADY ARMOR</v>
          </cell>
          <cell r="E3021">
            <v>3</v>
          </cell>
          <cell r="H3021" t="str">
            <v>LAPU-LAPU</v>
          </cell>
          <cell r="N3021">
            <v>1000</v>
          </cell>
          <cell r="Y3021">
            <v>46245</v>
          </cell>
          <cell r="Z3021">
            <v>2</v>
          </cell>
          <cell r="AA3021">
            <v>1000</v>
          </cell>
        </row>
        <row r="3022">
          <cell r="A3022">
            <v>46242</v>
          </cell>
          <cell r="D3022" t="str">
            <v>LADY OF WISDOM</v>
          </cell>
          <cell r="E3022">
            <v>4</v>
          </cell>
          <cell r="H3022" t="str">
            <v>GEO</v>
          </cell>
          <cell r="N3022">
            <v>1000</v>
          </cell>
          <cell r="Y3022">
            <v>46243</v>
          </cell>
          <cell r="Z3022">
            <v>1</v>
          </cell>
          <cell r="AA3022">
            <v>1000</v>
          </cell>
        </row>
        <row r="3023">
          <cell r="A3023">
            <v>46242</v>
          </cell>
          <cell r="D3023" t="str">
            <v>LADY OF WISDOM</v>
          </cell>
          <cell r="E3023">
            <v>4</v>
          </cell>
          <cell r="H3023" t="str">
            <v>BADIE</v>
          </cell>
          <cell r="N3023">
            <v>1000</v>
          </cell>
          <cell r="Y3023">
            <v>46243</v>
          </cell>
          <cell r="Z3023">
            <v>1</v>
          </cell>
          <cell r="AA3023">
            <v>1000</v>
          </cell>
        </row>
        <row r="3024">
          <cell r="A3024">
            <v>46242</v>
          </cell>
          <cell r="D3024" t="str">
            <v>EASTERN CEBU</v>
          </cell>
          <cell r="E3024">
            <v>6</v>
          </cell>
          <cell r="H3024" t="str">
            <v>APLUS</v>
          </cell>
          <cell r="N3024">
            <v>1000</v>
          </cell>
          <cell r="Y3024">
            <v>46242</v>
          </cell>
          <cell r="Z3024">
            <v>1</v>
          </cell>
          <cell r="AA3024">
            <v>1000</v>
          </cell>
        </row>
        <row r="3025">
          <cell r="A3025">
            <v>46242</v>
          </cell>
          <cell r="D3025" t="str">
            <v>EASTERN CEBU</v>
          </cell>
          <cell r="E3025">
            <v>6</v>
          </cell>
          <cell r="H3025" t="str">
            <v>LAPU-LAPU</v>
          </cell>
          <cell r="N3025">
            <v>1000</v>
          </cell>
          <cell r="Y3025">
            <v>46242</v>
          </cell>
          <cell r="Z3025">
            <v>1</v>
          </cell>
          <cell r="AA3025">
            <v>1000</v>
          </cell>
        </row>
        <row r="3026">
          <cell r="A3026">
            <v>46242</v>
          </cell>
          <cell r="D3026" t="str">
            <v>SALVACION 8</v>
          </cell>
          <cell r="E3026">
            <v>2</v>
          </cell>
          <cell r="H3026" t="str">
            <v>SAFISCOR</v>
          </cell>
          <cell r="N3026">
            <v>1000</v>
          </cell>
          <cell r="Y3026">
            <v>46244</v>
          </cell>
          <cell r="Z3026">
            <v>2</v>
          </cell>
          <cell r="AA3026">
            <v>1000</v>
          </cell>
        </row>
        <row r="3027">
          <cell r="A3027">
            <v>46242</v>
          </cell>
          <cell r="D3027" t="str">
            <v>SALVACION 8</v>
          </cell>
          <cell r="E3027">
            <v>2</v>
          </cell>
          <cell r="H3027" t="str">
            <v>SAFISCOR</v>
          </cell>
          <cell r="N3027">
            <v>1000</v>
          </cell>
          <cell r="Y3027">
            <v>46244</v>
          </cell>
          <cell r="Z3027">
            <v>2</v>
          </cell>
          <cell r="AA3027">
            <v>1000</v>
          </cell>
        </row>
        <row r="3028">
          <cell r="A3028">
            <v>46242</v>
          </cell>
          <cell r="D3028" t="str">
            <v>LADY OF WISDOM</v>
          </cell>
          <cell r="E3028">
            <v>4</v>
          </cell>
          <cell r="H3028" t="str">
            <v>SAFISCOR</v>
          </cell>
          <cell r="N3028">
            <v>1000</v>
          </cell>
          <cell r="Y3028">
            <v>46243</v>
          </cell>
          <cell r="Z3028">
            <v>1</v>
          </cell>
          <cell r="AA3028">
            <v>1000</v>
          </cell>
        </row>
        <row r="3029">
          <cell r="A3029">
            <v>46242</v>
          </cell>
          <cell r="D3029" t="str">
            <v>LADY OF WISDOM</v>
          </cell>
          <cell r="E3029">
            <v>4</v>
          </cell>
          <cell r="H3029" t="str">
            <v>SAFISCOR</v>
          </cell>
          <cell r="N3029">
            <v>1000</v>
          </cell>
          <cell r="Y3029">
            <v>46243</v>
          </cell>
          <cell r="Z3029">
            <v>1</v>
          </cell>
          <cell r="AA3029">
            <v>1000</v>
          </cell>
        </row>
        <row r="3030">
          <cell r="A3030">
            <v>46242</v>
          </cell>
          <cell r="D3030" t="str">
            <v>EASTERN CEBU</v>
          </cell>
          <cell r="E3030">
            <v>6</v>
          </cell>
          <cell r="H3030" t="str">
            <v>LAPU-LAPU</v>
          </cell>
          <cell r="N3030">
            <v>1000</v>
          </cell>
          <cell r="Y3030">
            <v>46242</v>
          </cell>
          <cell r="Z3030">
            <v>1</v>
          </cell>
          <cell r="AA3030">
            <v>1000</v>
          </cell>
        </row>
        <row r="3031">
          <cell r="A3031">
            <v>46242</v>
          </cell>
          <cell r="D3031" t="str">
            <v>EASTERN CEBU</v>
          </cell>
          <cell r="E3031">
            <v>6</v>
          </cell>
          <cell r="H3031" t="str">
            <v>SAFISCOR</v>
          </cell>
          <cell r="N3031">
            <v>1000</v>
          </cell>
          <cell r="Y3031">
            <v>46242</v>
          </cell>
          <cell r="Z3031">
            <v>1</v>
          </cell>
          <cell r="AA3031">
            <v>1000</v>
          </cell>
        </row>
        <row r="3032">
          <cell r="A3032">
            <v>46242</v>
          </cell>
          <cell r="D3032" t="str">
            <v>EASTERN CEBU</v>
          </cell>
          <cell r="E3032">
            <v>6</v>
          </cell>
          <cell r="H3032" t="str">
            <v>SAFISCOR</v>
          </cell>
          <cell r="N3032">
            <v>1000</v>
          </cell>
          <cell r="Y3032">
            <v>46243</v>
          </cell>
          <cell r="Z3032">
            <v>1</v>
          </cell>
          <cell r="AA3032">
            <v>1000</v>
          </cell>
        </row>
        <row r="3033">
          <cell r="A3033">
            <v>46242</v>
          </cell>
          <cell r="D3033" t="str">
            <v>EASTERN CEBU</v>
          </cell>
          <cell r="E3033">
            <v>6</v>
          </cell>
          <cell r="H3033" t="str">
            <v>LAPU-LAPU</v>
          </cell>
          <cell r="N3033">
            <v>1000</v>
          </cell>
          <cell r="Y3033">
            <v>46243</v>
          </cell>
          <cell r="Z3033">
            <v>1</v>
          </cell>
          <cell r="AA3033">
            <v>1000</v>
          </cell>
        </row>
        <row r="3034">
          <cell r="A3034">
            <v>46242</v>
          </cell>
          <cell r="D3034" t="str">
            <v>EASTERN CEBU</v>
          </cell>
          <cell r="E3034">
            <v>6</v>
          </cell>
          <cell r="H3034" t="str">
            <v>LAPU-LAPU</v>
          </cell>
          <cell r="N3034">
            <v>1000</v>
          </cell>
          <cell r="Y3034">
            <v>46243</v>
          </cell>
          <cell r="Z3034">
            <v>1</v>
          </cell>
          <cell r="AA3034">
            <v>1000</v>
          </cell>
        </row>
        <row r="3035">
          <cell r="A3035">
            <v>46243</v>
          </cell>
          <cell r="D3035" t="str">
            <v>EASTERN CEBU</v>
          </cell>
          <cell r="E3035">
            <v>6</v>
          </cell>
          <cell r="H3035" t="str">
            <v>FULACHE</v>
          </cell>
          <cell r="N3035">
            <v>1000</v>
          </cell>
          <cell r="Y3035">
            <v>46243</v>
          </cell>
          <cell r="Z3035">
            <v>1</v>
          </cell>
          <cell r="AA3035">
            <v>1000</v>
          </cell>
        </row>
        <row r="3036">
          <cell r="A3036">
            <v>46243</v>
          </cell>
          <cell r="D3036" t="str">
            <v>LADY OF WISDOM</v>
          </cell>
          <cell r="E3036">
            <v>4</v>
          </cell>
          <cell r="H3036" t="str">
            <v>GEO</v>
          </cell>
          <cell r="N3036">
            <v>1000</v>
          </cell>
          <cell r="Y3036">
            <v>46243</v>
          </cell>
          <cell r="Z3036">
            <v>1</v>
          </cell>
          <cell r="AA3036">
            <v>1000</v>
          </cell>
        </row>
        <row r="3037">
          <cell r="A3037">
            <v>46243</v>
          </cell>
          <cell r="D3037" t="str">
            <v>LADY OF WISDOM</v>
          </cell>
          <cell r="E3037">
            <v>4</v>
          </cell>
          <cell r="H3037" t="str">
            <v>SAFISCOR</v>
          </cell>
          <cell r="N3037">
            <v>1000</v>
          </cell>
          <cell r="Y3037">
            <v>46243</v>
          </cell>
          <cell r="Z3037">
            <v>1</v>
          </cell>
          <cell r="AA3037">
            <v>1000</v>
          </cell>
        </row>
        <row r="3038">
          <cell r="A3038">
            <v>46243</v>
          </cell>
          <cell r="D3038" t="str">
            <v>LADY OF WISDOM</v>
          </cell>
          <cell r="E3038">
            <v>4</v>
          </cell>
          <cell r="H3038" t="str">
            <v>SAFISCOR</v>
          </cell>
          <cell r="N3038">
            <v>500</v>
          </cell>
          <cell r="Y3038">
            <v>46243</v>
          </cell>
          <cell r="Z3038">
            <v>1</v>
          </cell>
          <cell r="AA3038">
            <v>500</v>
          </cell>
        </row>
        <row r="3039">
          <cell r="A3039">
            <v>46243</v>
          </cell>
          <cell r="D3039" t="str">
            <v>LADY OF WISDOM</v>
          </cell>
          <cell r="E3039">
            <v>4</v>
          </cell>
          <cell r="H3039" t="str">
            <v>SAFISCOR</v>
          </cell>
          <cell r="N3039">
            <v>500</v>
          </cell>
          <cell r="Y3039">
            <v>46243</v>
          </cell>
          <cell r="Z3039">
            <v>1</v>
          </cell>
          <cell r="AA3039">
            <v>500</v>
          </cell>
        </row>
        <row r="3040">
          <cell r="A3040">
            <v>46244</v>
          </cell>
          <cell r="D3040" t="str">
            <v>LADY OF WISDOM</v>
          </cell>
          <cell r="E3040">
            <v>4</v>
          </cell>
          <cell r="H3040" t="str">
            <v>APLUS</v>
          </cell>
          <cell r="N3040">
            <v>1000</v>
          </cell>
          <cell r="Y3040">
            <v>46244</v>
          </cell>
          <cell r="Z3040">
            <v>1</v>
          </cell>
          <cell r="AA3040">
            <v>1000</v>
          </cell>
        </row>
        <row r="3041">
          <cell r="A3041">
            <v>46244</v>
          </cell>
          <cell r="D3041" t="str">
            <v>EASTERN CEBU</v>
          </cell>
          <cell r="E3041">
            <v>6</v>
          </cell>
          <cell r="H3041" t="str">
            <v>LAPU-LAPU</v>
          </cell>
          <cell r="N3041">
            <v>1000</v>
          </cell>
          <cell r="Y3041">
            <v>46244</v>
          </cell>
          <cell r="Z3041">
            <v>1</v>
          </cell>
          <cell r="AA3041">
            <v>1000</v>
          </cell>
        </row>
        <row r="3042">
          <cell r="A3042">
            <v>46244</v>
          </cell>
          <cell r="D3042" t="str">
            <v xml:space="preserve">STAR SOGOD </v>
          </cell>
          <cell r="E3042">
            <v>6</v>
          </cell>
          <cell r="H3042" t="str">
            <v>GEO</v>
          </cell>
          <cell r="N3042">
            <v>1000</v>
          </cell>
          <cell r="Y3042">
            <v>46244</v>
          </cell>
          <cell r="Z3042">
            <v>2</v>
          </cell>
          <cell r="AA3042">
            <v>1000</v>
          </cell>
        </row>
        <row r="3043">
          <cell r="A3043">
            <v>46244</v>
          </cell>
          <cell r="D3043" t="str">
            <v xml:space="preserve">STAR SOGOD </v>
          </cell>
          <cell r="E3043">
            <v>6</v>
          </cell>
          <cell r="H3043" t="str">
            <v>GEO</v>
          </cell>
          <cell r="N3043">
            <v>1000</v>
          </cell>
          <cell r="Y3043">
            <v>46244</v>
          </cell>
          <cell r="Z3043">
            <v>2</v>
          </cell>
          <cell r="AA3043">
            <v>1000</v>
          </cell>
        </row>
        <row r="3044">
          <cell r="A3044">
            <v>46244</v>
          </cell>
          <cell r="D3044" t="str">
            <v xml:space="preserve">STAR SOGOD </v>
          </cell>
          <cell r="E3044">
            <v>6</v>
          </cell>
          <cell r="H3044" t="str">
            <v>SAFISCOR</v>
          </cell>
          <cell r="N3044">
            <v>1000</v>
          </cell>
          <cell r="Y3044">
            <v>46244</v>
          </cell>
          <cell r="Z3044">
            <v>2</v>
          </cell>
          <cell r="AA3044">
            <v>1000</v>
          </cell>
        </row>
        <row r="3045">
          <cell r="A3045">
            <v>46244</v>
          </cell>
          <cell r="D3045" t="str">
            <v xml:space="preserve">STAR SOGOD </v>
          </cell>
          <cell r="E3045">
            <v>6</v>
          </cell>
          <cell r="H3045" t="str">
            <v>SAFISCOR</v>
          </cell>
          <cell r="N3045">
            <v>1000</v>
          </cell>
          <cell r="Y3045">
            <v>46244</v>
          </cell>
          <cell r="Z3045">
            <v>2</v>
          </cell>
          <cell r="AA3045">
            <v>1000</v>
          </cell>
        </row>
        <row r="3046">
          <cell r="A3046">
            <v>46244</v>
          </cell>
          <cell r="D3046" t="str">
            <v xml:space="preserve">STAR SOGOD </v>
          </cell>
          <cell r="E3046">
            <v>6</v>
          </cell>
          <cell r="H3046" t="str">
            <v>SAFISCOR</v>
          </cell>
          <cell r="N3046">
            <v>1000</v>
          </cell>
          <cell r="Y3046">
            <v>46244</v>
          </cell>
          <cell r="Z3046">
            <v>2</v>
          </cell>
          <cell r="AA3046">
            <v>1000</v>
          </cell>
        </row>
        <row r="3047">
          <cell r="A3047">
            <v>46244</v>
          </cell>
          <cell r="D3047" t="str">
            <v xml:space="preserve">STAR SOGOD </v>
          </cell>
          <cell r="E3047">
            <v>6</v>
          </cell>
          <cell r="H3047" t="str">
            <v>SAFISCOR</v>
          </cell>
          <cell r="N3047">
            <v>1000</v>
          </cell>
          <cell r="Y3047">
            <v>46244</v>
          </cell>
          <cell r="Z3047">
            <v>2</v>
          </cell>
          <cell r="AA3047">
            <v>1000</v>
          </cell>
        </row>
        <row r="3048">
          <cell r="A3048">
            <v>46244</v>
          </cell>
          <cell r="D3048" t="str">
            <v>LADY ARMOR</v>
          </cell>
          <cell r="E3048">
            <v>3</v>
          </cell>
          <cell r="H3048" t="str">
            <v>SAFISCOR</v>
          </cell>
          <cell r="N3048">
            <v>1000</v>
          </cell>
          <cell r="Y3048">
            <v>46246</v>
          </cell>
          <cell r="Z3048">
            <v>1</v>
          </cell>
          <cell r="AA3048">
            <v>1000</v>
          </cell>
        </row>
        <row r="3049">
          <cell r="A3049">
            <v>46244</v>
          </cell>
          <cell r="D3049" t="str">
            <v>LADY ARMOR</v>
          </cell>
          <cell r="E3049">
            <v>3</v>
          </cell>
          <cell r="H3049" t="str">
            <v>SAFISCOR</v>
          </cell>
          <cell r="N3049">
            <v>1000</v>
          </cell>
          <cell r="Y3049">
            <v>46246</v>
          </cell>
          <cell r="Z3049">
            <v>2</v>
          </cell>
          <cell r="AA3049">
            <v>1000</v>
          </cell>
        </row>
        <row r="3050">
          <cell r="A3050">
            <v>46244</v>
          </cell>
          <cell r="D3050" t="str">
            <v>LADY ARMOR</v>
          </cell>
          <cell r="E3050">
            <v>3</v>
          </cell>
          <cell r="H3050" t="str">
            <v>SAFISCOR</v>
          </cell>
          <cell r="N3050">
            <v>1000</v>
          </cell>
          <cell r="Y3050">
            <v>46246</v>
          </cell>
          <cell r="Z3050">
            <v>1</v>
          </cell>
          <cell r="AA3050">
            <v>1000</v>
          </cell>
        </row>
        <row r="3051">
          <cell r="A3051">
            <v>46244</v>
          </cell>
          <cell r="D3051" t="str">
            <v>LADY ARMOR</v>
          </cell>
          <cell r="E3051">
            <v>3</v>
          </cell>
          <cell r="H3051" t="str">
            <v>SAFISCOR</v>
          </cell>
          <cell r="N3051">
            <v>1000</v>
          </cell>
          <cell r="Y3051">
            <v>46246</v>
          </cell>
          <cell r="Z3051">
            <v>1</v>
          </cell>
          <cell r="AA3051">
            <v>1000</v>
          </cell>
        </row>
        <row r="3052">
          <cell r="A3052">
            <v>46244</v>
          </cell>
          <cell r="D3052" t="str">
            <v>LADY ARMOR</v>
          </cell>
          <cell r="E3052">
            <v>3</v>
          </cell>
          <cell r="H3052" t="str">
            <v>SAFISCOR</v>
          </cell>
          <cell r="N3052">
            <v>1000</v>
          </cell>
          <cell r="Y3052">
            <v>46246</v>
          </cell>
          <cell r="Z3052">
            <v>1</v>
          </cell>
          <cell r="AA3052">
            <v>1000</v>
          </cell>
        </row>
        <row r="3053">
          <cell r="A3053">
            <v>46244</v>
          </cell>
          <cell r="D3053" t="str">
            <v xml:space="preserve">STAR SOGOD </v>
          </cell>
          <cell r="E3053">
            <v>6</v>
          </cell>
          <cell r="H3053" t="str">
            <v>SAFISCOR</v>
          </cell>
          <cell r="N3053">
            <v>1000</v>
          </cell>
          <cell r="Y3053">
            <v>46244</v>
          </cell>
          <cell r="Z3053">
            <v>2</v>
          </cell>
          <cell r="AA3053">
            <v>1000</v>
          </cell>
        </row>
        <row r="3054">
          <cell r="A3054">
            <v>46244</v>
          </cell>
          <cell r="D3054" t="str">
            <v xml:space="preserve">STAR SOGOD </v>
          </cell>
          <cell r="E3054">
            <v>6</v>
          </cell>
          <cell r="H3054" t="str">
            <v>SAFISCOR</v>
          </cell>
          <cell r="N3054">
            <v>1000</v>
          </cell>
          <cell r="Y3054">
            <v>46244</v>
          </cell>
          <cell r="Z3054">
            <v>2</v>
          </cell>
          <cell r="AA3054">
            <v>1000</v>
          </cell>
        </row>
        <row r="3055">
          <cell r="A3055">
            <v>46244</v>
          </cell>
          <cell r="D3055" t="str">
            <v>LADY ARMOR</v>
          </cell>
          <cell r="E3055">
            <v>3</v>
          </cell>
          <cell r="H3055" t="str">
            <v>SAFISCOR</v>
          </cell>
          <cell r="N3055">
            <v>1000</v>
          </cell>
          <cell r="Y3055">
            <v>46246</v>
          </cell>
          <cell r="Z3055">
            <v>2</v>
          </cell>
          <cell r="AA3055">
            <v>1000</v>
          </cell>
        </row>
        <row r="3056">
          <cell r="A3056">
            <v>46244</v>
          </cell>
          <cell r="D3056" t="str">
            <v xml:space="preserve">STAR SOGOD </v>
          </cell>
          <cell r="E3056">
            <v>6</v>
          </cell>
          <cell r="H3056" t="str">
            <v>SAFISCOR</v>
          </cell>
          <cell r="N3056">
            <v>1000</v>
          </cell>
          <cell r="Y3056">
            <v>46244</v>
          </cell>
          <cell r="Z3056">
            <v>2</v>
          </cell>
          <cell r="AA3056">
            <v>1000</v>
          </cell>
        </row>
        <row r="3057">
          <cell r="A3057">
            <v>46244</v>
          </cell>
          <cell r="D3057" t="str">
            <v xml:space="preserve">STAR SOGOD </v>
          </cell>
          <cell r="E3057">
            <v>6</v>
          </cell>
          <cell r="H3057" t="str">
            <v>SAFISCOR</v>
          </cell>
          <cell r="N3057">
            <v>1000</v>
          </cell>
          <cell r="Y3057">
            <v>46244</v>
          </cell>
          <cell r="Z3057">
            <v>2</v>
          </cell>
          <cell r="AA3057">
            <v>1000</v>
          </cell>
        </row>
        <row r="3058">
          <cell r="A3058">
            <v>46244</v>
          </cell>
          <cell r="D3058" t="str">
            <v xml:space="preserve">STAR SOGOD </v>
          </cell>
          <cell r="E3058">
            <v>6</v>
          </cell>
          <cell r="H3058" t="str">
            <v>SAFISCOR</v>
          </cell>
          <cell r="N3058">
            <v>1000</v>
          </cell>
          <cell r="Y3058">
            <v>46244</v>
          </cell>
          <cell r="Z3058">
            <v>2</v>
          </cell>
          <cell r="AA3058">
            <v>1000</v>
          </cell>
        </row>
        <row r="3059">
          <cell r="A3059">
            <v>46244</v>
          </cell>
          <cell r="D3059" t="str">
            <v xml:space="preserve">STAR SOGOD </v>
          </cell>
          <cell r="E3059">
            <v>6</v>
          </cell>
          <cell r="H3059" t="str">
            <v>SAFISCOR</v>
          </cell>
          <cell r="N3059">
            <v>1000</v>
          </cell>
          <cell r="Y3059">
            <v>46244</v>
          </cell>
          <cell r="Z3059">
            <v>2</v>
          </cell>
          <cell r="AA3059">
            <v>1000</v>
          </cell>
        </row>
        <row r="3060">
          <cell r="A3060">
            <v>46244</v>
          </cell>
          <cell r="D3060" t="str">
            <v>SALVACION 8</v>
          </cell>
          <cell r="E3060">
            <v>2</v>
          </cell>
          <cell r="H3060" t="str">
            <v>SAFISCOR</v>
          </cell>
          <cell r="N3060">
            <v>1000</v>
          </cell>
          <cell r="Y3060">
            <v>46245</v>
          </cell>
          <cell r="Z3060">
            <v>1</v>
          </cell>
          <cell r="AA3060">
            <v>1000</v>
          </cell>
        </row>
        <row r="3061">
          <cell r="A3061">
            <v>46244</v>
          </cell>
          <cell r="D3061" t="str">
            <v>SALVACION 8</v>
          </cell>
          <cell r="E3061">
            <v>2</v>
          </cell>
          <cell r="H3061" t="str">
            <v>SAFISCOR</v>
          </cell>
          <cell r="N3061">
            <v>1000</v>
          </cell>
          <cell r="Y3061">
            <v>46245</v>
          </cell>
          <cell r="Z3061">
            <v>1</v>
          </cell>
          <cell r="AA3061">
            <v>1000</v>
          </cell>
        </row>
        <row r="3062">
          <cell r="A3062">
            <v>46244</v>
          </cell>
          <cell r="D3062" t="str">
            <v>SALVACION 8</v>
          </cell>
          <cell r="E3062">
            <v>2</v>
          </cell>
          <cell r="H3062" t="str">
            <v>SAFISCOR</v>
          </cell>
          <cell r="N3062">
            <v>1000</v>
          </cell>
          <cell r="Y3062">
            <v>46245</v>
          </cell>
          <cell r="Z3062">
            <v>1</v>
          </cell>
          <cell r="AA3062">
            <v>1000</v>
          </cell>
        </row>
        <row r="3064">
          <cell r="A3064">
            <v>46244</v>
          </cell>
          <cell r="D3064" t="str">
            <v>SALVACION 8</v>
          </cell>
          <cell r="E3064">
            <v>2</v>
          </cell>
          <cell r="H3064" t="str">
            <v>SAFISCOR</v>
          </cell>
          <cell r="N3064">
            <v>1000</v>
          </cell>
          <cell r="Y3064">
            <v>46245</v>
          </cell>
          <cell r="Z3064">
            <v>2</v>
          </cell>
          <cell r="AA3064">
            <v>1000</v>
          </cell>
        </row>
        <row r="3065">
          <cell r="A3065">
            <v>46244</v>
          </cell>
          <cell r="D3065" t="str">
            <v>SALVACION 8</v>
          </cell>
          <cell r="E3065">
            <v>2</v>
          </cell>
          <cell r="H3065" t="str">
            <v>SAFISCOR</v>
          </cell>
          <cell r="N3065">
            <v>1000</v>
          </cell>
          <cell r="Y3065">
            <v>46245</v>
          </cell>
          <cell r="Z3065">
            <v>2</v>
          </cell>
          <cell r="AA3065">
            <v>1000</v>
          </cell>
        </row>
        <row r="3066">
          <cell r="A3066">
            <v>46244</v>
          </cell>
          <cell r="D3066" t="str">
            <v>SALVACION 8</v>
          </cell>
          <cell r="E3066">
            <v>2</v>
          </cell>
          <cell r="H3066" t="str">
            <v>LAPU-LAPU</v>
          </cell>
          <cell r="N3066">
            <v>1000</v>
          </cell>
          <cell r="Y3066">
            <v>46245</v>
          </cell>
          <cell r="Z3066">
            <v>1</v>
          </cell>
          <cell r="AA3066">
            <v>1000</v>
          </cell>
        </row>
        <row r="3067">
          <cell r="A3067">
            <v>46244</v>
          </cell>
          <cell r="D3067" t="str">
            <v xml:space="preserve">STAR SOGOD </v>
          </cell>
          <cell r="E3067">
            <v>6</v>
          </cell>
          <cell r="H3067" t="str">
            <v>SAFISCOR</v>
          </cell>
          <cell r="N3067">
            <v>1000</v>
          </cell>
          <cell r="Y3067">
            <v>46244</v>
          </cell>
          <cell r="Z3067">
            <v>2</v>
          </cell>
          <cell r="AA3067">
            <v>1000</v>
          </cell>
        </row>
        <row r="3068">
          <cell r="A3068">
            <v>46244</v>
          </cell>
          <cell r="D3068" t="str">
            <v xml:space="preserve">STAR SOGOD </v>
          </cell>
          <cell r="E3068">
            <v>6</v>
          </cell>
          <cell r="H3068" t="str">
            <v>SAFISCOR</v>
          </cell>
          <cell r="N3068">
            <v>1000</v>
          </cell>
          <cell r="Y3068">
            <v>46244</v>
          </cell>
          <cell r="Z3068">
            <v>2</v>
          </cell>
          <cell r="AA3068">
            <v>1000</v>
          </cell>
        </row>
        <row r="3069">
          <cell r="A3069">
            <v>46244</v>
          </cell>
          <cell r="D3069" t="str">
            <v xml:space="preserve">STAR SOGOD </v>
          </cell>
          <cell r="E3069">
            <v>6</v>
          </cell>
          <cell r="H3069" t="str">
            <v>SAFISCOR</v>
          </cell>
          <cell r="N3069">
            <v>1000</v>
          </cell>
          <cell r="Y3069">
            <v>46244</v>
          </cell>
          <cell r="Z3069">
            <v>2</v>
          </cell>
          <cell r="AA3069">
            <v>1000</v>
          </cell>
        </row>
        <row r="3072">
          <cell r="A3072">
            <v>46245</v>
          </cell>
          <cell r="D3072" t="str">
            <v>LADY ARMOR</v>
          </cell>
          <cell r="E3072">
            <v>3</v>
          </cell>
          <cell r="H3072" t="str">
            <v>SAFISCOR</v>
          </cell>
          <cell r="N3072">
            <v>1000</v>
          </cell>
          <cell r="Y3072">
            <v>46245</v>
          </cell>
          <cell r="Z3072">
            <v>2</v>
          </cell>
          <cell r="AA3072">
            <v>1000</v>
          </cell>
        </row>
        <row r="3073">
          <cell r="A3073">
            <v>46245</v>
          </cell>
          <cell r="D3073" t="str">
            <v>LADY ARMOR</v>
          </cell>
          <cell r="E3073">
            <v>3</v>
          </cell>
          <cell r="H3073" t="str">
            <v>SAFISCOR</v>
          </cell>
          <cell r="N3073">
            <v>1000</v>
          </cell>
          <cell r="Y3073">
            <v>46246</v>
          </cell>
          <cell r="Z3073">
            <v>2</v>
          </cell>
          <cell r="AA3073">
            <v>1000</v>
          </cell>
        </row>
        <row r="3074">
          <cell r="A3074">
            <v>46245</v>
          </cell>
          <cell r="D3074" t="str">
            <v>LADY ARMOR</v>
          </cell>
          <cell r="E3074">
            <v>3</v>
          </cell>
          <cell r="H3074" t="str">
            <v>GEO</v>
          </cell>
          <cell r="N3074">
            <v>1000</v>
          </cell>
          <cell r="Y3074">
            <v>46246</v>
          </cell>
          <cell r="Z3074">
            <v>1</v>
          </cell>
          <cell r="AA3074">
            <v>1000</v>
          </cell>
        </row>
        <row r="3075">
          <cell r="A3075">
            <v>46245</v>
          </cell>
          <cell r="D3075" t="str">
            <v>LADY ARMOR</v>
          </cell>
          <cell r="E3075">
            <v>3</v>
          </cell>
          <cell r="H3075" t="str">
            <v>SAFISCOR</v>
          </cell>
          <cell r="N3075">
            <v>1000</v>
          </cell>
          <cell r="Y3075">
            <v>46245</v>
          </cell>
          <cell r="Z3075">
            <v>2</v>
          </cell>
          <cell r="AA3075">
            <v>1000</v>
          </cell>
        </row>
        <row r="3076">
          <cell r="A3076">
            <v>46245</v>
          </cell>
          <cell r="D3076" t="str">
            <v>LADY ARMOR</v>
          </cell>
          <cell r="E3076">
            <v>3</v>
          </cell>
          <cell r="H3076" t="str">
            <v>SAFISCOR</v>
          </cell>
          <cell r="N3076">
            <v>1000</v>
          </cell>
          <cell r="Y3076">
            <v>46246</v>
          </cell>
          <cell r="Z3076">
            <v>1</v>
          </cell>
          <cell r="AA3076">
            <v>1000</v>
          </cell>
        </row>
        <row r="3077">
          <cell r="A3077">
            <v>46245</v>
          </cell>
          <cell r="D3077" t="str">
            <v>LADY ARMOR</v>
          </cell>
          <cell r="E3077">
            <v>3</v>
          </cell>
          <cell r="H3077" t="str">
            <v>SAFISCOR</v>
          </cell>
          <cell r="N3077">
            <v>1000</v>
          </cell>
          <cell r="Y3077">
            <v>46245</v>
          </cell>
          <cell r="Z3077">
            <v>2</v>
          </cell>
          <cell r="AA3077">
            <v>1000</v>
          </cell>
        </row>
        <row r="3078">
          <cell r="A3078">
            <v>46245</v>
          </cell>
          <cell r="D3078" t="str">
            <v>LADY ARMOR</v>
          </cell>
          <cell r="E3078">
            <v>3</v>
          </cell>
          <cell r="H3078" t="str">
            <v>SAFISCOR</v>
          </cell>
          <cell r="N3078">
            <v>1000</v>
          </cell>
          <cell r="Y3078">
            <v>46245</v>
          </cell>
          <cell r="Z3078">
            <v>2</v>
          </cell>
          <cell r="AA3078">
            <v>1000</v>
          </cell>
        </row>
        <row r="3079">
          <cell r="A3079">
            <v>46245</v>
          </cell>
          <cell r="D3079" t="str">
            <v>LADY ARMOR</v>
          </cell>
          <cell r="E3079">
            <v>3</v>
          </cell>
          <cell r="H3079" t="str">
            <v>SAFISCOR</v>
          </cell>
          <cell r="N3079">
            <v>1000</v>
          </cell>
          <cell r="Y3079">
            <v>46246</v>
          </cell>
          <cell r="Z3079">
            <v>1</v>
          </cell>
          <cell r="AA3079">
            <v>1000</v>
          </cell>
        </row>
        <row r="3080">
          <cell r="A3080">
            <v>46245</v>
          </cell>
          <cell r="D3080" t="str">
            <v>SALVACION 8</v>
          </cell>
          <cell r="E3080">
            <v>2</v>
          </cell>
          <cell r="H3080" t="str">
            <v>SAFISCOR</v>
          </cell>
          <cell r="N3080">
            <v>1000</v>
          </cell>
          <cell r="Y3080">
            <v>46245</v>
          </cell>
          <cell r="Z3080">
            <v>2</v>
          </cell>
          <cell r="AA3080">
            <v>1000</v>
          </cell>
        </row>
        <row r="3081">
          <cell r="A3081">
            <v>46245</v>
          </cell>
          <cell r="D3081" t="str">
            <v>LADY ARMOR</v>
          </cell>
          <cell r="E3081">
            <v>3</v>
          </cell>
          <cell r="H3081" t="str">
            <v>SAFISCOR</v>
          </cell>
          <cell r="N3081">
            <v>1000</v>
          </cell>
          <cell r="Y3081">
            <v>46246</v>
          </cell>
          <cell r="Z3081">
            <v>1</v>
          </cell>
          <cell r="AA3081">
            <v>1000</v>
          </cell>
        </row>
        <row r="3082">
          <cell r="A3082">
            <v>46245</v>
          </cell>
          <cell r="D3082" t="str">
            <v>LADY ARMOR</v>
          </cell>
          <cell r="E3082">
            <v>3</v>
          </cell>
          <cell r="H3082" t="str">
            <v>SAFISCOR</v>
          </cell>
          <cell r="N3082">
            <v>1000</v>
          </cell>
          <cell r="Y3082">
            <v>46246</v>
          </cell>
          <cell r="Z3082">
            <v>1</v>
          </cell>
          <cell r="AA3082">
            <v>1000</v>
          </cell>
        </row>
        <row r="3083">
          <cell r="A3083">
            <v>46245</v>
          </cell>
          <cell r="D3083" t="str">
            <v>SALVACION 8</v>
          </cell>
          <cell r="E3083">
            <v>2</v>
          </cell>
          <cell r="H3083" t="str">
            <v>SAFISCOR</v>
          </cell>
          <cell r="N3083">
            <v>1000</v>
          </cell>
          <cell r="Y3083">
            <v>46245</v>
          </cell>
          <cell r="Z3083">
            <v>2</v>
          </cell>
          <cell r="AA3083">
            <v>1000</v>
          </cell>
        </row>
        <row r="3085">
          <cell r="A3085">
            <v>46245</v>
          </cell>
          <cell r="D3085" t="str">
            <v>SALVACION 8</v>
          </cell>
          <cell r="E3085">
            <v>2</v>
          </cell>
          <cell r="H3085" t="str">
            <v>GEO</v>
          </cell>
          <cell r="N3085">
            <v>1000</v>
          </cell>
          <cell r="Y3085">
            <v>46245</v>
          </cell>
          <cell r="Z3085">
            <v>1</v>
          </cell>
          <cell r="AA3085">
            <v>1000</v>
          </cell>
        </row>
        <row r="3086">
          <cell r="A3086">
            <v>46245</v>
          </cell>
          <cell r="D3086" t="str">
            <v>LADY OF COURAGE</v>
          </cell>
          <cell r="E3086">
            <v>5</v>
          </cell>
          <cell r="H3086" t="str">
            <v>SAFISCOR</v>
          </cell>
          <cell r="N3086">
            <v>1000</v>
          </cell>
          <cell r="Y3086">
            <v>46245</v>
          </cell>
          <cell r="Z3086">
            <v>1</v>
          </cell>
          <cell r="AA3086">
            <v>1000</v>
          </cell>
        </row>
        <row r="3087">
          <cell r="A3087">
            <v>46245</v>
          </cell>
          <cell r="D3087" t="str">
            <v>NAPOLI</v>
          </cell>
          <cell r="E3087">
            <v>6</v>
          </cell>
          <cell r="H3087" t="str">
            <v>SAFISCOR</v>
          </cell>
          <cell r="N3087">
            <v>1000</v>
          </cell>
          <cell r="Y3087">
            <v>46245</v>
          </cell>
          <cell r="Z3087">
            <v>1</v>
          </cell>
          <cell r="AA3087">
            <v>1000</v>
          </cell>
        </row>
        <row r="3088">
          <cell r="A3088">
            <v>46245</v>
          </cell>
          <cell r="D3088" t="str">
            <v xml:space="preserve">STAR SOGOD </v>
          </cell>
          <cell r="E3088">
            <v>6</v>
          </cell>
          <cell r="H3088" t="str">
            <v>LAPU-LAPU</v>
          </cell>
          <cell r="N3088">
            <v>1080</v>
          </cell>
          <cell r="Y3088">
            <v>46245</v>
          </cell>
          <cell r="Z3088">
            <v>1</v>
          </cell>
          <cell r="AA3088">
            <v>1080</v>
          </cell>
        </row>
        <row r="3089">
          <cell r="A3089">
            <v>46245</v>
          </cell>
          <cell r="D3089" t="str">
            <v xml:space="preserve">STAR SOGOD </v>
          </cell>
          <cell r="E3089">
            <v>6</v>
          </cell>
          <cell r="H3089" t="str">
            <v>LAPU-LAPU</v>
          </cell>
          <cell r="N3089">
            <v>1080</v>
          </cell>
          <cell r="Y3089">
            <v>46245</v>
          </cell>
          <cell r="Z3089">
            <v>2</v>
          </cell>
          <cell r="AA3089">
            <v>1080</v>
          </cell>
        </row>
        <row r="3090">
          <cell r="A3090">
            <v>46245</v>
          </cell>
          <cell r="D3090" t="str">
            <v>NAPOLI</v>
          </cell>
          <cell r="E3090">
            <v>6</v>
          </cell>
          <cell r="H3090" t="str">
            <v>SAFISCOR</v>
          </cell>
          <cell r="N3090">
            <v>1000</v>
          </cell>
          <cell r="Y3090">
            <v>46245</v>
          </cell>
          <cell r="Z3090">
            <v>1</v>
          </cell>
          <cell r="AA3090">
            <v>1000</v>
          </cell>
        </row>
        <row r="3091">
          <cell r="A3091">
            <v>46245</v>
          </cell>
          <cell r="D3091" t="str">
            <v>SALVACION 8</v>
          </cell>
          <cell r="E3091">
            <v>2</v>
          </cell>
          <cell r="H3091" t="str">
            <v>SAFISCOR</v>
          </cell>
          <cell r="N3091">
            <v>1000</v>
          </cell>
          <cell r="Y3091">
            <v>46245</v>
          </cell>
          <cell r="Z3091">
            <v>2</v>
          </cell>
          <cell r="AA3091">
            <v>1000</v>
          </cell>
        </row>
        <row r="3092">
          <cell r="A3092">
            <v>46245</v>
          </cell>
          <cell r="D3092" t="str">
            <v>NAPOLI</v>
          </cell>
          <cell r="E3092">
            <v>6</v>
          </cell>
          <cell r="H3092" t="str">
            <v>SAFISCOR</v>
          </cell>
          <cell r="N3092">
            <v>1000</v>
          </cell>
          <cell r="Y3092">
            <v>46245</v>
          </cell>
          <cell r="Z3092">
            <v>1</v>
          </cell>
          <cell r="AA3092">
            <v>1000</v>
          </cell>
        </row>
        <row r="3093">
          <cell r="A3093">
            <v>46245</v>
          </cell>
          <cell r="D3093" t="str">
            <v>NAPOLI</v>
          </cell>
          <cell r="E3093">
            <v>6</v>
          </cell>
          <cell r="H3093" t="str">
            <v>SAFISCOR</v>
          </cell>
          <cell r="N3093">
            <v>1000</v>
          </cell>
          <cell r="Y3093">
            <v>46245</v>
          </cell>
          <cell r="Z3093">
            <v>1</v>
          </cell>
          <cell r="AA3093">
            <v>1000</v>
          </cell>
        </row>
        <row r="3094">
          <cell r="A3094">
            <v>46245</v>
          </cell>
          <cell r="D3094" t="str">
            <v>LADY OF COURAGE</v>
          </cell>
          <cell r="E3094">
            <v>5</v>
          </cell>
          <cell r="H3094" t="str">
            <v>SAFISCOR</v>
          </cell>
          <cell r="N3094">
            <v>1000</v>
          </cell>
          <cell r="Y3094">
            <v>46245</v>
          </cell>
          <cell r="Z3094">
            <v>1</v>
          </cell>
          <cell r="AA3094">
            <v>1000</v>
          </cell>
        </row>
        <row r="3095">
          <cell r="A3095">
            <v>46245</v>
          </cell>
          <cell r="D3095" t="str">
            <v>JOHANNAH 7</v>
          </cell>
          <cell r="E3095">
            <v>4</v>
          </cell>
          <cell r="H3095" t="str">
            <v>GEO</v>
          </cell>
          <cell r="N3095">
            <v>1000</v>
          </cell>
          <cell r="Y3095">
            <v>46245</v>
          </cell>
          <cell r="Z3095">
            <v>2</v>
          </cell>
          <cell r="AA3095">
            <v>1000</v>
          </cell>
        </row>
        <row r="3096">
          <cell r="A3096">
            <v>46245</v>
          </cell>
          <cell r="D3096" t="str">
            <v xml:space="preserve">STAR SOGOD </v>
          </cell>
          <cell r="E3096">
            <v>6</v>
          </cell>
          <cell r="H3096" t="str">
            <v>GEO</v>
          </cell>
          <cell r="N3096">
            <v>1080</v>
          </cell>
          <cell r="Y3096">
            <v>46245</v>
          </cell>
          <cell r="Z3096">
            <v>1</v>
          </cell>
          <cell r="AA3096">
            <v>1080</v>
          </cell>
        </row>
        <row r="3097">
          <cell r="A3097">
            <v>46245</v>
          </cell>
          <cell r="D3097" t="str">
            <v>LADY OF COURAGE</v>
          </cell>
          <cell r="E3097">
            <v>5</v>
          </cell>
          <cell r="H3097" t="str">
            <v>SAFISCOR</v>
          </cell>
          <cell r="N3097">
            <v>1000</v>
          </cell>
          <cell r="Y3097">
            <v>46245</v>
          </cell>
          <cell r="Z3097">
            <v>1</v>
          </cell>
          <cell r="AA3097">
            <v>1000</v>
          </cell>
        </row>
        <row r="3098">
          <cell r="A3098">
            <v>46245</v>
          </cell>
          <cell r="D3098" t="str">
            <v>LADY OF COURAGE</v>
          </cell>
          <cell r="E3098">
            <v>5</v>
          </cell>
          <cell r="H3098" t="str">
            <v>LAPU-LAPU</v>
          </cell>
          <cell r="N3098">
            <v>1000</v>
          </cell>
          <cell r="Y3098">
            <v>46245</v>
          </cell>
          <cell r="Z3098">
            <v>1</v>
          </cell>
          <cell r="AA3098">
            <v>1000</v>
          </cell>
        </row>
        <row r="3099">
          <cell r="A3099">
            <v>46245</v>
          </cell>
          <cell r="D3099" t="str">
            <v>NAPOLI</v>
          </cell>
          <cell r="E3099">
            <v>6</v>
          </cell>
          <cell r="H3099" t="str">
            <v>SAFISCOR</v>
          </cell>
          <cell r="N3099">
            <v>1000</v>
          </cell>
          <cell r="Y3099">
            <v>46245</v>
          </cell>
          <cell r="Z3099">
            <v>1</v>
          </cell>
          <cell r="AA3099">
            <v>1000</v>
          </cell>
        </row>
        <row r="3100">
          <cell r="A3100">
            <v>46245</v>
          </cell>
          <cell r="D3100" t="str">
            <v>NAPOLI</v>
          </cell>
          <cell r="E3100">
            <v>6</v>
          </cell>
          <cell r="H3100" t="str">
            <v>SAFISCOR</v>
          </cell>
          <cell r="N3100">
            <v>1000</v>
          </cell>
          <cell r="Y3100">
            <v>46245</v>
          </cell>
          <cell r="Z3100">
            <v>1</v>
          </cell>
          <cell r="AA3100">
            <v>1000</v>
          </cell>
        </row>
        <row r="3101">
          <cell r="A3101">
            <v>46245</v>
          </cell>
          <cell r="D3101" t="str">
            <v>JOHANNAH 7</v>
          </cell>
          <cell r="E3101">
            <v>4</v>
          </cell>
          <cell r="H3101" t="str">
            <v>GEO</v>
          </cell>
          <cell r="N3101">
            <v>1000</v>
          </cell>
          <cell r="Y3101">
            <v>46245</v>
          </cell>
          <cell r="Z3101">
            <v>2</v>
          </cell>
          <cell r="AA3101">
            <v>1000</v>
          </cell>
        </row>
        <row r="3102">
          <cell r="A3102">
            <v>46245</v>
          </cell>
          <cell r="D3102" t="str">
            <v>NAPOLI</v>
          </cell>
          <cell r="E3102">
            <v>6</v>
          </cell>
          <cell r="H3102" t="str">
            <v>SAFISCOR</v>
          </cell>
          <cell r="N3102">
            <v>1000</v>
          </cell>
          <cell r="Y3102">
            <v>46246</v>
          </cell>
          <cell r="Z3102">
            <v>2</v>
          </cell>
          <cell r="AA3102">
            <v>1000</v>
          </cell>
        </row>
        <row r="3103">
          <cell r="A3103">
            <v>46245</v>
          </cell>
          <cell r="D3103" t="str">
            <v>JOHANNAH 7</v>
          </cell>
          <cell r="E3103">
            <v>4</v>
          </cell>
          <cell r="H3103" t="str">
            <v>LAPU-LAPU</v>
          </cell>
          <cell r="N3103">
            <v>1000</v>
          </cell>
          <cell r="Y3103">
            <v>46246</v>
          </cell>
          <cell r="Z3103">
            <v>1</v>
          </cell>
          <cell r="AA3103">
            <v>1000</v>
          </cell>
        </row>
        <row r="3104">
          <cell r="A3104">
            <v>46245</v>
          </cell>
          <cell r="D3104" t="str">
            <v>NAPOLI</v>
          </cell>
          <cell r="E3104">
            <v>6</v>
          </cell>
          <cell r="H3104" t="str">
            <v>SAFISCOR</v>
          </cell>
          <cell r="N3104">
            <v>1000</v>
          </cell>
          <cell r="Y3104">
            <v>46245</v>
          </cell>
          <cell r="Z3104">
            <v>2</v>
          </cell>
          <cell r="AA3104">
            <v>1000</v>
          </cell>
        </row>
        <row r="3105">
          <cell r="A3105">
            <v>46245</v>
          </cell>
          <cell r="D3105" t="str">
            <v>LADY OF COURAGE</v>
          </cell>
          <cell r="E3105">
            <v>5</v>
          </cell>
          <cell r="H3105" t="str">
            <v>SAFISCOR</v>
          </cell>
          <cell r="N3105">
            <v>1000</v>
          </cell>
          <cell r="Y3105">
            <v>46245</v>
          </cell>
          <cell r="Z3105">
            <v>2</v>
          </cell>
          <cell r="AA3105">
            <v>1000</v>
          </cell>
        </row>
        <row r="3106">
          <cell r="A3106">
            <v>46245</v>
          </cell>
          <cell r="D3106" t="str">
            <v>NAPOLI</v>
          </cell>
          <cell r="E3106">
            <v>6</v>
          </cell>
          <cell r="H3106" t="str">
            <v>SAFISCOR</v>
          </cell>
          <cell r="N3106">
            <v>1000</v>
          </cell>
          <cell r="Y3106">
            <v>46245</v>
          </cell>
          <cell r="Z3106">
            <v>2</v>
          </cell>
          <cell r="AA3106">
            <v>1000</v>
          </cell>
        </row>
        <row r="3107">
          <cell r="A3107">
            <v>46245</v>
          </cell>
          <cell r="D3107" t="str">
            <v>NAPOLI</v>
          </cell>
          <cell r="E3107">
            <v>6</v>
          </cell>
          <cell r="H3107" t="str">
            <v>SAFISCOR</v>
          </cell>
          <cell r="N3107">
            <v>1000</v>
          </cell>
          <cell r="Y3107">
            <v>46246</v>
          </cell>
          <cell r="Z3107">
            <v>1</v>
          </cell>
          <cell r="AA3107">
            <v>1000</v>
          </cell>
        </row>
        <row r="3108">
          <cell r="A3108">
            <v>46245</v>
          </cell>
          <cell r="D3108" t="str">
            <v>JOHANNAH 7</v>
          </cell>
          <cell r="E3108">
            <v>4</v>
          </cell>
          <cell r="H3108" t="str">
            <v>SAFISCOR</v>
          </cell>
          <cell r="N3108">
            <v>1000</v>
          </cell>
          <cell r="Y3108">
            <v>46245</v>
          </cell>
          <cell r="Z3108">
            <v>2</v>
          </cell>
          <cell r="AA3108">
            <v>1000</v>
          </cell>
        </row>
        <row r="3109">
          <cell r="A3109">
            <v>46245</v>
          </cell>
          <cell r="D3109" t="str">
            <v>JOHANNAH 7</v>
          </cell>
          <cell r="E3109">
            <v>4</v>
          </cell>
          <cell r="H3109" t="str">
            <v>SAFISCOR</v>
          </cell>
          <cell r="N3109">
            <v>1000</v>
          </cell>
          <cell r="Y3109">
            <v>46245</v>
          </cell>
          <cell r="Z3109">
            <v>2</v>
          </cell>
          <cell r="AA3109">
            <v>1000</v>
          </cell>
        </row>
        <row r="3110">
          <cell r="A3110">
            <v>46245</v>
          </cell>
          <cell r="D3110" t="str">
            <v>JOHANNAH 7</v>
          </cell>
          <cell r="E3110">
            <v>4</v>
          </cell>
          <cell r="H3110" t="str">
            <v>SAFISCOR</v>
          </cell>
          <cell r="N3110">
            <v>1000</v>
          </cell>
          <cell r="Y3110">
            <v>46245</v>
          </cell>
          <cell r="Z3110">
            <v>2</v>
          </cell>
          <cell r="AA3110">
            <v>1000</v>
          </cell>
        </row>
        <row r="3111">
          <cell r="A3111">
            <v>46245</v>
          </cell>
          <cell r="D3111" t="str">
            <v>JOHANNAH 7</v>
          </cell>
          <cell r="E3111">
            <v>4</v>
          </cell>
          <cell r="H3111" t="str">
            <v>LAPU-LAPU</v>
          </cell>
          <cell r="N3111">
            <v>1000</v>
          </cell>
          <cell r="Y3111">
            <v>46245</v>
          </cell>
          <cell r="Z3111">
            <v>2</v>
          </cell>
          <cell r="AA3111">
            <v>1000</v>
          </cell>
        </row>
        <row r="3112">
          <cell r="A3112">
            <v>46245</v>
          </cell>
          <cell r="D3112" t="str">
            <v>LADY OF COURAGE</v>
          </cell>
          <cell r="E3112">
            <v>5</v>
          </cell>
          <cell r="H3112" t="str">
            <v>LAPU-LAPU</v>
          </cell>
          <cell r="N3112">
            <v>1000</v>
          </cell>
          <cell r="Y3112">
            <v>46245</v>
          </cell>
          <cell r="Z3112">
            <v>2</v>
          </cell>
          <cell r="AA3112">
            <v>1000</v>
          </cell>
        </row>
        <row r="3113">
          <cell r="A3113">
            <v>46245</v>
          </cell>
          <cell r="D3113" t="str">
            <v>NAPOLI</v>
          </cell>
          <cell r="E3113">
            <v>6</v>
          </cell>
          <cell r="H3113" t="str">
            <v>SAFISCOR</v>
          </cell>
          <cell r="N3113">
            <v>1000</v>
          </cell>
          <cell r="Y3113">
            <v>46246</v>
          </cell>
          <cell r="Z3113">
            <v>1</v>
          </cell>
          <cell r="AA3113">
            <v>1000</v>
          </cell>
        </row>
        <row r="3114">
          <cell r="A3114">
            <v>46245</v>
          </cell>
          <cell r="D3114" t="str">
            <v>NAPOLI</v>
          </cell>
          <cell r="E3114">
            <v>6</v>
          </cell>
          <cell r="H3114" t="str">
            <v>SAFISCOR</v>
          </cell>
          <cell r="N3114">
            <v>1000</v>
          </cell>
          <cell r="Y3114">
            <v>46245</v>
          </cell>
          <cell r="Z3114">
            <v>2</v>
          </cell>
          <cell r="AA3114">
            <v>1000</v>
          </cell>
        </row>
        <row r="3115">
          <cell r="A3115">
            <v>46245</v>
          </cell>
          <cell r="D3115" t="str">
            <v>NAPOLI</v>
          </cell>
          <cell r="E3115">
            <v>6</v>
          </cell>
          <cell r="H3115" t="str">
            <v>SAFISCOR</v>
          </cell>
          <cell r="N3115">
            <v>1000</v>
          </cell>
          <cell r="Y3115">
            <v>46246</v>
          </cell>
          <cell r="Z3115">
            <v>2</v>
          </cell>
          <cell r="AA3115">
            <v>1000</v>
          </cell>
        </row>
        <row r="3116">
          <cell r="A3116">
            <v>46245</v>
          </cell>
          <cell r="D3116" t="str">
            <v>LADY OF COURAGE</v>
          </cell>
          <cell r="E3116">
            <v>5</v>
          </cell>
          <cell r="H3116" t="str">
            <v>SAFISCOR</v>
          </cell>
          <cell r="N3116">
            <v>1000</v>
          </cell>
          <cell r="Y3116">
            <v>46245</v>
          </cell>
          <cell r="Z3116">
            <v>2</v>
          </cell>
          <cell r="AA3116">
            <v>1000</v>
          </cell>
        </row>
        <row r="3117">
          <cell r="A3117">
            <v>46245</v>
          </cell>
          <cell r="D3117" t="str">
            <v>JOHANNAH 7</v>
          </cell>
          <cell r="E3117">
            <v>4</v>
          </cell>
          <cell r="H3117" t="str">
            <v>SAFISCOR</v>
          </cell>
          <cell r="N3117">
            <v>1000</v>
          </cell>
          <cell r="Y3117">
            <v>46245</v>
          </cell>
          <cell r="Z3117">
            <v>2</v>
          </cell>
          <cell r="AA3117">
            <v>1000</v>
          </cell>
        </row>
        <row r="3118">
          <cell r="A3118">
            <v>46245</v>
          </cell>
          <cell r="D3118" t="str">
            <v>NAPOLI</v>
          </cell>
          <cell r="E3118">
            <v>6</v>
          </cell>
          <cell r="H3118" t="str">
            <v>SAFISCOR</v>
          </cell>
          <cell r="N3118">
            <v>1000</v>
          </cell>
          <cell r="Y3118">
            <v>46245</v>
          </cell>
          <cell r="Z3118">
            <v>2</v>
          </cell>
          <cell r="AA3118">
            <v>1000</v>
          </cell>
        </row>
        <row r="3119">
          <cell r="A3119">
            <v>46245</v>
          </cell>
          <cell r="D3119" t="str">
            <v>NAPOLI</v>
          </cell>
          <cell r="E3119">
            <v>6</v>
          </cell>
          <cell r="H3119" t="str">
            <v>SAFISCOR</v>
          </cell>
          <cell r="N3119">
            <v>1000</v>
          </cell>
          <cell r="Y3119">
            <v>46246</v>
          </cell>
          <cell r="Z3119">
            <v>2</v>
          </cell>
          <cell r="AA3119">
            <v>1000</v>
          </cell>
        </row>
        <row r="3120">
          <cell r="A3120">
            <v>46245</v>
          </cell>
          <cell r="D3120" t="str">
            <v>NAPOLI</v>
          </cell>
          <cell r="E3120">
            <v>6</v>
          </cell>
          <cell r="H3120" t="str">
            <v>SAFISCOR</v>
          </cell>
          <cell r="N3120">
            <v>1000</v>
          </cell>
          <cell r="Y3120">
            <v>46245</v>
          </cell>
          <cell r="Z3120">
            <v>2</v>
          </cell>
          <cell r="AA3120">
            <v>1000</v>
          </cell>
        </row>
        <row r="3121">
          <cell r="A3121">
            <v>46245</v>
          </cell>
          <cell r="D3121" t="str">
            <v>NAPOLI</v>
          </cell>
          <cell r="E3121">
            <v>6</v>
          </cell>
          <cell r="H3121" t="str">
            <v>GEO</v>
          </cell>
          <cell r="N3121">
            <v>1000</v>
          </cell>
          <cell r="Y3121">
            <v>46246</v>
          </cell>
          <cell r="Z3121">
            <v>2</v>
          </cell>
          <cell r="AA3121">
            <v>1000</v>
          </cell>
        </row>
        <row r="3122">
          <cell r="A3122">
            <v>46245</v>
          </cell>
          <cell r="D3122" t="str">
            <v xml:space="preserve">STAR SOGOD </v>
          </cell>
          <cell r="E3122">
            <v>6</v>
          </cell>
          <cell r="H3122" t="str">
            <v>LAPU-LAPU</v>
          </cell>
          <cell r="N3122">
            <v>1080</v>
          </cell>
          <cell r="Y3122">
            <v>46245</v>
          </cell>
          <cell r="Z3122">
            <v>2</v>
          </cell>
          <cell r="AA3122">
            <v>1080</v>
          </cell>
        </row>
        <row r="3123">
          <cell r="A3123">
            <v>46245</v>
          </cell>
          <cell r="D3123" t="str">
            <v xml:space="preserve">STAR SOGOD </v>
          </cell>
          <cell r="E3123">
            <v>6</v>
          </cell>
          <cell r="H3123" t="str">
            <v>SAFISCOR</v>
          </cell>
          <cell r="N3123">
            <v>680</v>
          </cell>
          <cell r="Y3123">
            <v>46245</v>
          </cell>
          <cell r="Z3123">
            <v>2</v>
          </cell>
          <cell r="AA3123">
            <v>680</v>
          </cell>
        </row>
        <row r="3124">
          <cell r="A3124">
            <v>46245</v>
          </cell>
          <cell r="D3124" t="str">
            <v>LADY OF COURAGE</v>
          </cell>
          <cell r="E3124">
            <v>5</v>
          </cell>
          <cell r="H3124" t="str">
            <v>SAFISCOR</v>
          </cell>
          <cell r="N3124">
            <v>1000</v>
          </cell>
          <cell r="Y3124">
            <v>46246</v>
          </cell>
          <cell r="Z3124">
            <v>1</v>
          </cell>
          <cell r="AA3124">
            <v>1000</v>
          </cell>
        </row>
        <row r="3125">
          <cell r="A3125">
            <v>46245</v>
          </cell>
          <cell r="D3125" t="str">
            <v>NAPOLI</v>
          </cell>
          <cell r="E3125">
            <v>6</v>
          </cell>
          <cell r="H3125" t="str">
            <v>SAFISCOR</v>
          </cell>
          <cell r="N3125">
            <v>1000</v>
          </cell>
          <cell r="Y3125">
            <v>46246</v>
          </cell>
          <cell r="Z3125">
            <v>1</v>
          </cell>
          <cell r="AA3125">
            <v>1000</v>
          </cell>
        </row>
        <row r="3126">
          <cell r="A3126">
            <v>46245</v>
          </cell>
          <cell r="D3126" t="str">
            <v>NAPOLI</v>
          </cell>
          <cell r="E3126">
            <v>6</v>
          </cell>
          <cell r="H3126" t="str">
            <v>SAFISCOR</v>
          </cell>
          <cell r="N3126">
            <v>1000</v>
          </cell>
          <cell r="Y3126">
            <v>46246</v>
          </cell>
          <cell r="Z3126">
            <v>1</v>
          </cell>
          <cell r="AA3126">
            <v>1000</v>
          </cell>
        </row>
        <row r="3127">
          <cell r="A3127">
            <v>46245</v>
          </cell>
          <cell r="D3127" t="str">
            <v>NAPOLI</v>
          </cell>
          <cell r="E3127">
            <v>6</v>
          </cell>
          <cell r="H3127" t="str">
            <v>LAPU-LAPU</v>
          </cell>
          <cell r="N3127">
            <v>1000</v>
          </cell>
          <cell r="Y3127">
            <v>46246</v>
          </cell>
          <cell r="Z3127">
            <v>1</v>
          </cell>
          <cell r="AA3127">
            <v>1000</v>
          </cell>
        </row>
        <row r="3128">
          <cell r="A3128">
            <v>46245</v>
          </cell>
          <cell r="D3128" t="str">
            <v>NAPOLI</v>
          </cell>
          <cell r="E3128">
            <v>6</v>
          </cell>
          <cell r="H3128" t="str">
            <v>LAPU-LAPU</v>
          </cell>
          <cell r="N3128">
            <v>1000</v>
          </cell>
          <cell r="Y3128">
            <v>46245</v>
          </cell>
          <cell r="Z3128">
            <v>2</v>
          </cell>
          <cell r="AA3128">
            <v>1000</v>
          </cell>
        </row>
        <row r="3129">
          <cell r="A3129">
            <v>46245</v>
          </cell>
          <cell r="D3129" t="str">
            <v>NAPOLI</v>
          </cell>
          <cell r="E3129">
            <v>6</v>
          </cell>
          <cell r="H3129" t="str">
            <v>SAFISCOR</v>
          </cell>
          <cell r="N3129">
            <v>1000</v>
          </cell>
          <cell r="Y3129">
            <v>46246</v>
          </cell>
          <cell r="Z3129">
            <v>2</v>
          </cell>
          <cell r="AA3129">
            <v>1000</v>
          </cell>
        </row>
        <row r="3130">
          <cell r="A3130">
            <v>46245</v>
          </cell>
          <cell r="D3130" t="str">
            <v>JOHANNAH 7</v>
          </cell>
          <cell r="E3130">
            <v>4</v>
          </cell>
          <cell r="H3130" t="str">
            <v>SAFISCOR</v>
          </cell>
          <cell r="N3130">
            <v>1000</v>
          </cell>
          <cell r="Y3130">
            <v>46245</v>
          </cell>
          <cell r="Z3130">
            <v>2</v>
          </cell>
          <cell r="AA3130">
            <v>1000</v>
          </cell>
        </row>
        <row r="3131">
          <cell r="A3131">
            <v>46245</v>
          </cell>
          <cell r="D3131" t="str">
            <v>NAPOLI</v>
          </cell>
          <cell r="E3131">
            <v>6</v>
          </cell>
          <cell r="H3131" t="str">
            <v>LAPU-LAPU</v>
          </cell>
          <cell r="N3131">
            <v>1000</v>
          </cell>
          <cell r="Y3131">
            <v>46246</v>
          </cell>
          <cell r="Z3131">
            <v>1</v>
          </cell>
          <cell r="AA3131">
            <v>1000</v>
          </cell>
        </row>
        <row r="3132">
          <cell r="A3132">
            <v>46245</v>
          </cell>
          <cell r="D3132" t="str">
            <v>JOHANNAH 7</v>
          </cell>
          <cell r="E3132">
            <v>4</v>
          </cell>
          <cell r="H3132" t="str">
            <v>SAFISCOR</v>
          </cell>
          <cell r="N3132">
            <v>1000</v>
          </cell>
          <cell r="Y3132">
            <v>46246</v>
          </cell>
          <cell r="Z3132">
            <v>2</v>
          </cell>
          <cell r="AA3132">
            <v>1000</v>
          </cell>
        </row>
        <row r="3133">
          <cell r="A3133">
            <v>46245</v>
          </cell>
          <cell r="D3133" t="str">
            <v>LADY OF COURAGE</v>
          </cell>
          <cell r="E3133">
            <v>5</v>
          </cell>
          <cell r="H3133" t="str">
            <v>LAPU-LAPU</v>
          </cell>
          <cell r="N3133">
            <v>1000</v>
          </cell>
          <cell r="Y3133">
            <v>46245</v>
          </cell>
          <cell r="Z3133">
            <v>2</v>
          </cell>
          <cell r="AA3133">
            <v>1000</v>
          </cell>
        </row>
        <row r="3134">
          <cell r="A3134">
            <v>46245</v>
          </cell>
          <cell r="D3134" t="str">
            <v>SALVACION 8</v>
          </cell>
          <cell r="E3134">
            <v>2</v>
          </cell>
          <cell r="H3134" t="str">
            <v>LAPU-LAPU</v>
          </cell>
          <cell r="N3134">
            <v>1000</v>
          </cell>
          <cell r="Y3134">
            <v>46245</v>
          </cell>
          <cell r="Z3134">
            <v>2</v>
          </cell>
          <cell r="AA3134">
            <v>1000</v>
          </cell>
        </row>
        <row r="3135">
          <cell r="A3135">
            <v>46245</v>
          </cell>
          <cell r="D3135" t="str">
            <v>JOHANNAH 7</v>
          </cell>
          <cell r="E3135">
            <v>4</v>
          </cell>
          <cell r="H3135" t="str">
            <v>SAFISCOR</v>
          </cell>
          <cell r="N3135">
            <v>1000</v>
          </cell>
          <cell r="Y3135">
            <v>46246</v>
          </cell>
          <cell r="Z3135">
            <v>2</v>
          </cell>
          <cell r="AA3135">
            <v>1000</v>
          </cell>
        </row>
        <row r="3136">
          <cell r="A3136">
            <v>46245</v>
          </cell>
          <cell r="D3136" t="str">
            <v>LADY OF COURAGE</v>
          </cell>
          <cell r="E3136">
            <v>5</v>
          </cell>
          <cell r="H3136" t="str">
            <v>SAFISCOR</v>
          </cell>
          <cell r="N3136">
            <v>1000</v>
          </cell>
          <cell r="Y3136">
            <v>46246</v>
          </cell>
          <cell r="Z3136">
            <v>1</v>
          </cell>
          <cell r="AA3136">
            <v>1000</v>
          </cell>
        </row>
        <row r="3137">
          <cell r="A3137">
            <v>46245</v>
          </cell>
          <cell r="D3137" t="str">
            <v>JOHANNAH 7</v>
          </cell>
          <cell r="E3137">
            <v>4</v>
          </cell>
          <cell r="H3137" t="str">
            <v>GEO</v>
          </cell>
          <cell r="N3137">
            <v>1000</v>
          </cell>
          <cell r="Y3137">
            <v>46246</v>
          </cell>
          <cell r="Z3137">
            <v>2</v>
          </cell>
          <cell r="AA3137">
            <v>1000</v>
          </cell>
        </row>
        <row r="3138">
          <cell r="A3138">
            <v>46245</v>
          </cell>
          <cell r="D3138" t="str">
            <v>NAPOLI</v>
          </cell>
          <cell r="E3138">
            <v>6</v>
          </cell>
          <cell r="H3138" t="str">
            <v>SAFISCOR</v>
          </cell>
          <cell r="N3138">
            <v>1000</v>
          </cell>
          <cell r="Y3138">
            <v>46246</v>
          </cell>
          <cell r="Z3138">
            <v>1</v>
          </cell>
          <cell r="AA3138">
            <v>1000</v>
          </cell>
        </row>
        <row r="3139">
          <cell r="A3139">
            <v>46245</v>
          </cell>
          <cell r="D3139" t="str">
            <v>LADY OF COURAGE</v>
          </cell>
          <cell r="E3139">
            <v>5</v>
          </cell>
          <cell r="H3139" t="str">
            <v>LAPU-LAPU</v>
          </cell>
          <cell r="N3139">
            <v>1000</v>
          </cell>
          <cell r="Y3139">
            <v>46245</v>
          </cell>
          <cell r="Z3139">
            <v>2</v>
          </cell>
          <cell r="AA3139">
            <v>1000</v>
          </cell>
        </row>
        <row r="3140">
          <cell r="A3140">
            <v>46245</v>
          </cell>
          <cell r="D3140" t="str">
            <v>JOHANNAH 7</v>
          </cell>
          <cell r="E3140">
            <v>4</v>
          </cell>
          <cell r="H3140" t="str">
            <v>SAFISCOR</v>
          </cell>
          <cell r="N3140">
            <v>850</v>
          </cell>
          <cell r="Y3140">
            <v>46245</v>
          </cell>
          <cell r="Z3140">
            <v>2</v>
          </cell>
          <cell r="AA3140">
            <v>850</v>
          </cell>
        </row>
        <row r="3141">
          <cell r="A3141">
            <v>46245</v>
          </cell>
          <cell r="D3141" t="str">
            <v>JOHANNAH 7</v>
          </cell>
          <cell r="E3141">
            <v>4</v>
          </cell>
          <cell r="H3141" t="str">
            <v>SAFISCOR</v>
          </cell>
          <cell r="N3141">
            <v>1000</v>
          </cell>
          <cell r="Y3141">
            <v>46246</v>
          </cell>
          <cell r="Z3141">
            <v>2</v>
          </cell>
          <cell r="AA3141">
            <v>1000</v>
          </cell>
        </row>
        <row r="3142">
          <cell r="A3142">
            <v>46245</v>
          </cell>
          <cell r="D3142" t="str">
            <v>JOHANNAH 7</v>
          </cell>
          <cell r="E3142">
            <v>4</v>
          </cell>
          <cell r="H3142" t="str">
            <v>SAFISCOR</v>
          </cell>
          <cell r="N3142">
            <v>1000</v>
          </cell>
          <cell r="Y3142">
            <v>46246</v>
          </cell>
          <cell r="Z3142">
            <v>2</v>
          </cell>
          <cell r="AA3142">
            <v>1000</v>
          </cell>
        </row>
        <row r="3143">
          <cell r="A3143">
            <v>46245</v>
          </cell>
          <cell r="D3143" t="str">
            <v>NAPOLI</v>
          </cell>
          <cell r="E3143">
            <v>6</v>
          </cell>
          <cell r="H3143" t="str">
            <v>SAFISCOR</v>
          </cell>
          <cell r="N3143">
            <v>150</v>
          </cell>
          <cell r="Y3143">
            <v>46246</v>
          </cell>
          <cell r="Z3143">
            <v>1</v>
          </cell>
          <cell r="AA3143">
            <v>150</v>
          </cell>
        </row>
        <row r="3144">
          <cell r="A3144">
            <v>46245</v>
          </cell>
          <cell r="D3144" t="str">
            <v>NAPOLI</v>
          </cell>
          <cell r="E3144">
            <v>6</v>
          </cell>
          <cell r="H3144" t="str">
            <v>SAFISCOR</v>
          </cell>
          <cell r="N3144">
            <v>1000</v>
          </cell>
          <cell r="Y3144">
            <v>46246</v>
          </cell>
          <cell r="Z3144">
            <v>1</v>
          </cell>
          <cell r="AA3144">
            <v>1000</v>
          </cell>
        </row>
        <row r="3145">
          <cell r="A3145">
            <v>46245</v>
          </cell>
          <cell r="D3145" t="str">
            <v>LADY OF COURAGE</v>
          </cell>
          <cell r="E3145">
            <v>5</v>
          </cell>
          <cell r="H3145" t="str">
            <v>SAFISCOR</v>
          </cell>
          <cell r="N3145">
            <v>1000</v>
          </cell>
          <cell r="Y3145">
            <v>46246</v>
          </cell>
          <cell r="Z3145">
            <v>1</v>
          </cell>
          <cell r="AA3145">
            <v>1000</v>
          </cell>
        </row>
        <row r="3146">
          <cell r="A3146">
            <v>46245</v>
          </cell>
          <cell r="D3146" t="str">
            <v>JOHANNAH 7</v>
          </cell>
          <cell r="E3146">
            <v>4</v>
          </cell>
          <cell r="H3146" t="str">
            <v>SAFISCOR</v>
          </cell>
          <cell r="N3146">
            <v>1000</v>
          </cell>
          <cell r="Y3146">
            <v>46245</v>
          </cell>
          <cell r="Z3146">
            <v>2</v>
          </cell>
          <cell r="AA3146">
            <v>1000</v>
          </cell>
        </row>
        <row r="3147">
          <cell r="A3147">
            <v>46245</v>
          </cell>
          <cell r="D3147" t="str">
            <v>JOHANNAH 7</v>
          </cell>
          <cell r="E3147">
            <v>4</v>
          </cell>
          <cell r="H3147" t="str">
            <v>SAFISCOR</v>
          </cell>
          <cell r="N3147">
            <v>1000</v>
          </cell>
          <cell r="Y3147">
            <v>46246</v>
          </cell>
          <cell r="Z3147">
            <v>2</v>
          </cell>
          <cell r="AA3147">
            <v>1000</v>
          </cell>
        </row>
        <row r="3148">
          <cell r="A3148">
            <v>46245</v>
          </cell>
          <cell r="D3148" t="str">
            <v>JOHANNAH 7</v>
          </cell>
          <cell r="E3148">
            <v>4</v>
          </cell>
          <cell r="H3148" t="str">
            <v>SAFISCOR</v>
          </cell>
          <cell r="N3148">
            <v>1000</v>
          </cell>
          <cell r="Y3148">
            <v>46246</v>
          </cell>
          <cell r="Z3148">
            <v>2</v>
          </cell>
          <cell r="AA3148">
            <v>1000</v>
          </cell>
        </row>
        <row r="3149">
          <cell r="A3149">
            <v>46245</v>
          </cell>
          <cell r="D3149" t="str">
            <v>JOHANNAH 7</v>
          </cell>
          <cell r="E3149">
            <v>4</v>
          </cell>
          <cell r="H3149" t="str">
            <v>SAFISCOR</v>
          </cell>
          <cell r="N3149">
            <v>1000</v>
          </cell>
          <cell r="Y3149">
            <v>46246</v>
          </cell>
          <cell r="Z3149">
            <v>1</v>
          </cell>
          <cell r="AA3149">
            <v>1000</v>
          </cell>
        </row>
        <row r="3150">
          <cell r="A3150">
            <v>46246</v>
          </cell>
          <cell r="D3150" t="str">
            <v>LADY OF COURAGE</v>
          </cell>
          <cell r="E3150">
            <v>5</v>
          </cell>
          <cell r="H3150" t="str">
            <v>LAPU-LAPU</v>
          </cell>
          <cell r="N3150">
            <v>1000</v>
          </cell>
          <cell r="Y3150">
            <v>46246</v>
          </cell>
          <cell r="Z3150">
            <v>1</v>
          </cell>
          <cell r="AA3150">
            <v>1000</v>
          </cell>
        </row>
        <row r="3151">
          <cell r="A3151">
            <v>46246</v>
          </cell>
          <cell r="D3151" t="str">
            <v>JOHANNAH 7</v>
          </cell>
          <cell r="E3151">
            <v>4</v>
          </cell>
          <cell r="H3151" t="str">
            <v>SAFISCOR</v>
          </cell>
          <cell r="N3151">
            <v>1000</v>
          </cell>
          <cell r="Y3151">
            <v>46248</v>
          </cell>
          <cell r="Z3151">
            <v>2</v>
          </cell>
          <cell r="AA3151">
            <v>1000</v>
          </cell>
        </row>
        <row r="3152">
          <cell r="A3152">
            <v>46246</v>
          </cell>
          <cell r="D3152" t="str">
            <v>JOHANNAH 7</v>
          </cell>
          <cell r="E3152">
            <v>4</v>
          </cell>
          <cell r="H3152" t="str">
            <v>LAPU-LAPU</v>
          </cell>
          <cell r="N3152">
            <v>1000</v>
          </cell>
          <cell r="Y3152">
            <v>46247</v>
          </cell>
          <cell r="Z3152">
            <v>1</v>
          </cell>
          <cell r="AA3152">
            <v>1000</v>
          </cell>
        </row>
        <row r="3153">
          <cell r="A3153">
            <v>46246</v>
          </cell>
          <cell r="D3153" t="str">
            <v>JOHANNAH 7</v>
          </cell>
          <cell r="E3153">
            <v>4</v>
          </cell>
          <cell r="H3153" t="str">
            <v>SAFISCOR</v>
          </cell>
          <cell r="N3153">
            <v>1000</v>
          </cell>
          <cell r="Y3153">
            <v>46246</v>
          </cell>
          <cell r="Z3153">
            <v>2</v>
          </cell>
          <cell r="AA3153">
            <v>1000</v>
          </cell>
        </row>
        <row r="3154">
          <cell r="A3154">
            <v>46246</v>
          </cell>
          <cell r="D3154" t="str">
            <v>LADY OF COURAGE</v>
          </cell>
          <cell r="E3154">
            <v>5</v>
          </cell>
          <cell r="H3154" t="str">
            <v>FULACHE</v>
          </cell>
          <cell r="N3154">
            <v>1000</v>
          </cell>
          <cell r="Y3154">
            <v>46246</v>
          </cell>
          <cell r="Z3154">
            <v>1</v>
          </cell>
          <cell r="AA3154">
            <v>1000</v>
          </cell>
        </row>
        <row r="3155">
          <cell r="A3155">
            <v>46246</v>
          </cell>
          <cell r="D3155" t="str">
            <v>JOHANNAH 7</v>
          </cell>
          <cell r="E3155">
            <v>4</v>
          </cell>
          <cell r="H3155" t="str">
            <v>GEO</v>
          </cell>
          <cell r="N3155">
            <v>1000</v>
          </cell>
          <cell r="Y3155">
            <v>46246</v>
          </cell>
          <cell r="Z3155">
            <v>2</v>
          </cell>
          <cell r="AA3155">
            <v>1000</v>
          </cell>
        </row>
        <row r="3156">
          <cell r="A3156">
            <v>46246</v>
          </cell>
          <cell r="D3156" t="str">
            <v>LADY OF COURAGE</v>
          </cell>
          <cell r="E3156">
            <v>5</v>
          </cell>
          <cell r="H3156" t="str">
            <v>SAFISCOR</v>
          </cell>
          <cell r="N3156">
            <v>1000</v>
          </cell>
          <cell r="Y3156">
            <v>46246</v>
          </cell>
          <cell r="Z3156">
            <v>1</v>
          </cell>
          <cell r="AA3156">
            <v>1000</v>
          </cell>
        </row>
        <row r="3157">
          <cell r="A3157">
            <v>46246</v>
          </cell>
          <cell r="D3157" t="str">
            <v>STAR FREEDOM</v>
          </cell>
          <cell r="E3157">
            <v>8</v>
          </cell>
          <cell r="H3157" t="str">
            <v>SAFISCOR</v>
          </cell>
          <cell r="N3157">
            <v>1000</v>
          </cell>
          <cell r="Y3157">
            <v>46246</v>
          </cell>
          <cell r="Z3157">
            <v>2</v>
          </cell>
          <cell r="AA3157">
            <v>1000</v>
          </cell>
        </row>
        <row r="3158">
          <cell r="A3158">
            <v>46246</v>
          </cell>
          <cell r="D3158" t="str">
            <v>STAR FREEDOM</v>
          </cell>
          <cell r="E3158">
            <v>8</v>
          </cell>
          <cell r="H3158" t="str">
            <v>SAFISCOR</v>
          </cell>
          <cell r="N3158">
            <v>1000</v>
          </cell>
          <cell r="Y3158">
            <v>46246</v>
          </cell>
          <cell r="Z3158">
            <v>1</v>
          </cell>
          <cell r="AA3158">
            <v>1000</v>
          </cell>
        </row>
        <row r="3159">
          <cell r="A3159">
            <v>46246</v>
          </cell>
          <cell r="D3159" t="str">
            <v>STAR FREEDOM</v>
          </cell>
          <cell r="E3159">
            <v>8</v>
          </cell>
          <cell r="H3159" t="str">
            <v>SAFISCOR</v>
          </cell>
          <cell r="N3159">
            <v>1000</v>
          </cell>
          <cell r="Y3159">
            <v>46246</v>
          </cell>
          <cell r="Z3159">
            <v>2</v>
          </cell>
          <cell r="AA3159">
            <v>1000</v>
          </cell>
        </row>
        <row r="3160">
          <cell r="A3160">
            <v>46246</v>
          </cell>
          <cell r="D3160" t="str">
            <v>STAR FREEDOM</v>
          </cell>
          <cell r="E3160">
            <v>8</v>
          </cell>
          <cell r="H3160" t="str">
            <v>SAFISCOR</v>
          </cell>
          <cell r="N3160">
            <v>1000</v>
          </cell>
          <cell r="Y3160">
            <v>46246</v>
          </cell>
          <cell r="Z3160">
            <v>1</v>
          </cell>
          <cell r="AA3160">
            <v>1000</v>
          </cell>
        </row>
        <row r="3161">
          <cell r="A3161">
            <v>46246</v>
          </cell>
          <cell r="D3161" t="str">
            <v>STAR FREEDOM</v>
          </cell>
          <cell r="E3161">
            <v>8</v>
          </cell>
          <cell r="H3161" t="str">
            <v>BADIE</v>
          </cell>
          <cell r="N3161">
            <v>1000</v>
          </cell>
          <cell r="Y3161">
            <v>46246</v>
          </cell>
          <cell r="Z3161">
            <v>1</v>
          </cell>
          <cell r="AA3161">
            <v>1000</v>
          </cell>
        </row>
        <row r="3162">
          <cell r="A3162">
            <v>46246</v>
          </cell>
          <cell r="D3162" t="str">
            <v>STAR FREEDOM</v>
          </cell>
          <cell r="E3162">
            <v>8</v>
          </cell>
          <cell r="H3162" t="str">
            <v>FULACHE</v>
          </cell>
          <cell r="N3162">
            <v>1000</v>
          </cell>
          <cell r="Y3162">
            <v>46246</v>
          </cell>
          <cell r="Z3162">
            <v>1</v>
          </cell>
          <cell r="AA3162">
            <v>1000</v>
          </cell>
        </row>
        <row r="3163">
          <cell r="A3163">
            <v>46246</v>
          </cell>
          <cell r="D3163" t="str">
            <v>STAR FREEDOM</v>
          </cell>
          <cell r="E3163">
            <v>8</v>
          </cell>
          <cell r="H3163" t="str">
            <v>SAFISCOR</v>
          </cell>
          <cell r="N3163">
            <v>1000</v>
          </cell>
          <cell r="Y3163">
            <v>46247</v>
          </cell>
          <cell r="Z3163">
            <v>1</v>
          </cell>
          <cell r="AA3163">
            <v>1000</v>
          </cell>
        </row>
        <row r="3164">
          <cell r="A3164">
            <v>46246</v>
          </cell>
          <cell r="D3164" t="str">
            <v>STAR FREEDOM</v>
          </cell>
          <cell r="E3164">
            <v>8</v>
          </cell>
          <cell r="H3164" t="str">
            <v>SAFISCOR</v>
          </cell>
          <cell r="N3164">
            <v>1000</v>
          </cell>
          <cell r="Y3164">
            <v>46246</v>
          </cell>
          <cell r="Z3164">
            <v>2</v>
          </cell>
          <cell r="AA3164">
            <v>1000</v>
          </cell>
        </row>
        <row r="3165">
          <cell r="A3165">
            <v>46246</v>
          </cell>
          <cell r="D3165" t="str">
            <v>STAR FREEDOM</v>
          </cell>
          <cell r="E3165">
            <v>8</v>
          </cell>
          <cell r="H3165" t="str">
            <v>SAFISCOR</v>
          </cell>
          <cell r="N3165">
            <v>1000</v>
          </cell>
          <cell r="Y3165">
            <v>46246</v>
          </cell>
          <cell r="Z3165">
            <v>2</v>
          </cell>
          <cell r="AA3165">
            <v>1000</v>
          </cell>
        </row>
        <row r="3166">
          <cell r="A3166">
            <v>46246</v>
          </cell>
          <cell r="D3166" t="str">
            <v>STAR FREEDOM</v>
          </cell>
          <cell r="E3166">
            <v>8</v>
          </cell>
          <cell r="H3166" t="str">
            <v>SAFISCOR</v>
          </cell>
          <cell r="N3166">
            <v>1000</v>
          </cell>
          <cell r="Y3166">
            <v>46246</v>
          </cell>
          <cell r="Z3166">
            <v>1</v>
          </cell>
          <cell r="AA3166">
            <v>1000</v>
          </cell>
        </row>
        <row r="3167">
          <cell r="A3167">
            <v>46246</v>
          </cell>
          <cell r="D3167" t="str">
            <v>STAR FREEDOM</v>
          </cell>
          <cell r="E3167">
            <v>8</v>
          </cell>
          <cell r="H3167" t="str">
            <v>SAFISCOR</v>
          </cell>
          <cell r="N3167">
            <v>1000</v>
          </cell>
          <cell r="Y3167">
            <v>46246</v>
          </cell>
          <cell r="Z3167">
            <v>2</v>
          </cell>
          <cell r="AA3167">
            <v>1000</v>
          </cell>
        </row>
        <row r="3168">
          <cell r="A3168">
            <v>46246</v>
          </cell>
          <cell r="D3168" t="str">
            <v>STAR FREEDOM</v>
          </cell>
          <cell r="E3168">
            <v>8</v>
          </cell>
          <cell r="H3168" t="str">
            <v>SAFISCOR</v>
          </cell>
          <cell r="N3168">
            <v>1000</v>
          </cell>
          <cell r="Y3168">
            <v>46246</v>
          </cell>
          <cell r="Z3168">
            <v>2</v>
          </cell>
          <cell r="AA3168">
            <v>1000</v>
          </cell>
        </row>
        <row r="3169">
          <cell r="A3169">
            <v>46246</v>
          </cell>
          <cell r="D3169" t="str">
            <v>JOHANNAH 7</v>
          </cell>
          <cell r="E3169">
            <v>4</v>
          </cell>
          <cell r="H3169" t="str">
            <v>APLUS</v>
          </cell>
          <cell r="N3169">
            <v>1000</v>
          </cell>
          <cell r="Y3169">
            <v>46248</v>
          </cell>
          <cell r="Z3169">
            <v>1</v>
          </cell>
          <cell r="AA3169">
            <v>1000</v>
          </cell>
        </row>
        <row r="3170">
          <cell r="A3170">
            <v>46246</v>
          </cell>
          <cell r="D3170" t="str">
            <v>LADY OF COURAGE</v>
          </cell>
          <cell r="E3170">
            <v>5</v>
          </cell>
          <cell r="H3170" t="str">
            <v>LAPU-LAPU</v>
          </cell>
          <cell r="N3170">
            <v>1000</v>
          </cell>
        </row>
        <row r="3171">
          <cell r="A3171">
            <v>46246</v>
          </cell>
          <cell r="D3171" t="str">
            <v>STAR FREEDOM</v>
          </cell>
          <cell r="E3171">
            <v>8</v>
          </cell>
          <cell r="H3171" t="str">
            <v>SAFISCOR</v>
          </cell>
          <cell r="N3171">
            <v>1000</v>
          </cell>
          <cell r="Y3171">
            <v>46246</v>
          </cell>
          <cell r="Z3171">
            <v>2</v>
          </cell>
          <cell r="AA3171">
            <v>1000</v>
          </cell>
        </row>
        <row r="3172">
          <cell r="A3172">
            <v>46246</v>
          </cell>
          <cell r="D3172" t="str">
            <v>STAR FREEDOM</v>
          </cell>
          <cell r="E3172">
            <v>8</v>
          </cell>
          <cell r="H3172" t="str">
            <v>SAFISCOR</v>
          </cell>
          <cell r="N3172">
            <v>1000</v>
          </cell>
          <cell r="Y3172">
            <v>46247</v>
          </cell>
          <cell r="Z3172">
            <v>1</v>
          </cell>
          <cell r="AA3172">
            <v>1000</v>
          </cell>
        </row>
        <row r="3173">
          <cell r="A3173">
            <v>46246</v>
          </cell>
          <cell r="D3173" t="str">
            <v>STAR FREEDOM</v>
          </cell>
          <cell r="E3173">
            <v>8</v>
          </cell>
          <cell r="H3173" t="str">
            <v>SAFISCOR</v>
          </cell>
          <cell r="N3173">
            <v>1000</v>
          </cell>
          <cell r="Y3173">
            <v>46246</v>
          </cell>
          <cell r="Z3173">
            <v>2</v>
          </cell>
          <cell r="AA3173">
            <v>1000</v>
          </cell>
        </row>
        <row r="3174">
          <cell r="A3174">
            <v>46246</v>
          </cell>
          <cell r="D3174" t="str">
            <v>STAR FREEDOM</v>
          </cell>
          <cell r="E3174">
            <v>8</v>
          </cell>
          <cell r="H3174" t="str">
            <v>SAFISCOR</v>
          </cell>
          <cell r="N3174">
            <v>1000</v>
          </cell>
          <cell r="Y3174">
            <v>46246</v>
          </cell>
          <cell r="Z3174">
            <v>2</v>
          </cell>
          <cell r="AA3174">
            <v>1000</v>
          </cell>
        </row>
        <row r="3175">
          <cell r="A3175">
            <v>46246</v>
          </cell>
          <cell r="D3175" t="str">
            <v>STAR FREEDOM</v>
          </cell>
          <cell r="E3175">
            <v>8</v>
          </cell>
          <cell r="H3175" t="str">
            <v>LAPU-LAPU</v>
          </cell>
          <cell r="N3175">
            <v>1000</v>
          </cell>
          <cell r="Y3175">
            <v>46246</v>
          </cell>
          <cell r="Z3175">
            <v>1</v>
          </cell>
          <cell r="AA3175">
            <v>1000</v>
          </cell>
        </row>
        <row r="3176">
          <cell r="A3176">
            <v>46246</v>
          </cell>
          <cell r="D3176" t="str">
            <v>STAR FREEDOM</v>
          </cell>
          <cell r="E3176">
            <v>8</v>
          </cell>
          <cell r="H3176" t="str">
            <v>SAFISCOR</v>
          </cell>
          <cell r="N3176">
            <v>1000</v>
          </cell>
          <cell r="Y3176">
            <v>46246</v>
          </cell>
          <cell r="Z3176">
            <v>2</v>
          </cell>
          <cell r="AA3176">
            <v>1000</v>
          </cell>
        </row>
        <row r="3177">
          <cell r="A3177">
            <v>46246</v>
          </cell>
          <cell r="D3177" t="str">
            <v>STAR FREEDOM</v>
          </cell>
          <cell r="E3177">
            <v>8</v>
          </cell>
          <cell r="H3177" t="str">
            <v>SAFISCOR</v>
          </cell>
          <cell r="N3177">
            <v>1000</v>
          </cell>
          <cell r="Y3177">
            <v>46246</v>
          </cell>
          <cell r="Z3177">
            <v>2</v>
          </cell>
          <cell r="AA3177">
            <v>1000</v>
          </cell>
        </row>
        <row r="3178">
          <cell r="A3178">
            <v>46246</v>
          </cell>
          <cell r="D3178" t="str">
            <v>LADY OF COURAGE</v>
          </cell>
          <cell r="E3178">
            <v>5</v>
          </cell>
          <cell r="H3178" t="str">
            <v>LAPU-LAPU</v>
          </cell>
          <cell r="N3178">
            <v>1000</v>
          </cell>
          <cell r="Y3178">
            <v>46246</v>
          </cell>
          <cell r="Z3178">
            <v>2</v>
          </cell>
          <cell r="AA3178">
            <v>1000</v>
          </cell>
        </row>
        <row r="3179">
          <cell r="A3179">
            <v>46246</v>
          </cell>
          <cell r="D3179" t="str">
            <v>ADOLFO SR</v>
          </cell>
          <cell r="E3179">
            <v>7</v>
          </cell>
          <cell r="H3179" t="str">
            <v>SAFISCOR</v>
          </cell>
          <cell r="N3179">
            <v>1000</v>
          </cell>
          <cell r="Y3179">
            <v>46246</v>
          </cell>
          <cell r="Z3179">
            <v>2</v>
          </cell>
          <cell r="AA3179">
            <v>1000</v>
          </cell>
        </row>
        <row r="3180">
          <cell r="A3180">
            <v>46246</v>
          </cell>
          <cell r="D3180" t="str">
            <v>ADOLFO SR</v>
          </cell>
          <cell r="E3180">
            <v>7</v>
          </cell>
          <cell r="H3180" t="str">
            <v>APLUS</v>
          </cell>
          <cell r="N3180">
            <v>1000</v>
          </cell>
          <cell r="Y3180">
            <v>46246</v>
          </cell>
          <cell r="Z3180">
            <v>2</v>
          </cell>
          <cell r="AA3180">
            <v>1000</v>
          </cell>
        </row>
        <row r="3181">
          <cell r="A3181">
            <v>46246</v>
          </cell>
          <cell r="D3181" t="str">
            <v>STAR FREEDOM</v>
          </cell>
          <cell r="E3181">
            <v>8</v>
          </cell>
          <cell r="H3181" t="str">
            <v>LAPU-LAPU</v>
          </cell>
          <cell r="N3181">
            <v>1000</v>
          </cell>
          <cell r="Y3181">
            <v>46246</v>
          </cell>
          <cell r="Z3181">
            <v>2</v>
          </cell>
          <cell r="AA3181">
            <v>1000</v>
          </cell>
        </row>
        <row r="3182">
          <cell r="A3182">
            <v>46246</v>
          </cell>
          <cell r="D3182" t="str">
            <v>STAR FREEDOM</v>
          </cell>
          <cell r="E3182">
            <v>8</v>
          </cell>
          <cell r="H3182" t="str">
            <v>SAFISCOR</v>
          </cell>
          <cell r="N3182">
            <v>1000</v>
          </cell>
          <cell r="Y3182">
            <v>46247</v>
          </cell>
          <cell r="Z3182">
            <v>1</v>
          </cell>
          <cell r="AA3182">
            <v>1000</v>
          </cell>
        </row>
        <row r="3183">
          <cell r="A3183">
            <v>46246</v>
          </cell>
          <cell r="D3183" t="str">
            <v>ADOLFO SR</v>
          </cell>
          <cell r="E3183">
            <v>7</v>
          </cell>
          <cell r="H3183" t="str">
            <v>SAFISCOR</v>
          </cell>
          <cell r="N3183">
            <v>800</v>
          </cell>
          <cell r="Y3183">
            <v>46247</v>
          </cell>
          <cell r="Z3183">
            <v>1</v>
          </cell>
          <cell r="AA3183">
            <v>800</v>
          </cell>
        </row>
        <row r="3184">
          <cell r="A3184">
            <v>46246</v>
          </cell>
          <cell r="D3184" t="str">
            <v>ADOLFO SR</v>
          </cell>
          <cell r="E3184">
            <v>7</v>
          </cell>
          <cell r="H3184" t="str">
            <v>SAFISCOR</v>
          </cell>
          <cell r="N3184">
            <v>200</v>
          </cell>
          <cell r="Y3184">
            <v>46247</v>
          </cell>
          <cell r="Z3184">
            <v>1</v>
          </cell>
          <cell r="AA3184">
            <v>200</v>
          </cell>
        </row>
        <row r="3185">
          <cell r="A3185">
            <v>46246</v>
          </cell>
          <cell r="D3185" t="str">
            <v>LADY OF COURAGE</v>
          </cell>
          <cell r="E3185">
            <v>5</v>
          </cell>
          <cell r="H3185" t="str">
            <v>BADIE</v>
          </cell>
          <cell r="N3185">
            <v>1000</v>
          </cell>
          <cell r="Y3185">
            <v>46246</v>
          </cell>
          <cell r="Z3185">
            <v>2</v>
          </cell>
          <cell r="AA3185">
            <v>1000</v>
          </cell>
        </row>
        <row r="3186">
          <cell r="A3186">
            <v>46246</v>
          </cell>
          <cell r="D3186" t="str">
            <v>LADY OF COURAGE</v>
          </cell>
          <cell r="E3186">
            <v>5</v>
          </cell>
          <cell r="H3186" t="str">
            <v>LAPU-LAPU</v>
          </cell>
          <cell r="N3186">
            <v>1000</v>
          </cell>
          <cell r="Y3186">
            <v>46246</v>
          </cell>
          <cell r="Z3186">
            <v>2</v>
          </cell>
          <cell r="AA3186">
            <v>1000</v>
          </cell>
        </row>
        <row r="3187">
          <cell r="A3187">
            <v>46246</v>
          </cell>
          <cell r="D3187" t="str">
            <v>LADY OF COURAGE</v>
          </cell>
          <cell r="E3187">
            <v>5</v>
          </cell>
          <cell r="H3187" t="str">
            <v>SAFISCOR</v>
          </cell>
          <cell r="N3187">
            <v>1000</v>
          </cell>
          <cell r="Y3187">
            <v>46246</v>
          </cell>
          <cell r="Z3187">
            <v>2</v>
          </cell>
          <cell r="AA3187">
            <v>1000</v>
          </cell>
        </row>
        <row r="3188">
          <cell r="A3188">
            <v>46246</v>
          </cell>
          <cell r="D3188" t="str">
            <v>ADOLFO SR</v>
          </cell>
          <cell r="E3188">
            <v>7</v>
          </cell>
          <cell r="H3188" t="str">
            <v>SAFISCOR</v>
          </cell>
          <cell r="N3188">
            <v>1000</v>
          </cell>
          <cell r="Y3188">
            <v>46246</v>
          </cell>
          <cell r="Z3188">
            <v>2</v>
          </cell>
          <cell r="AA3188">
            <v>1000</v>
          </cell>
        </row>
        <row r="3189">
          <cell r="A3189">
            <v>46246</v>
          </cell>
          <cell r="D3189" t="str">
            <v>ADOLFO SR</v>
          </cell>
          <cell r="E3189">
            <v>7</v>
          </cell>
          <cell r="H3189" t="str">
            <v>SAFISCOR</v>
          </cell>
          <cell r="N3189">
            <v>1000</v>
          </cell>
          <cell r="Y3189">
            <v>46247</v>
          </cell>
          <cell r="Z3189">
            <v>1</v>
          </cell>
          <cell r="AA3189">
            <v>1000</v>
          </cell>
        </row>
        <row r="3190">
          <cell r="A3190">
            <v>46246</v>
          </cell>
          <cell r="D3190" t="str">
            <v>STAR FREEDOM</v>
          </cell>
          <cell r="E3190">
            <v>8</v>
          </cell>
          <cell r="H3190" t="str">
            <v>SAFISCOR</v>
          </cell>
          <cell r="N3190">
            <v>1000</v>
          </cell>
          <cell r="Y3190">
            <v>46246</v>
          </cell>
          <cell r="Z3190">
            <v>2</v>
          </cell>
          <cell r="AA3190">
            <v>1000</v>
          </cell>
        </row>
        <row r="3191">
          <cell r="A3191">
            <v>46246</v>
          </cell>
          <cell r="D3191" t="str">
            <v>STAR FREEDOM</v>
          </cell>
          <cell r="E3191">
            <v>8</v>
          </cell>
          <cell r="H3191" t="str">
            <v>SAFISCOR</v>
          </cell>
          <cell r="N3191">
            <v>1000</v>
          </cell>
          <cell r="Y3191">
            <v>46246</v>
          </cell>
          <cell r="Z3191">
            <v>2</v>
          </cell>
          <cell r="AA3191">
            <v>1000</v>
          </cell>
        </row>
        <row r="3192">
          <cell r="A3192">
            <v>46246</v>
          </cell>
          <cell r="D3192" t="str">
            <v>STAR FREEDOM</v>
          </cell>
          <cell r="E3192">
            <v>8</v>
          </cell>
          <cell r="H3192" t="str">
            <v>SAFISCOR</v>
          </cell>
          <cell r="N3192">
            <v>1000</v>
          </cell>
          <cell r="Y3192">
            <v>46247</v>
          </cell>
          <cell r="Z3192">
            <v>1</v>
          </cell>
          <cell r="AA3192">
            <v>1000</v>
          </cell>
        </row>
        <row r="3193">
          <cell r="A3193">
            <v>46246</v>
          </cell>
          <cell r="D3193" t="str">
            <v>LADY OF COURAGE</v>
          </cell>
          <cell r="E3193">
            <v>5</v>
          </cell>
          <cell r="H3193" t="str">
            <v>SAFISCOR</v>
          </cell>
          <cell r="N3193">
            <v>1000</v>
          </cell>
          <cell r="Y3193">
            <v>46246</v>
          </cell>
          <cell r="Z3193">
            <v>2</v>
          </cell>
          <cell r="AA3193">
            <v>1000</v>
          </cell>
        </row>
        <row r="3194">
          <cell r="A3194">
            <v>46246</v>
          </cell>
          <cell r="D3194" t="str">
            <v>JOHANNAH 7</v>
          </cell>
          <cell r="E3194">
            <v>4</v>
          </cell>
          <cell r="H3194" t="str">
            <v>SAFISCOR</v>
          </cell>
          <cell r="N3194">
            <v>1000</v>
          </cell>
          <cell r="Y3194">
            <v>46247</v>
          </cell>
          <cell r="Z3194">
            <v>2</v>
          </cell>
          <cell r="AA3194">
            <v>1000</v>
          </cell>
        </row>
        <row r="3195">
          <cell r="A3195">
            <v>46246</v>
          </cell>
          <cell r="D3195" t="str">
            <v>LADY OF COURAGE</v>
          </cell>
          <cell r="E3195">
            <v>5</v>
          </cell>
          <cell r="H3195" t="str">
            <v>FULACHE</v>
          </cell>
          <cell r="N3195">
            <v>1000</v>
          </cell>
          <cell r="Y3195">
            <v>46246</v>
          </cell>
          <cell r="Z3195">
            <v>2</v>
          </cell>
          <cell r="AA3195">
            <v>1000</v>
          </cell>
        </row>
        <row r="3196">
          <cell r="A3196">
            <v>46246</v>
          </cell>
          <cell r="D3196" t="str">
            <v>STAR FREEDOM</v>
          </cell>
          <cell r="E3196">
            <v>8</v>
          </cell>
          <cell r="H3196" t="str">
            <v>GEO</v>
          </cell>
          <cell r="N3196">
            <v>1000</v>
          </cell>
          <cell r="Y3196">
            <v>46246</v>
          </cell>
          <cell r="Z3196">
            <v>2</v>
          </cell>
          <cell r="AA3196">
            <v>1000</v>
          </cell>
        </row>
        <row r="3197">
          <cell r="A3197">
            <v>46246</v>
          </cell>
          <cell r="D3197" t="str">
            <v>JOHANNAH 7</v>
          </cell>
          <cell r="E3197">
            <v>4</v>
          </cell>
          <cell r="H3197" t="str">
            <v>LAPU-LAPU</v>
          </cell>
          <cell r="N3197">
            <v>1000</v>
          </cell>
          <cell r="Y3197">
            <v>46247</v>
          </cell>
          <cell r="Z3197">
            <v>1</v>
          </cell>
          <cell r="AA3197">
            <v>1000</v>
          </cell>
        </row>
        <row r="3198">
          <cell r="A3198">
            <v>46246</v>
          </cell>
          <cell r="D3198" t="str">
            <v>JOHANNAH 7</v>
          </cell>
          <cell r="E3198">
            <v>4</v>
          </cell>
          <cell r="H3198" t="str">
            <v>SAFISCOR</v>
          </cell>
          <cell r="N3198">
            <v>1000</v>
          </cell>
          <cell r="Y3198">
            <v>46247</v>
          </cell>
          <cell r="Z3198">
            <v>2</v>
          </cell>
          <cell r="AA3198">
            <v>1000</v>
          </cell>
        </row>
        <row r="3199">
          <cell r="A3199">
            <v>46246</v>
          </cell>
          <cell r="D3199" t="str">
            <v>LADY OF COURAGE</v>
          </cell>
          <cell r="E3199">
            <v>5</v>
          </cell>
          <cell r="H3199" t="str">
            <v>SAFISCOR</v>
          </cell>
          <cell r="N3199">
            <v>1000</v>
          </cell>
          <cell r="Y3199">
            <v>46246</v>
          </cell>
          <cell r="Z3199">
            <v>2</v>
          </cell>
          <cell r="AA3199">
            <v>1000</v>
          </cell>
        </row>
        <row r="3200">
          <cell r="A3200">
            <v>46246</v>
          </cell>
          <cell r="D3200" t="str">
            <v>JOHANNAH 7</v>
          </cell>
          <cell r="E3200">
            <v>4</v>
          </cell>
          <cell r="H3200" t="str">
            <v>SAFISCOR</v>
          </cell>
          <cell r="N3200">
            <v>1000</v>
          </cell>
          <cell r="Y3200">
            <v>46247</v>
          </cell>
          <cell r="Z3200">
            <v>2</v>
          </cell>
          <cell r="AA3200">
            <v>1000</v>
          </cell>
        </row>
        <row r="3201">
          <cell r="A3201">
            <v>46246</v>
          </cell>
          <cell r="D3201" t="str">
            <v>JOHANNAH 7</v>
          </cell>
          <cell r="E3201">
            <v>4</v>
          </cell>
          <cell r="H3201" t="str">
            <v>SAFISCOR</v>
          </cell>
          <cell r="N3201">
            <v>1000</v>
          </cell>
          <cell r="Y3201">
            <v>46246</v>
          </cell>
          <cell r="Z3201">
            <v>2</v>
          </cell>
          <cell r="AA3201">
            <v>1000</v>
          </cell>
        </row>
        <row r="3202">
          <cell r="A3202">
            <v>46246</v>
          </cell>
          <cell r="D3202" t="str">
            <v>LADY OF COURAGE</v>
          </cell>
          <cell r="E3202">
            <v>5</v>
          </cell>
          <cell r="H3202" t="str">
            <v>BADIE</v>
          </cell>
          <cell r="N3202">
            <v>1000</v>
          </cell>
          <cell r="Y3202">
            <v>46246</v>
          </cell>
          <cell r="Z3202">
            <v>2</v>
          </cell>
          <cell r="AA3202">
            <v>1000</v>
          </cell>
        </row>
        <row r="3203">
          <cell r="A3203">
            <v>46246</v>
          </cell>
          <cell r="D3203" t="str">
            <v>ADOLFO SR</v>
          </cell>
          <cell r="E3203">
            <v>7</v>
          </cell>
          <cell r="H3203" t="str">
            <v>SAFISCOR</v>
          </cell>
          <cell r="N3203">
            <v>1000</v>
          </cell>
          <cell r="Y3203">
            <v>46246</v>
          </cell>
          <cell r="Z3203">
            <v>2</v>
          </cell>
          <cell r="AA3203">
            <v>1000</v>
          </cell>
        </row>
        <row r="3204">
          <cell r="A3204">
            <v>46246</v>
          </cell>
          <cell r="D3204" t="str">
            <v>JOHANNAH 7</v>
          </cell>
          <cell r="E3204">
            <v>4</v>
          </cell>
          <cell r="H3204" t="str">
            <v>SAFISCOR</v>
          </cell>
          <cell r="N3204">
            <v>1000</v>
          </cell>
          <cell r="Y3204">
            <v>46247</v>
          </cell>
          <cell r="Z3204">
            <v>2</v>
          </cell>
          <cell r="AA3204">
            <v>1000</v>
          </cell>
        </row>
        <row r="3205">
          <cell r="A3205">
            <v>46246</v>
          </cell>
          <cell r="D3205" t="str">
            <v>JOHANNAH 7</v>
          </cell>
          <cell r="E3205">
            <v>4</v>
          </cell>
          <cell r="H3205" t="str">
            <v>LAPU-LAPU</v>
          </cell>
          <cell r="N3205">
            <v>1000</v>
          </cell>
          <cell r="Y3205">
            <v>46247</v>
          </cell>
          <cell r="Z3205">
            <v>1</v>
          </cell>
          <cell r="AA3205">
            <v>1000</v>
          </cell>
        </row>
        <row r="3206">
          <cell r="A3206">
            <v>46246</v>
          </cell>
          <cell r="D3206" t="str">
            <v>JOHANNAH 7</v>
          </cell>
          <cell r="E3206">
            <v>4</v>
          </cell>
          <cell r="H3206" t="str">
            <v>SAFISCOR</v>
          </cell>
          <cell r="N3206">
            <v>1000</v>
          </cell>
          <cell r="Y3206">
            <v>46247</v>
          </cell>
          <cell r="Z3206">
            <v>1</v>
          </cell>
          <cell r="AA3206">
            <v>1000</v>
          </cell>
        </row>
        <row r="3207">
          <cell r="A3207">
            <v>46246</v>
          </cell>
          <cell r="D3207" t="str">
            <v>LADY OF COURAGE</v>
          </cell>
          <cell r="E3207">
            <v>5</v>
          </cell>
          <cell r="H3207" t="str">
            <v>SAFISCOR</v>
          </cell>
          <cell r="N3207">
            <v>1000</v>
          </cell>
          <cell r="Y3207">
            <v>46246</v>
          </cell>
          <cell r="Z3207">
            <v>2</v>
          </cell>
          <cell r="AA3207">
            <v>1000</v>
          </cell>
        </row>
        <row r="3208">
          <cell r="A3208">
            <v>46246</v>
          </cell>
          <cell r="D3208" t="str">
            <v>JOHANNAH 7</v>
          </cell>
          <cell r="E3208">
            <v>4</v>
          </cell>
          <cell r="H3208" t="str">
            <v>SAFISCOR</v>
          </cell>
          <cell r="N3208">
            <v>1000</v>
          </cell>
          <cell r="Y3208">
            <v>46247</v>
          </cell>
          <cell r="Z3208">
            <v>2</v>
          </cell>
          <cell r="AA3208">
            <v>1000</v>
          </cell>
        </row>
        <row r="3209">
          <cell r="A3209">
            <v>46246</v>
          </cell>
          <cell r="D3209" t="str">
            <v>JOHANNAH 7</v>
          </cell>
          <cell r="E3209">
            <v>4</v>
          </cell>
          <cell r="H3209" t="str">
            <v>SAFISCOR</v>
          </cell>
          <cell r="N3209">
            <v>1000</v>
          </cell>
          <cell r="Y3209">
            <v>46247</v>
          </cell>
          <cell r="Z3209">
            <v>1</v>
          </cell>
          <cell r="AA3209">
            <v>1000</v>
          </cell>
        </row>
        <row r="3210">
          <cell r="A3210">
            <v>46246</v>
          </cell>
          <cell r="D3210" t="str">
            <v>LADY OF COURAGE</v>
          </cell>
          <cell r="E3210">
            <v>5</v>
          </cell>
          <cell r="H3210" t="str">
            <v>LAPU-LAPU</v>
          </cell>
          <cell r="N3210">
            <v>1000</v>
          </cell>
          <cell r="Y3210">
            <v>46246</v>
          </cell>
          <cell r="Z3210">
            <v>2</v>
          </cell>
          <cell r="AA3210">
            <v>1000</v>
          </cell>
        </row>
        <row r="3211">
          <cell r="A3211">
            <v>46246</v>
          </cell>
          <cell r="D3211" t="str">
            <v>NAPOLI</v>
          </cell>
          <cell r="E3211">
            <v>6</v>
          </cell>
          <cell r="H3211" t="str">
            <v>SAFISCOR</v>
          </cell>
          <cell r="N3211">
            <v>500</v>
          </cell>
          <cell r="Y3211">
            <v>46246</v>
          </cell>
          <cell r="Z3211">
            <v>2</v>
          </cell>
          <cell r="AA3211">
            <v>500</v>
          </cell>
        </row>
        <row r="3212">
          <cell r="A3212">
            <v>46246</v>
          </cell>
          <cell r="D3212" t="str">
            <v>NAPOLI</v>
          </cell>
          <cell r="E3212">
            <v>6</v>
          </cell>
          <cell r="H3212" t="str">
            <v>SAFISCOR</v>
          </cell>
          <cell r="N3212">
            <v>350</v>
          </cell>
          <cell r="Y3212">
            <v>46246</v>
          </cell>
          <cell r="Z3212">
            <v>2</v>
          </cell>
          <cell r="AA3212">
            <v>350</v>
          </cell>
        </row>
        <row r="3213">
          <cell r="A3213">
            <v>46246</v>
          </cell>
          <cell r="D3213" t="str">
            <v>ADOLFO SR</v>
          </cell>
          <cell r="E3213">
            <v>7</v>
          </cell>
          <cell r="H3213" t="str">
            <v>SAFISCOR</v>
          </cell>
          <cell r="N3213">
            <v>500</v>
          </cell>
          <cell r="Y3213">
            <v>46247</v>
          </cell>
          <cell r="Z3213">
            <v>1</v>
          </cell>
          <cell r="AA3213">
            <v>500</v>
          </cell>
        </row>
        <row r="3214">
          <cell r="A3214">
            <v>46246</v>
          </cell>
          <cell r="D3214" t="str">
            <v>ADOLFO SR</v>
          </cell>
          <cell r="E3214">
            <v>7</v>
          </cell>
          <cell r="H3214" t="str">
            <v>SAFISCOR</v>
          </cell>
          <cell r="N3214">
            <v>500</v>
          </cell>
          <cell r="Y3214">
            <v>46247</v>
          </cell>
          <cell r="Z3214">
            <v>1</v>
          </cell>
          <cell r="AA3214">
            <v>500</v>
          </cell>
        </row>
        <row r="3215">
          <cell r="A3215">
            <v>46246</v>
          </cell>
          <cell r="D3215" t="str">
            <v>JOHANNAH 7</v>
          </cell>
          <cell r="E3215">
            <v>4</v>
          </cell>
          <cell r="H3215" t="str">
            <v>SAFISCOR</v>
          </cell>
          <cell r="N3215">
            <v>1000</v>
          </cell>
          <cell r="Y3215">
            <v>46247</v>
          </cell>
          <cell r="Z3215">
            <v>2</v>
          </cell>
          <cell r="AA3215">
            <v>1000</v>
          </cell>
        </row>
        <row r="3216">
          <cell r="A3216">
            <v>46246</v>
          </cell>
          <cell r="D3216" t="str">
            <v>JOHANNAH 7</v>
          </cell>
          <cell r="E3216">
            <v>4</v>
          </cell>
          <cell r="H3216" t="str">
            <v>SAFISCOR</v>
          </cell>
          <cell r="N3216">
            <v>1000</v>
          </cell>
          <cell r="Y3216">
            <v>46247</v>
          </cell>
          <cell r="Z3216">
            <v>1</v>
          </cell>
          <cell r="AA3216">
            <v>1000</v>
          </cell>
        </row>
        <row r="3217">
          <cell r="A3217">
            <v>46247</v>
          </cell>
          <cell r="D3217" t="str">
            <v>JOHANNAH 7</v>
          </cell>
          <cell r="E3217">
            <v>4</v>
          </cell>
          <cell r="H3217" t="str">
            <v>SAFISCOR</v>
          </cell>
          <cell r="N3217">
            <v>1000</v>
          </cell>
          <cell r="Y3217">
            <v>46247</v>
          </cell>
          <cell r="Z3217">
            <v>2</v>
          </cell>
          <cell r="AA3217">
            <v>1000</v>
          </cell>
        </row>
        <row r="3218">
          <cell r="A3218">
            <v>46247</v>
          </cell>
          <cell r="D3218" t="str">
            <v>JOHANNAH 7</v>
          </cell>
          <cell r="E3218">
            <v>4</v>
          </cell>
          <cell r="H3218" t="str">
            <v>SAFISCOR</v>
          </cell>
          <cell r="N3218">
            <v>1000</v>
          </cell>
          <cell r="Y3218">
            <v>46247</v>
          </cell>
          <cell r="Z3218">
            <v>2</v>
          </cell>
          <cell r="AA3218">
            <v>1000</v>
          </cell>
        </row>
        <row r="3219">
          <cell r="A3219">
            <v>46247</v>
          </cell>
          <cell r="D3219" t="str">
            <v>JOHANNAH 7</v>
          </cell>
          <cell r="E3219">
            <v>4</v>
          </cell>
          <cell r="H3219" t="str">
            <v>SAFISCOR</v>
          </cell>
          <cell r="N3219">
            <v>1000</v>
          </cell>
          <cell r="Y3219">
            <v>46247</v>
          </cell>
          <cell r="Z3219">
            <v>2</v>
          </cell>
          <cell r="AA3219">
            <v>1000</v>
          </cell>
        </row>
        <row r="3220">
          <cell r="A3220">
            <v>46247</v>
          </cell>
          <cell r="D3220" t="str">
            <v>JOHANNAH 7</v>
          </cell>
          <cell r="E3220">
            <v>4</v>
          </cell>
          <cell r="H3220" t="str">
            <v>SAFISCOR</v>
          </cell>
          <cell r="N3220">
            <v>150</v>
          </cell>
          <cell r="Y3220">
            <v>46247</v>
          </cell>
          <cell r="Z3220">
            <v>2</v>
          </cell>
          <cell r="AA3220">
            <v>150</v>
          </cell>
        </row>
        <row r="3221">
          <cell r="A3221">
            <v>46247</v>
          </cell>
          <cell r="D3221" t="str">
            <v>JOHANNAH 7</v>
          </cell>
          <cell r="E3221">
            <v>4</v>
          </cell>
          <cell r="H3221" t="str">
            <v>SAFISCOR</v>
          </cell>
          <cell r="N3221">
            <v>1000</v>
          </cell>
          <cell r="Y3221">
            <v>46247</v>
          </cell>
          <cell r="Z3221">
            <v>2</v>
          </cell>
          <cell r="AA3221">
            <v>1000</v>
          </cell>
        </row>
        <row r="3222">
          <cell r="A3222">
            <v>46247</v>
          </cell>
          <cell r="D3222" t="str">
            <v>JOHANNAH 7</v>
          </cell>
          <cell r="E3222">
            <v>4</v>
          </cell>
          <cell r="H3222" t="str">
            <v>FULACHE</v>
          </cell>
          <cell r="N3222">
            <v>1000</v>
          </cell>
          <cell r="Y3222">
            <v>46247</v>
          </cell>
          <cell r="Z3222">
            <v>2</v>
          </cell>
          <cell r="AA3222">
            <v>1000</v>
          </cell>
        </row>
        <row r="3223">
          <cell r="A3223">
            <v>46247</v>
          </cell>
          <cell r="D3223" t="str">
            <v>JOHANNAH 7</v>
          </cell>
          <cell r="E3223">
            <v>4</v>
          </cell>
          <cell r="H3223" t="str">
            <v>LAPU-LAPU</v>
          </cell>
          <cell r="N3223">
            <v>1000</v>
          </cell>
          <cell r="Y3223">
            <v>46247</v>
          </cell>
          <cell r="Z3223">
            <v>1</v>
          </cell>
          <cell r="AA3223">
            <v>1000</v>
          </cell>
        </row>
        <row r="3224">
          <cell r="A3224">
            <v>46247</v>
          </cell>
          <cell r="D3224" t="str">
            <v>ADOLFO SR</v>
          </cell>
          <cell r="E3224">
            <v>7</v>
          </cell>
          <cell r="H3224" t="str">
            <v>SAFISCOR</v>
          </cell>
          <cell r="N3224">
            <v>850</v>
          </cell>
          <cell r="Y3224">
            <v>46248</v>
          </cell>
          <cell r="Z3224">
            <v>1</v>
          </cell>
          <cell r="AA3224">
            <v>850</v>
          </cell>
        </row>
        <row r="3225">
          <cell r="A3225">
            <v>46247</v>
          </cell>
          <cell r="D3225" t="str">
            <v>ADOLFO SR</v>
          </cell>
          <cell r="E3225">
            <v>7</v>
          </cell>
          <cell r="H3225" t="str">
            <v>APLUS</v>
          </cell>
          <cell r="N3225">
            <v>1000</v>
          </cell>
          <cell r="Y3225">
            <v>46247</v>
          </cell>
          <cell r="Z3225">
            <v>1</v>
          </cell>
          <cell r="AA3225">
            <v>1000</v>
          </cell>
        </row>
        <row r="3226">
          <cell r="A3226">
            <v>46247</v>
          </cell>
          <cell r="D3226" t="str">
            <v>ADOLFO SR</v>
          </cell>
          <cell r="E3226">
            <v>7</v>
          </cell>
          <cell r="H3226" t="str">
            <v>SAFISCOR</v>
          </cell>
          <cell r="N3226">
            <v>500</v>
          </cell>
          <cell r="Y3226">
            <v>46247</v>
          </cell>
          <cell r="Z3226">
            <v>1</v>
          </cell>
          <cell r="AA3226">
            <v>500</v>
          </cell>
        </row>
        <row r="3227">
          <cell r="A3227">
            <v>46247</v>
          </cell>
          <cell r="D3227" t="str">
            <v>ADOLFO SR</v>
          </cell>
          <cell r="E3227">
            <v>7</v>
          </cell>
          <cell r="H3227" t="str">
            <v>SAFISCOR</v>
          </cell>
          <cell r="N3227">
            <v>500</v>
          </cell>
          <cell r="Y3227">
            <v>46247</v>
          </cell>
          <cell r="Z3227">
            <v>1</v>
          </cell>
          <cell r="AA3227">
            <v>500</v>
          </cell>
        </row>
        <row r="3228">
          <cell r="A3228">
            <v>46247</v>
          </cell>
          <cell r="D3228" t="str">
            <v>ADOLFO SR</v>
          </cell>
          <cell r="E3228">
            <v>7</v>
          </cell>
          <cell r="H3228" t="str">
            <v>SAFISCOR</v>
          </cell>
          <cell r="N3228">
            <v>500</v>
          </cell>
          <cell r="Y3228">
            <v>46247</v>
          </cell>
          <cell r="Z3228">
            <v>1</v>
          </cell>
          <cell r="AA3228">
            <v>500</v>
          </cell>
        </row>
        <row r="3229">
          <cell r="A3229">
            <v>46247</v>
          </cell>
          <cell r="D3229" t="str">
            <v>ADOLFO SR</v>
          </cell>
          <cell r="E3229">
            <v>7</v>
          </cell>
          <cell r="H3229" t="str">
            <v>SAFISCOR</v>
          </cell>
          <cell r="N3229">
            <v>1000</v>
          </cell>
          <cell r="Y3229">
            <v>46247</v>
          </cell>
          <cell r="Z3229">
            <v>1</v>
          </cell>
          <cell r="AA3229">
            <v>1000</v>
          </cell>
        </row>
        <row r="3230">
          <cell r="A3230">
            <v>46247</v>
          </cell>
          <cell r="D3230" t="str">
            <v>ADOLFO SR</v>
          </cell>
          <cell r="E3230">
            <v>7</v>
          </cell>
          <cell r="H3230" t="str">
            <v>SAFISCOR</v>
          </cell>
          <cell r="N3230">
            <v>1000</v>
          </cell>
          <cell r="Y3230">
            <v>46247</v>
          </cell>
          <cell r="Z3230">
            <v>2</v>
          </cell>
          <cell r="AA3230">
            <v>1000</v>
          </cell>
        </row>
        <row r="3231">
          <cell r="A3231">
            <v>46247</v>
          </cell>
          <cell r="D3231" t="str">
            <v>ADOLFO SR</v>
          </cell>
          <cell r="E3231">
            <v>7</v>
          </cell>
          <cell r="H3231" t="str">
            <v>SAFISCOR</v>
          </cell>
          <cell r="N3231">
            <v>1000</v>
          </cell>
          <cell r="Y3231">
            <v>46247</v>
          </cell>
          <cell r="Z3231">
            <v>2</v>
          </cell>
          <cell r="AA3231">
            <v>1000</v>
          </cell>
        </row>
        <row r="3232">
          <cell r="A3232">
            <v>46247</v>
          </cell>
          <cell r="D3232" t="str">
            <v>ADOLFO SR</v>
          </cell>
          <cell r="E3232">
            <v>7</v>
          </cell>
          <cell r="H3232" t="str">
            <v>SAFISCOR</v>
          </cell>
          <cell r="N3232">
            <v>1000</v>
          </cell>
          <cell r="Y3232">
            <v>46247</v>
          </cell>
          <cell r="Z3232">
            <v>1</v>
          </cell>
          <cell r="AA3232">
            <v>1000</v>
          </cell>
        </row>
        <row r="3233">
          <cell r="A3233">
            <v>46247</v>
          </cell>
          <cell r="D3233" t="str">
            <v>JOHANNAH 7</v>
          </cell>
          <cell r="E3233">
            <v>4</v>
          </cell>
          <cell r="H3233" t="str">
            <v>SAFISCOR</v>
          </cell>
          <cell r="N3233">
            <v>1000</v>
          </cell>
          <cell r="Y3233">
            <v>46247</v>
          </cell>
          <cell r="Z3233">
            <v>2</v>
          </cell>
          <cell r="AA3233">
            <v>1000</v>
          </cell>
        </row>
        <row r="3234">
          <cell r="A3234">
            <v>46247</v>
          </cell>
          <cell r="D3234" t="str">
            <v>ADOLFO SR</v>
          </cell>
          <cell r="E3234">
            <v>7</v>
          </cell>
          <cell r="H3234" t="str">
            <v>FULACHE</v>
          </cell>
          <cell r="N3234">
            <v>500</v>
          </cell>
          <cell r="Y3234">
            <v>46247</v>
          </cell>
          <cell r="Z3234">
            <v>2</v>
          </cell>
          <cell r="AA3234">
            <v>500</v>
          </cell>
        </row>
        <row r="3235">
          <cell r="A3235">
            <v>46247</v>
          </cell>
          <cell r="D3235" t="str">
            <v>ADOLFO SR</v>
          </cell>
          <cell r="E3235">
            <v>7</v>
          </cell>
          <cell r="H3235" t="str">
            <v>FULACHE</v>
          </cell>
          <cell r="N3235">
            <v>500</v>
          </cell>
          <cell r="Y3235">
            <v>46247</v>
          </cell>
          <cell r="Z3235">
            <v>2</v>
          </cell>
          <cell r="AA3235">
            <v>500</v>
          </cell>
        </row>
        <row r="3236">
          <cell r="A3236">
            <v>46247</v>
          </cell>
          <cell r="D3236" t="str">
            <v>ADOLFO SR</v>
          </cell>
          <cell r="E3236">
            <v>7</v>
          </cell>
          <cell r="H3236" t="str">
            <v>SAFISCOR</v>
          </cell>
          <cell r="N3236">
            <v>850</v>
          </cell>
          <cell r="Y3236">
            <v>46247</v>
          </cell>
          <cell r="Z3236">
            <v>2</v>
          </cell>
          <cell r="AA3236">
            <v>850</v>
          </cell>
        </row>
        <row r="3237">
          <cell r="A3237">
            <v>46247</v>
          </cell>
          <cell r="D3237" t="str">
            <v>ADOLFO SR</v>
          </cell>
          <cell r="E3237">
            <v>7</v>
          </cell>
          <cell r="H3237" t="str">
            <v>SAFISCOR</v>
          </cell>
          <cell r="N3237">
            <v>150</v>
          </cell>
          <cell r="Y3237">
            <v>46247</v>
          </cell>
          <cell r="Z3237">
            <v>2</v>
          </cell>
          <cell r="AA3237">
            <v>150</v>
          </cell>
        </row>
        <row r="3238">
          <cell r="A3238">
            <v>46247</v>
          </cell>
          <cell r="D3238" t="str">
            <v>ADOLFO SR</v>
          </cell>
          <cell r="E3238">
            <v>7</v>
          </cell>
          <cell r="H3238" t="str">
            <v>LAPU-LAPU</v>
          </cell>
          <cell r="N3238">
            <v>1000</v>
          </cell>
          <cell r="Y3238">
            <v>46247</v>
          </cell>
          <cell r="Z3238">
            <v>1</v>
          </cell>
          <cell r="AA3238">
            <v>1000</v>
          </cell>
        </row>
        <row r="3239">
          <cell r="A3239">
            <v>46247</v>
          </cell>
          <cell r="D3239" t="str">
            <v>JOHANNAH 7</v>
          </cell>
          <cell r="E3239">
            <v>4</v>
          </cell>
          <cell r="H3239" t="str">
            <v>SAFISCOR</v>
          </cell>
          <cell r="N3239">
            <v>1000</v>
          </cell>
          <cell r="Y3239">
            <v>46248</v>
          </cell>
          <cell r="Z3239">
            <v>1</v>
          </cell>
          <cell r="AA3239">
            <v>1000</v>
          </cell>
        </row>
        <row r="3240">
          <cell r="A3240">
            <v>46247</v>
          </cell>
          <cell r="D3240" t="str">
            <v>JOHANNAH 7</v>
          </cell>
          <cell r="E3240">
            <v>4</v>
          </cell>
          <cell r="H3240" t="str">
            <v>SAFISCOR</v>
          </cell>
          <cell r="N3240">
            <v>1000</v>
          </cell>
          <cell r="Y3240">
            <v>46248</v>
          </cell>
          <cell r="Z3240">
            <v>2</v>
          </cell>
          <cell r="AA3240">
            <v>1000</v>
          </cell>
        </row>
        <row r="3241">
          <cell r="A3241">
            <v>46247</v>
          </cell>
          <cell r="D3241" t="str">
            <v>STAR DINAGAT</v>
          </cell>
          <cell r="E3241">
            <v>1</v>
          </cell>
          <cell r="H3241" t="str">
            <v>BADIE</v>
          </cell>
          <cell r="N3241">
            <v>1000</v>
          </cell>
          <cell r="Y3241">
            <v>46247</v>
          </cell>
          <cell r="Z3241">
            <v>2</v>
          </cell>
          <cell r="AA3241">
            <v>1000</v>
          </cell>
        </row>
        <row r="3242">
          <cell r="A3242">
            <v>46247</v>
          </cell>
          <cell r="D3242" t="str">
            <v>ADOLFO SR</v>
          </cell>
          <cell r="E3242">
            <v>7</v>
          </cell>
          <cell r="H3242" t="str">
            <v>LAPU-LAPU</v>
          </cell>
          <cell r="N3242">
            <v>1000</v>
          </cell>
          <cell r="Y3242">
            <v>46247</v>
          </cell>
          <cell r="Z3242">
            <v>2</v>
          </cell>
          <cell r="AA3242">
            <v>1000</v>
          </cell>
        </row>
        <row r="3243">
          <cell r="A3243">
            <v>46247</v>
          </cell>
          <cell r="D3243" t="str">
            <v>JOHANNAH 7</v>
          </cell>
          <cell r="E3243">
            <v>4</v>
          </cell>
          <cell r="H3243" t="str">
            <v>SAFISCOR</v>
          </cell>
          <cell r="N3243">
            <v>1000</v>
          </cell>
          <cell r="Y3243">
            <v>46248</v>
          </cell>
          <cell r="Z3243">
            <v>2</v>
          </cell>
          <cell r="AA3243">
            <v>1000</v>
          </cell>
        </row>
        <row r="3244">
          <cell r="A3244">
            <v>46247</v>
          </cell>
          <cell r="D3244" t="str">
            <v>STAR DINAGAT</v>
          </cell>
          <cell r="E3244">
            <v>1</v>
          </cell>
          <cell r="H3244" t="str">
            <v>APLUS</v>
          </cell>
          <cell r="N3244">
            <v>1000</v>
          </cell>
          <cell r="Y3244">
            <v>46247</v>
          </cell>
          <cell r="Z3244">
            <v>2</v>
          </cell>
          <cell r="AA3244">
            <v>1000</v>
          </cell>
        </row>
        <row r="3245">
          <cell r="A3245">
            <v>46247</v>
          </cell>
          <cell r="D3245" t="str">
            <v>ADOLFO SR</v>
          </cell>
          <cell r="E3245">
            <v>7</v>
          </cell>
          <cell r="H3245" t="str">
            <v>SAFISCOR</v>
          </cell>
          <cell r="N3245">
            <v>850</v>
          </cell>
          <cell r="Y3245">
            <v>46248</v>
          </cell>
          <cell r="Z3245">
            <v>1</v>
          </cell>
          <cell r="AA3245">
            <v>850</v>
          </cell>
        </row>
        <row r="3246">
          <cell r="A3246">
            <v>46247</v>
          </cell>
          <cell r="D3246" t="str">
            <v>ADOLFO SR</v>
          </cell>
          <cell r="E3246">
            <v>7</v>
          </cell>
          <cell r="H3246" t="str">
            <v>SAFISCOR</v>
          </cell>
          <cell r="N3246">
            <v>150</v>
          </cell>
          <cell r="Y3246">
            <v>46247</v>
          </cell>
          <cell r="Z3246">
            <v>2</v>
          </cell>
          <cell r="AA3246">
            <v>150</v>
          </cell>
        </row>
        <row r="3247">
          <cell r="A3247">
            <v>46247</v>
          </cell>
          <cell r="D3247" t="str">
            <v>JOHANNAH 7</v>
          </cell>
          <cell r="E3247">
            <v>4</v>
          </cell>
          <cell r="H3247" t="str">
            <v>GEO</v>
          </cell>
          <cell r="N3247">
            <v>1000</v>
          </cell>
          <cell r="Y3247">
            <v>46247</v>
          </cell>
          <cell r="Z3247">
            <v>1</v>
          </cell>
          <cell r="AA3247">
            <v>1000</v>
          </cell>
        </row>
        <row r="3248">
          <cell r="A3248">
            <v>46247</v>
          </cell>
          <cell r="D3248" t="str">
            <v>ADOLFO SR</v>
          </cell>
          <cell r="E3248">
            <v>7</v>
          </cell>
          <cell r="H3248" t="str">
            <v>GEO</v>
          </cell>
          <cell r="N3248">
            <v>1000</v>
          </cell>
          <cell r="Y3248">
            <v>46247</v>
          </cell>
          <cell r="Z3248">
            <v>1</v>
          </cell>
          <cell r="AA3248">
            <v>1000</v>
          </cell>
        </row>
        <row r="3249">
          <cell r="A3249">
            <v>46247</v>
          </cell>
          <cell r="D3249" t="str">
            <v>STAR DINAGAT</v>
          </cell>
          <cell r="E3249">
            <v>1</v>
          </cell>
          <cell r="H3249" t="str">
            <v>SAFISCOR</v>
          </cell>
          <cell r="N3249">
            <v>1000</v>
          </cell>
          <cell r="Y3249">
            <v>46247</v>
          </cell>
          <cell r="Z3249">
            <v>2</v>
          </cell>
          <cell r="AA3249">
            <v>1000</v>
          </cell>
        </row>
        <row r="3250">
          <cell r="A3250">
            <v>46247</v>
          </cell>
          <cell r="D3250" t="str">
            <v>JOHANNAH 7</v>
          </cell>
          <cell r="E3250">
            <v>4</v>
          </cell>
          <cell r="H3250" t="str">
            <v>SAFISCOR</v>
          </cell>
          <cell r="N3250">
            <v>1000</v>
          </cell>
          <cell r="Y3250">
            <v>46247</v>
          </cell>
          <cell r="Z3250">
            <v>2</v>
          </cell>
          <cell r="AA3250">
            <v>1000</v>
          </cell>
        </row>
        <row r="3251">
          <cell r="A3251">
            <v>46247</v>
          </cell>
          <cell r="D3251" t="str">
            <v>JOHANNAH 7</v>
          </cell>
          <cell r="E3251">
            <v>4</v>
          </cell>
          <cell r="H3251" t="str">
            <v>SAFISCOR</v>
          </cell>
          <cell r="N3251">
            <v>1000</v>
          </cell>
          <cell r="Y3251">
            <v>46248</v>
          </cell>
          <cell r="Z3251">
            <v>1</v>
          </cell>
          <cell r="AA3251">
            <v>1000</v>
          </cell>
        </row>
        <row r="3252">
          <cell r="A3252">
            <v>46247</v>
          </cell>
          <cell r="D3252" t="str">
            <v>LADY OF REMEDY</v>
          </cell>
          <cell r="E3252">
            <v>5</v>
          </cell>
          <cell r="H3252" t="str">
            <v>SAFISCOR</v>
          </cell>
          <cell r="N3252">
            <v>1000</v>
          </cell>
          <cell r="Y3252">
            <v>46247</v>
          </cell>
          <cell r="Z3252">
            <v>2</v>
          </cell>
          <cell r="AA3252">
            <v>1000</v>
          </cell>
        </row>
        <row r="3253">
          <cell r="A3253">
            <v>46247</v>
          </cell>
          <cell r="D3253" t="str">
            <v>LADY OF REMEDY</v>
          </cell>
          <cell r="E3253">
            <v>5</v>
          </cell>
          <cell r="H3253" t="str">
            <v>SAFISCOR</v>
          </cell>
          <cell r="N3253">
            <v>1000</v>
          </cell>
          <cell r="Y3253">
            <v>46247</v>
          </cell>
          <cell r="Z3253">
            <v>2</v>
          </cell>
          <cell r="AA3253">
            <v>1000</v>
          </cell>
        </row>
        <row r="3254">
          <cell r="A3254">
            <v>46247</v>
          </cell>
          <cell r="D3254" t="str">
            <v>LADY OF REMEDY</v>
          </cell>
          <cell r="E3254">
            <v>5</v>
          </cell>
          <cell r="H3254" t="str">
            <v>SAFISCOR</v>
          </cell>
          <cell r="N3254">
            <v>1000</v>
          </cell>
          <cell r="Y3254">
            <v>46247</v>
          </cell>
          <cell r="Z3254">
            <v>2</v>
          </cell>
          <cell r="AA3254">
            <v>1000</v>
          </cell>
        </row>
        <row r="3255">
          <cell r="A3255">
            <v>46247</v>
          </cell>
          <cell r="D3255" t="str">
            <v>STAR DINAGAT</v>
          </cell>
          <cell r="E3255">
            <v>1</v>
          </cell>
          <cell r="H3255" t="str">
            <v>LAPU-LAPU</v>
          </cell>
          <cell r="N3255">
            <v>1000</v>
          </cell>
          <cell r="Y3255">
            <v>46247</v>
          </cell>
          <cell r="Z3255">
            <v>2</v>
          </cell>
          <cell r="AA3255">
            <v>1000</v>
          </cell>
        </row>
        <row r="3256">
          <cell r="A3256">
            <v>46247</v>
          </cell>
          <cell r="D3256" t="str">
            <v>QUEEN CAROLYN</v>
          </cell>
          <cell r="E3256">
            <v>6</v>
          </cell>
          <cell r="H3256" t="str">
            <v>SAFISCOR</v>
          </cell>
          <cell r="N3256">
            <v>1000</v>
          </cell>
          <cell r="Y3256">
            <v>46247</v>
          </cell>
          <cell r="Z3256">
            <v>2</v>
          </cell>
          <cell r="AA3256">
            <v>1000</v>
          </cell>
        </row>
        <row r="3257">
          <cell r="A3257">
            <v>46247</v>
          </cell>
          <cell r="D3257" t="str">
            <v>STAR DINAGAT</v>
          </cell>
          <cell r="E3257">
            <v>1</v>
          </cell>
          <cell r="H3257" t="str">
            <v>SAFISCOR</v>
          </cell>
          <cell r="N3257">
            <v>1000</v>
          </cell>
          <cell r="Y3257">
            <v>46247</v>
          </cell>
          <cell r="Z3257">
            <v>2</v>
          </cell>
          <cell r="AA3257">
            <v>1000</v>
          </cell>
        </row>
        <row r="3258">
          <cell r="A3258">
            <v>46247</v>
          </cell>
          <cell r="D3258" t="str">
            <v>LADY OF REMEDY</v>
          </cell>
          <cell r="E3258">
            <v>5</v>
          </cell>
          <cell r="H3258" t="str">
            <v>SAFISCOR</v>
          </cell>
          <cell r="N3258">
            <v>1000</v>
          </cell>
          <cell r="Y3258">
            <v>46247</v>
          </cell>
          <cell r="Z3258">
            <v>2</v>
          </cell>
          <cell r="AA3258">
            <v>1000</v>
          </cell>
        </row>
        <row r="3259">
          <cell r="A3259">
            <v>46247</v>
          </cell>
          <cell r="D3259" t="str">
            <v>LADY OF REMEDY</v>
          </cell>
          <cell r="E3259">
            <v>5</v>
          </cell>
          <cell r="H3259" t="str">
            <v>SAFISCOR</v>
          </cell>
          <cell r="N3259">
            <v>1000</v>
          </cell>
          <cell r="Y3259">
            <v>46247</v>
          </cell>
          <cell r="Z3259">
            <v>2</v>
          </cell>
          <cell r="AA3259">
            <v>1000</v>
          </cell>
        </row>
        <row r="3260">
          <cell r="A3260">
            <v>46247</v>
          </cell>
          <cell r="D3260" t="str">
            <v>LADY OF REMEDY</v>
          </cell>
          <cell r="E3260">
            <v>5</v>
          </cell>
          <cell r="H3260" t="str">
            <v>LAPU-LAPU</v>
          </cell>
          <cell r="N3260">
            <v>1000</v>
          </cell>
          <cell r="Y3260">
            <v>46247</v>
          </cell>
          <cell r="Z3260">
            <v>2</v>
          </cell>
          <cell r="AA3260">
            <v>1000</v>
          </cell>
        </row>
        <row r="3261">
          <cell r="A3261">
            <v>46247</v>
          </cell>
          <cell r="D3261" t="str">
            <v>STAR DINAGAT</v>
          </cell>
          <cell r="E3261">
            <v>1</v>
          </cell>
          <cell r="H3261" t="str">
            <v>GEO</v>
          </cell>
          <cell r="N3261">
            <v>1000</v>
          </cell>
          <cell r="Y3261">
            <v>46248</v>
          </cell>
          <cell r="Z3261">
            <v>1</v>
          </cell>
          <cell r="AA3261">
            <v>1000</v>
          </cell>
        </row>
        <row r="3262">
          <cell r="A3262">
            <v>46247</v>
          </cell>
          <cell r="D3262" t="str">
            <v>ADOLFO SR</v>
          </cell>
          <cell r="E3262">
            <v>7</v>
          </cell>
          <cell r="H3262" t="str">
            <v>SAFISCOR</v>
          </cell>
          <cell r="N3262">
            <v>1000</v>
          </cell>
          <cell r="Y3262">
            <v>46248</v>
          </cell>
          <cell r="Z3262">
            <v>1</v>
          </cell>
          <cell r="AA3262">
            <v>1000</v>
          </cell>
        </row>
        <row r="3263">
          <cell r="A3263">
            <v>46247</v>
          </cell>
          <cell r="D3263" t="str">
            <v>ADOLFO SR</v>
          </cell>
          <cell r="E3263">
            <v>7</v>
          </cell>
          <cell r="H3263" t="str">
            <v>SAFISCOR</v>
          </cell>
          <cell r="N3263">
            <v>1000</v>
          </cell>
          <cell r="Y3263">
            <v>46248</v>
          </cell>
          <cell r="Z3263">
            <v>1</v>
          </cell>
          <cell r="AA3263">
            <v>1000</v>
          </cell>
        </row>
        <row r="3264">
          <cell r="A3264">
            <v>46247</v>
          </cell>
          <cell r="D3264" t="str">
            <v>QUEEN CAROLYN</v>
          </cell>
          <cell r="E3264">
            <v>6</v>
          </cell>
          <cell r="H3264" t="str">
            <v>SAFISCOR</v>
          </cell>
          <cell r="N3264">
            <v>1000</v>
          </cell>
          <cell r="Y3264">
            <v>46247</v>
          </cell>
          <cell r="Z3264">
            <v>2</v>
          </cell>
          <cell r="AA3264">
            <v>1000</v>
          </cell>
        </row>
        <row r="3265">
          <cell r="A3265">
            <v>46247</v>
          </cell>
          <cell r="D3265" t="str">
            <v>LADY OF REMEDY</v>
          </cell>
          <cell r="E3265">
            <v>5</v>
          </cell>
          <cell r="H3265" t="str">
            <v>SAFISCOR</v>
          </cell>
          <cell r="N3265">
            <v>1000</v>
          </cell>
          <cell r="Y3265">
            <v>46247</v>
          </cell>
          <cell r="Z3265">
            <v>2</v>
          </cell>
          <cell r="AA3265">
            <v>1000</v>
          </cell>
        </row>
        <row r="3266">
          <cell r="A3266">
            <v>46247</v>
          </cell>
          <cell r="D3266" t="str">
            <v>ADOLFO SR</v>
          </cell>
          <cell r="E3266">
            <v>7</v>
          </cell>
          <cell r="H3266" t="str">
            <v>SAFISCOR</v>
          </cell>
          <cell r="N3266">
            <v>1000</v>
          </cell>
          <cell r="Y3266">
            <v>46248</v>
          </cell>
          <cell r="Z3266">
            <v>1</v>
          </cell>
          <cell r="AA3266">
            <v>1000</v>
          </cell>
        </row>
        <row r="3267">
          <cell r="A3267">
            <v>46247</v>
          </cell>
          <cell r="D3267" t="str">
            <v>QUEEN CAROLYN</v>
          </cell>
          <cell r="E3267">
            <v>6</v>
          </cell>
          <cell r="H3267" t="str">
            <v>SAFISCOR</v>
          </cell>
          <cell r="N3267">
            <v>1000</v>
          </cell>
          <cell r="Y3267">
            <v>46247</v>
          </cell>
          <cell r="Z3267">
            <v>2</v>
          </cell>
          <cell r="AA3267">
            <v>1000</v>
          </cell>
        </row>
        <row r="3268">
          <cell r="A3268">
            <v>46247</v>
          </cell>
          <cell r="D3268" t="str">
            <v>STAR DINAGAT</v>
          </cell>
          <cell r="E3268">
            <v>1</v>
          </cell>
          <cell r="H3268" t="str">
            <v>LAPU-LAPU</v>
          </cell>
          <cell r="N3268">
            <v>1000</v>
          </cell>
          <cell r="Y3268">
            <v>46247</v>
          </cell>
          <cell r="Z3268">
            <v>2</v>
          </cell>
          <cell r="AA3268">
            <v>1000</v>
          </cell>
        </row>
        <row r="3269">
          <cell r="A3269">
            <v>46247</v>
          </cell>
          <cell r="D3269" t="str">
            <v>LADY OF REMEDY</v>
          </cell>
          <cell r="E3269">
            <v>5</v>
          </cell>
          <cell r="H3269" t="str">
            <v>FULACHE</v>
          </cell>
          <cell r="N3269">
            <v>1000</v>
          </cell>
          <cell r="Y3269">
            <v>46247</v>
          </cell>
          <cell r="Z3269">
            <v>2</v>
          </cell>
          <cell r="AA3269">
            <v>1000</v>
          </cell>
        </row>
        <row r="3270">
          <cell r="A3270">
            <v>46247</v>
          </cell>
          <cell r="D3270" t="str">
            <v>ADOLFO SR</v>
          </cell>
          <cell r="E3270">
            <v>7</v>
          </cell>
          <cell r="H3270" t="str">
            <v>SAFISCOR</v>
          </cell>
          <cell r="N3270">
            <v>1000</v>
          </cell>
          <cell r="Y3270">
            <v>46248</v>
          </cell>
          <cell r="Z3270">
            <v>1</v>
          </cell>
          <cell r="AA3270">
            <v>1000</v>
          </cell>
        </row>
        <row r="3271">
          <cell r="A3271">
            <v>46247</v>
          </cell>
          <cell r="D3271" t="str">
            <v>JOHANNAH 7</v>
          </cell>
          <cell r="E3271">
            <v>4</v>
          </cell>
          <cell r="H3271" t="str">
            <v>SAFISCOR</v>
          </cell>
          <cell r="N3271">
            <v>1000</v>
          </cell>
          <cell r="Y3271">
            <v>46248</v>
          </cell>
          <cell r="Z3271">
            <v>2</v>
          </cell>
          <cell r="AA3271">
            <v>1000</v>
          </cell>
        </row>
        <row r="3272">
          <cell r="A3272">
            <v>46247</v>
          </cell>
          <cell r="D3272" t="str">
            <v>QUEEN CAROLYN</v>
          </cell>
          <cell r="E3272">
            <v>6</v>
          </cell>
          <cell r="H3272" t="str">
            <v>SAFISCOR</v>
          </cell>
          <cell r="N3272">
            <v>1000</v>
          </cell>
          <cell r="Y3272">
            <v>46247</v>
          </cell>
          <cell r="Z3272">
            <v>2</v>
          </cell>
          <cell r="AA3272">
            <v>1000</v>
          </cell>
        </row>
        <row r="3273">
          <cell r="A3273">
            <v>46247</v>
          </cell>
          <cell r="D3273" t="str">
            <v>STAR DINAGAT</v>
          </cell>
          <cell r="E3273">
            <v>1</v>
          </cell>
          <cell r="H3273" t="str">
            <v>GEO</v>
          </cell>
          <cell r="N3273">
            <v>1000</v>
          </cell>
          <cell r="Y3273">
            <v>46248</v>
          </cell>
          <cell r="Z3273">
            <v>1</v>
          </cell>
          <cell r="AA3273">
            <v>1000</v>
          </cell>
        </row>
        <row r="3274">
          <cell r="A3274">
            <v>46247</v>
          </cell>
          <cell r="D3274" t="str">
            <v>ADOLFO SR</v>
          </cell>
          <cell r="E3274">
            <v>7</v>
          </cell>
          <cell r="H3274" t="str">
            <v>SAFISCOR</v>
          </cell>
          <cell r="N3274">
            <v>1000</v>
          </cell>
          <cell r="Y3274">
            <v>46248</v>
          </cell>
          <cell r="Z3274">
            <v>1</v>
          </cell>
          <cell r="AA3274">
            <v>1000</v>
          </cell>
        </row>
        <row r="3275">
          <cell r="A3275">
            <v>46247</v>
          </cell>
          <cell r="D3275" t="str">
            <v>ADOLFO SR</v>
          </cell>
          <cell r="E3275">
            <v>7</v>
          </cell>
          <cell r="H3275" t="str">
            <v>SAFISCOR</v>
          </cell>
          <cell r="N3275">
            <v>1000</v>
          </cell>
          <cell r="Y3275">
            <v>46248</v>
          </cell>
          <cell r="Z3275">
            <v>1</v>
          </cell>
          <cell r="AA3275">
            <v>1000</v>
          </cell>
        </row>
        <row r="3276">
          <cell r="A3276">
            <v>46247</v>
          </cell>
          <cell r="D3276" t="str">
            <v>STAR DINAGAT</v>
          </cell>
          <cell r="E3276">
            <v>1</v>
          </cell>
          <cell r="H3276" t="str">
            <v>SAFISCOR</v>
          </cell>
          <cell r="N3276">
            <v>1000</v>
          </cell>
          <cell r="Y3276">
            <v>46247</v>
          </cell>
          <cell r="Z3276">
            <v>2</v>
          </cell>
          <cell r="AA3276">
            <v>1000</v>
          </cell>
        </row>
        <row r="3277">
          <cell r="A3277">
            <v>46247</v>
          </cell>
          <cell r="D3277" t="str">
            <v>ADOLFO SR</v>
          </cell>
          <cell r="E3277">
            <v>7</v>
          </cell>
          <cell r="H3277" t="str">
            <v>SAFISCOR</v>
          </cell>
          <cell r="N3277">
            <v>1000</v>
          </cell>
          <cell r="Y3277">
            <v>45518</v>
          </cell>
          <cell r="Z3277">
            <v>1</v>
          </cell>
          <cell r="AA3277">
            <v>1000</v>
          </cell>
        </row>
        <row r="3278">
          <cell r="A3278">
            <v>46247</v>
          </cell>
          <cell r="D3278" t="str">
            <v>LADY OF REMEDY</v>
          </cell>
          <cell r="E3278">
            <v>5</v>
          </cell>
          <cell r="H3278" t="str">
            <v>GEO</v>
          </cell>
          <cell r="N3278">
            <v>1000</v>
          </cell>
          <cell r="Y3278">
            <v>46248</v>
          </cell>
          <cell r="Z3278">
            <v>1</v>
          </cell>
          <cell r="AA3278">
            <v>1000</v>
          </cell>
        </row>
        <row r="3279">
          <cell r="A3279">
            <v>46247</v>
          </cell>
          <cell r="D3279" t="str">
            <v>LADY OF REMEDY</v>
          </cell>
          <cell r="E3279">
            <v>5</v>
          </cell>
          <cell r="H3279" t="str">
            <v>SAFISCOR</v>
          </cell>
          <cell r="N3279">
            <v>1000</v>
          </cell>
          <cell r="Y3279">
            <v>46248</v>
          </cell>
          <cell r="Z3279">
            <v>1</v>
          </cell>
          <cell r="AA3279">
            <v>1000</v>
          </cell>
        </row>
        <row r="3280">
          <cell r="A3280">
            <v>46247</v>
          </cell>
          <cell r="D3280" t="str">
            <v>LADY OF REMEDY</v>
          </cell>
          <cell r="E3280">
            <v>5</v>
          </cell>
          <cell r="H3280" t="str">
            <v>SAFISCOR</v>
          </cell>
          <cell r="N3280">
            <v>1000</v>
          </cell>
          <cell r="Y3280">
            <v>46248</v>
          </cell>
          <cell r="Z3280">
            <v>1</v>
          </cell>
          <cell r="AA3280">
            <v>1000</v>
          </cell>
        </row>
        <row r="3281">
          <cell r="A3281">
            <v>46247</v>
          </cell>
          <cell r="D3281" t="str">
            <v>LADY OF REMEDY</v>
          </cell>
          <cell r="E3281">
            <v>5</v>
          </cell>
          <cell r="H3281" t="str">
            <v>SAFISCOR</v>
          </cell>
          <cell r="N3281">
            <v>1000</v>
          </cell>
          <cell r="Y3281">
            <v>46248</v>
          </cell>
          <cell r="Z3281">
            <v>1</v>
          </cell>
          <cell r="AA3281">
            <v>1000</v>
          </cell>
        </row>
        <row r="3282">
          <cell r="A3282">
            <v>46247</v>
          </cell>
          <cell r="D3282" t="str">
            <v>STAR DINAGAT</v>
          </cell>
          <cell r="E3282">
            <v>1</v>
          </cell>
          <cell r="H3282" t="str">
            <v>SAFISCOR</v>
          </cell>
          <cell r="N3282">
            <v>1000</v>
          </cell>
          <cell r="Y3282">
            <v>46247</v>
          </cell>
          <cell r="Z3282">
            <v>2</v>
          </cell>
          <cell r="AA3282">
            <v>1000</v>
          </cell>
        </row>
        <row r="3283">
          <cell r="A3283">
            <v>46247</v>
          </cell>
          <cell r="D3283" t="str">
            <v>ADOLFO SR</v>
          </cell>
          <cell r="E3283">
            <v>7</v>
          </cell>
          <cell r="H3283" t="str">
            <v>SAFISCOR</v>
          </cell>
          <cell r="N3283">
            <v>150</v>
          </cell>
          <cell r="Y3283">
            <v>46248</v>
          </cell>
          <cell r="Z3283">
            <v>1</v>
          </cell>
          <cell r="AA3283">
            <v>150</v>
          </cell>
        </row>
        <row r="3284">
          <cell r="A3284">
            <v>46247</v>
          </cell>
          <cell r="D3284" t="str">
            <v>LADY OF REMEDY</v>
          </cell>
          <cell r="E3284">
            <v>5</v>
          </cell>
          <cell r="H3284" t="str">
            <v>SAFISCOR</v>
          </cell>
          <cell r="N3284">
            <v>850</v>
          </cell>
          <cell r="Y3284">
            <v>46248</v>
          </cell>
          <cell r="Z3284">
            <v>1</v>
          </cell>
          <cell r="AA3284">
            <v>850</v>
          </cell>
        </row>
        <row r="3285">
          <cell r="A3285">
            <v>46247</v>
          </cell>
          <cell r="D3285" t="str">
            <v>QUEEN CAROLYN</v>
          </cell>
          <cell r="E3285">
            <v>6</v>
          </cell>
          <cell r="H3285" t="str">
            <v>SAFISCOR</v>
          </cell>
          <cell r="N3285">
            <v>1000</v>
          </cell>
          <cell r="Y3285">
            <v>46248</v>
          </cell>
          <cell r="Z3285">
            <v>1</v>
          </cell>
          <cell r="AA3285">
            <v>1000</v>
          </cell>
        </row>
        <row r="3286">
          <cell r="A3286">
            <v>46247</v>
          </cell>
          <cell r="D3286" t="str">
            <v>QUEEN CAROLYN</v>
          </cell>
          <cell r="E3286">
            <v>6</v>
          </cell>
          <cell r="H3286" t="str">
            <v>SAFISCOR</v>
          </cell>
          <cell r="N3286">
            <v>1000</v>
          </cell>
          <cell r="Y3286">
            <v>46248</v>
          </cell>
          <cell r="Z3286">
            <v>1</v>
          </cell>
          <cell r="AA3286">
            <v>1000</v>
          </cell>
        </row>
        <row r="3287">
          <cell r="A3287">
            <v>46247</v>
          </cell>
          <cell r="D3287" t="str">
            <v>QUEEN CAROLYN</v>
          </cell>
          <cell r="E3287">
            <v>6</v>
          </cell>
          <cell r="H3287" t="str">
            <v>SAFISCOR</v>
          </cell>
          <cell r="N3287">
            <v>1000</v>
          </cell>
          <cell r="Y3287">
            <v>46248</v>
          </cell>
          <cell r="Z3287">
            <v>1</v>
          </cell>
          <cell r="AA3287">
            <v>1000</v>
          </cell>
        </row>
        <row r="3288">
          <cell r="A3288">
            <v>46247</v>
          </cell>
          <cell r="D3288" t="str">
            <v>JOHANNAH 7</v>
          </cell>
          <cell r="E3288">
            <v>4</v>
          </cell>
          <cell r="H3288" t="str">
            <v>SAFISCOR</v>
          </cell>
          <cell r="N3288">
            <v>1000</v>
          </cell>
          <cell r="Y3288">
            <v>46247</v>
          </cell>
          <cell r="Z3288">
            <v>2</v>
          </cell>
          <cell r="AA3288">
            <v>1000</v>
          </cell>
        </row>
        <row r="3289">
          <cell r="A3289">
            <v>46248</v>
          </cell>
          <cell r="D3289" t="str">
            <v>STAR DINAGAT</v>
          </cell>
          <cell r="E3289">
            <v>1</v>
          </cell>
          <cell r="H3289" t="str">
            <v>SAFISCOR</v>
          </cell>
          <cell r="N3289">
            <v>1000</v>
          </cell>
          <cell r="Y3289">
            <v>46248</v>
          </cell>
          <cell r="Z3289">
            <v>1</v>
          </cell>
          <cell r="AA3289">
            <v>1000</v>
          </cell>
        </row>
        <row r="3290">
          <cell r="A3290">
            <v>46248</v>
          </cell>
          <cell r="D3290" t="str">
            <v>STAR DINAGAT</v>
          </cell>
          <cell r="E3290">
            <v>1</v>
          </cell>
          <cell r="H3290" t="str">
            <v>SAFISCOR</v>
          </cell>
          <cell r="N3290">
            <v>1000</v>
          </cell>
          <cell r="Y3290">
            <v>46248</v>
          </cell>
          <cell r="Z3290">
            <v>1</v>
          </cell>
          <cell r="AA3290">
            <v>1000</v>
          </cell>
        </row>
        <row r="3291">
          <cell r="A3291">
            <v>46248</v>
          </cell>
          <cell r="D3291" t="str">
            <v>LADY OF REMEDY</v>
          </cell>
          <cell r="E3291">
            <v>5</v>
          </cell>
          <cell r="H3291" t="str">
            <v>SAFISCOR</v>
          </cell>
          <cell r="N3291">
            <v>1000</v>
          </cell>
          <cell r="Y3291">
            <v>46248</v>
          </cell>
          <cell r="Z3291">
            <v>1</v>
          </cell>
          <cell r="AA3291">
            <v>1000</v>
          </cell>
        </row>
        <row r="3292">
          <cell r="A3292">
            <v>46248</v>
          </cell>
          <cell r="D3292" t="str">
            <v>LADY OF REMEDY</v>
          </cell>
          <cell r="E3292">
            <v>5</v>
          </cell>
          <cell r="H3292" t="str">
            <v>SAFISCOR</v>
          </cell>
          <cell r="N3292">
            <v>1000</v>
          </cell>
          <cell r="Y3292">
            <v>46248</v>
          </cell>
          <cell r="Z3292">
            <v>1</v>
          </cell>
          <cell r="AA3292">
            <v>1000</v>
          </cell>
        </row>
        <row r="3293">
          <cell r="A3293">
            <v>46248</v>
          </cell>
          <cell r="D3293" t="str">
            <v>LADY OF REMEDY</v>
          </cell>
          <cell r="E3293">
            <v>5</v>
          </cell>
          <cell r="H3293" t="str">
            <v>GEO</v>
          </cell>
          <cell r="N3293">
            <v>1000</v>
          </cell>
          <cell r="Y3293">
            <v>46248</v>
          </cell>
          <cell r="Z3293">
            <v>1</v>
          </cell>
          <cell r="AA3293">
            <v>1000</v>
          </cell>
        </row>
        <row r="3294">
          <cell r="A3294">
            <v>46248</v>
          </cell>
          <cell r="D3294" t="str">
            <v>JOHANNAH 7</v>
          </cell>
          <cell r="E3294">
            <v>4</v>
          </cell>
          <cell r="H3294" t="str">
            <v>SAFISCOR</v>
          </cell>
          <cell r="N3294">
            <v>1000</v>
          </cell>
          <cell r="Y3294">
            <v>46248</v>
          </cell>
          <cell r="Z3294">
            <v>1</v>
          </cell>
          <cell r="AA3294">
            <v>1000</v>
          </cell>
        </row>
        <row r="3295">
          <cell r="A3295">
            <v>46248</v>
          </cell>
          <cell r="D3295" t="str">
            <v>STAR DINAGAT</v>
          </cell>
          <cell r="E3295">
            <v>1</v>
          </cell>
          <cell r="H3295" t="str">
            <v>LAPU-LAPU</v>
          </cell>
          <cell r="N3295">
            <v>1000</v>
          </cell>
          <cell r="Y3295">
            <v>46248</v>
          </cell>
          <cell r="Z3295">
            <v>1</v>
          </cell>
          <cell r="AA3295">
            <v>1000</v>
          </cell>
        </row>
        <row r="3296">
          <cell r="A3296">
            <v>46248</v>
          </cell>
          <cell r="D3296" t="str">
            <v>JOHANNAH 7</v>
          </cell>
          <cell r="E3296">
            <v>4</v>
          </cell>
          <cell r="H3296" t="str">
            <v>SAFISCOR</v>
          </cell>
          <cell r="N3296">
            <v>1000</v>
          </cell>
          <cell r="Y3296">
            <v>46248</v>
          </cell>
          <cell r="Z3296">
            <v>1</v>
          </cell>
          <cell r="AA3296">
            <v>1000</v>
          </cell>
        </row>
        <row r="3297">
          <cell r="A3297">
            <v>46248</v>
          </cell>
          <cell r="D3297" t="str">
            <v>LADY OF REMEDY</v>
          </cell>
          <cell r="E3297">
            <v>5</v>
          </cell>
          <cell r="H3297" t="str">
            <v>SAFISCOR</v>
          </cell>
          <cell r="N3297">
            <v>400</v>
          </cell>
          <cell r="Y3297">
            <v>46248</v>
          </cell>
          <cell r="Z3297">
            <v>1</v>
          </cell>
          <cell r="AA3297">
            <v>400</v>
          </cell>
        </row>
        <row r="3298">
          <cell r="A3298">
            <v>46248</v>
          </cell>
          <cell r="D3298" t="str">
            <v>STAR DINAGAT</v>
          </cell>
          <cell r="E3298">
            <v>1</v>
          </cell>
          <cell r="H3298" t="str">
            <v>SAFISCOR</v>
          </cell>
          <cell r="N3298">
            <v>600</v>
          </cell>
          <cell r="Y3298">
            <v>46248</v>
          </cell>
          <cell r="Z3298">
            <v>2</v>
          </cell>
          <cell r="AA3298">
            <v>600</v>
          </cell>
        </row>
        <row r="3299">
          <cell r="A3299">
            <v>46248</v>
          </cell>
          <cell r="D3299" t="str">
            <v>STAR DINAGAT</v>
          </cell>
          <cell r="E3299">
            <v>1</v>
          </cell>
          <cell r="H3299" t="str">
            <v>SAFISCOR</v>
          </cell>
          <cell r="N3299">
            <v>1000</v>
          </cell>
          <cell r="Y3299">
            <v>46248</v>
          </cell>
          <cell r="Z3299">
            <v>1</v>
          </cell>
          <cell r="AA3299">
            <v>1000</v>
          </cell>
        </row>
        <row r="3300">
          <cell r="A3300">
            <v>46248</v>
          </cell>
          <cell r="D3300" t="str">
            <v>LADY OF REMEDY</v>
          </cell>
          <cell r="E3300">
            <v>5</v>
          </cell>
          <cell r="H3300" t="str">
            <v>SAFISCOR</v>
          </cell>
          <cell r="N3300">
            <v>1000</v>
          </cell>
          <cell r="Y3300">
            <v>46248</v>
          </cell>
          <cell r="Z3300">
            <v>2</v>
          </cell>
          <cell r="AA3300">
            <v>1000</v>
          </cell>
        </row>
        <row r="3301">
          <cell r="A3301">
            <v>46248</v>
          </cell>
          <cell r="D3301" t="str">
            <v>LADY OF ROSARY</v>
          </cell>
          <cell r="E3301">
            <v>4</v>
          </cell>
          <cell r="H3301" t="str">
            <v>GEO</v>
          </cell>
          <cell r="N3301">
            <v>1000</v>
          </cell>
          <cell r="Y3301">
            <v>46248</v>
          </cell>
          <cell r="Z3301">
            <v>1</v>
          </cell>
          <cell r="AA3301">
            <v>1000</v>
          </cell>
        </row>
        <row r="3302">
          <cell r="A3302">
            <v>46248</v>
          </cell>
          <cell r="D3302" t="str">
            <v>LADY OF ROSARY</v>
          </cell>
          <cell r="E3302">
            <v>4</v>
          </cell>
          <cell r="H3302" t="str">
            <v>LAPU-LAPU</v>
          </cell>
          <cell r="N3302">
            <v>1000</v>
          </cell>
          <cell r="Y3302">
            <v>46248</v>
          </cell>
          <cell r="Z3302">
            <v>1</v>
          </cell>
          <cell r="AA3302">
            <v>1000</v>
          </cell>
        </row>
        <row r="3303">
          <cell r="A3303">
            <v>46248</v>
          </cell>
          <cell r="D3303" t="str">
            <v>LADY OF REMEDY</v>
          </cell>
          <cell r="E3303">
            <v>5</v>
          </cell>
          <cell r="H3303" t="str">
            <v>BADIE</v>
          </cell>
          <cell r="N3303">
            <v>1000</v>
          </cell>
          <cell r="Y3303">
            <v>46248</v>
          </cell>
          <cell r="Z3303">
            <v>1</v>
          </cell>
          <cell r="AA3303">
            <v>1000</v>
          </cell>
        </row>
        <row r="3304">
          <cell r="A3304">
            <v>46248</v>
          </cell>
          <cell r="D3304" t="str">
            <v>JOHANNAH 7</v>
          </cell>
          <cell r="E3304">
            <v>4</v>
          </cell>
          <cell r="H3304" t="str">
            <v>SAFISCOR</v>
          </cell>
          <cell r="N3304">
            <v>1000</v>
          </cell>
          <cell r="Y3304">
            <v>46248</v>
          </cell>
          <cell r="Z3304">
            <v>2</v>
          </cell>
          <cell r="AA3304">
            <v>1000</v>
          </cell>
        </row>
        <row r="3305">
          <cell r="A3305">
            <v>46248</v>
          </cell>
          <cell r="D3305" t="str">
            <v>LADY OF ROSARY</v>
          </cell>
          <cell r="E3305">
            <v>4</v>
          </cell>
          <cell r="H3305" t="str">
            <v>APLUS</v>
          </cell>
          <cell r="N3305">
            <v>1000</v>
          </cell>
          <cell r="Y3305">
            <v>46248</v>
          </cell>
          <cell r="Z3305">
            <v>1</v>
          </cell>
          <cell r="AA3305">
            <v>1000</v>
          </cell>
        </row>
        <row r="3306">
          <cell r="A3306">
            <v>46248</v>
          </cell>
          <cell r="D3306" t="str">
            <v>STAR DINAGAT</v>
          </cell>
          <cell r="E3306">
            <v>1</v>
          </cell>
          <cell r="H3306" t="str">
            <v>SAFISCOR</v>
          </cell>
          <cell r="N3306">
            <v>1000</v>
          </cell>
          <cell r="Y3306">
            <v>46248</v>
          </cell>
          <cell r="Z3306">
            <v>2</v>
          </cell>
          <cell r="AA3306">
            <v>1000</v>
          </cell>
        </row>
        <row r="3307">
          <cell r="A3307">
            <v>46248</v>
          </cell>
          <cell r="D3307" t="str">
            <v>QUEEN CAROLYN</v>
          </cell>
          <cell r="E3307">
            <v>6</v>
          </cell>
          <cell r="H3307" t="str">
            <v>LAPU-LAPU</v>
          </cell>
          <cell r="N3307">
            <v>1000</v>
          </cell>
          <cell r="Y3307">
            <v>46248</v>
          </cell>
          <cell r="Z3307">
            <v>1</v>
          </cell>
          <cell r="AA3307">
            <v>1000</v>
          </cell>
        </row>
        <row r="3308">
          <cell r="A3308">
            <v>46248</v>
          </cell>
          <cell r="D3308" t="str">
            <v>STAR DINAGAT</v>
          </cell>
          <cell r="E3308">
            <v>1</v>
          </cell>
          <cell r="H3308" t="str">
            <v>SAFISCOR</v>
          </cell>
          <cell r="N3308">
            <v>1000</v>
          </cell>
          <cell r="Y3308">
            <v>46248</v>
          </cell>
          <cell r="Z3308">
            <v>2</v>
          </cell>
          <cell r="AA3308">
            <v>1000</v>
          </cell>
        </row>
        <row r="3309">
          <cell r="A3309">
            <v>46248</v>
          </cell>
          <cell r="D3309" t="str">
            <v>LADY OF REMEDY</v>
          </cell>
          <cell r="E3309">
            <v>5</v>
          </cell>
          <cell r="H3309" t="str">
            <v>GEO</v>
          </cell>
          <cell r="N3309">
            <v>1000</v>
          </cell>
          <cell r="Y3309">
            <v>46248</v>
          </cell>
          <cell r="Z3309">
            <v>2</v>
          </cell>
          <cell r="AA3309">
            <v>1000</v>
          </cell>
        </row>
        <row r="3310">
          <cell r="A3310">
            <v>46248</v>
          </cell>
          <cell r="D3310" t="str">
            <v>LADY OF ROSARY</v>
          </cell>
          <cell r="E3310">
            <v>4</v>
          </cell>
          <cell r="H3310" t="str">
            <v>SAFISCOR</v>
          </cell>
          <cell r="N3310">
            <v>1000</v>
          </cell>
          <cell r="Y3310">
            <v>46248</v>
          </cell>
          <cell r="Z3310">
            <v>2</v>
          </cell>
          <cell r="AA3310">
            <v>1000</v>
          </cell>
        </row>
        <row r="3311">
          <cell r="A3311">
            <v>46248</v>
          </cell>
          <cell r="D3311" t="str">
            <v>QUEEN CAROLYN</v>
          </cell>
          <cell r="E3311">
            <v>6</v>
          </cell>
          <cell r="H3311" t="str">
            <v>SAFISCOR</v>
          </cell>
          <cell r="N3311">
            <v>1000</v>
          </cell>
          <cell r="Y3311">
            <v>46248</v>
          </cell>
          <cell r="Z3311">
            <v>1</v>
          </cell>
          <cell r="AA3311">
            <v>1000</v>
          </cell>
        </row>
        <row r="3312">
          <cell r="A3312">
            <v>46248</v>
          </cell>
          <cell r="D3312" t="str">
            <v>JOHANNAH 7</v>
          </cell>
          <cell r="E3312">
            <v>4</v>
          </cell>
          <cell r="H3312" t="str">
            <v>LAPU-LAPU</v>
          </cell>
          <cell r="N3312">
            <v>1000</v>
          </cell>
          <cell r="Y3312">
            <v>46248</v>
          </cell>
          <cell r="Z3312">
            <v>1</v>
          </cell>
          <cell r="AA3312">
            <v>1000</v>
          </cell>
        </row>
        <row r="3313">
          <cell r="A3313">
            <v>46248</v>
          </cell>
          <cell r="D3313" t="str">
            <v>QUEEN CAROLYN</v>
          </cell>
          <cell r="E3313">
            <v>6</v>
          </cell>
          <cell r="H3313" t="str">
            <v>SAFISCOR</v>
          </cell>
          <cell r="N3313">
            <v>1000</v>
          </cell>
          <cell r="Y3313">
            <v>46248</v>
          </cell>
          <cell r="Z3313">
            <v>2</v>
          </cell>
          <cell r="AA3313">
            <v>1000</v>
          </cell>
        </row>
        <row r="3314">
          <cell r="A3314">
            <v>46248</v>
          </cell>
          <cell r="D3314" t="str">
            <v>STAR DINAGAT</v>
          </cell>
          <cell r="E3314">
            <v>1</v>
          </cell>
          <cell r="H3314" t="str">
            <v>SAFISCOR</v>
          </cell>
          <cell r="N3314">
            <v>1000</v>
          </cell>
          <cell r="Y3314">
            <v>46248</v>
          </cell>
          <cell r="Z3314">
            <v>2</v>
          </cell>
          <cell r="AA3314">
            <v>1000</v>
          </cell>
        </row>
        <row r="3315">
          <cell r="A3315">
            <v>46248</v>
          </cell>
          <cell r="D3315" t="str">
            <v>STAR DINAGAT</v>
          </cell>
          <cell r="E3315">
            <v>1</v>
          </cell>
          <cell r="H3315" t="str">
            <v>SAFISCOR</v>
          </cell>
          <cell r="N3315">
            <v>1000</v>
          </cell>
          <cell r="Y3315">
            <v>46248</v>
          </cell>
          <cell r="Z3315">
            <v>2</v>
          </cell>
          <cell r="AA3315">
            <v>1000</v>
          </cell>
        </row>
        <row r="3316">
          <cell r="A3316">
            <v>46248</v>
          </cell>
          <cell r="D3316" t="str">
            <v>LADY OF REMEDY</v>
          </cell>
          <cell r="E3316">
            <v>5</v>
          </cell>
          <cell r="H3316" t="str">
            <v>SAFISCOR</v>
          </cell>
          <cell r="N3316">
            <v>1000</v>
          </cell>
          <cell r="Y3316">
            <v>46248</v>
          </cell>
          <cell r="Z3316">
            <v>2</v>
          </cell>
          <cell r="AA3316">
            <v>1000</v>
          </cell>
        </row>
        <row r="3317">
          <cell r="A3317">
            <v>46248</v>
          </cell>
          <cell r="D3317" t="str">
            <v>LADY OF REMEDY</v>
          </cell>
          <cell r="E3317">
            <v>5</v>
          </cell>
          <cell r="H3317" t="str">
            <v>SAFISCOR</v>
          </cell>
          <cell r="N3317">
            <v>1000</v>
          </cell>
          <cell r="Y3317">
            <v>46248</v>
          </cell>
          <cell r="Z3317">
            <v>2</v>
          </cell>
          <cell r="AA3317">
            <v>1000</v>
          </cell>
        </row>
        <row r="3318">
          <cell r="A3318">
            <v>46248</v>
          </cell>
          <cell r="D3318" t="str">
            <v>STAR DINAGAT</v>
          </cell>
          <cell r="E3318">
            <v>1</v>
          </cell>
          <cell r="H3318" t="str">
            <v>LAPU-LAPU</v>
          </cell>
          <cell r="N3318">
            <v>1000</v>
          </cell>
          <cell r="Y3318">
            <v>46248</v>
          </cell>
          <cell r="Z3318">
            <v>2</v>
          </cell>
          <cell r="AA3318">
            <v>1000</v>
          </cell>
        </row>
        <row r="3319">
          <cell r="A3319">
            <v>46248</v>
          </cell>
          <cell r="D3319" t="str">
            <v>STAR DINAGAT</v>
          </cell>
          <cell r="E3319">
            <v>1</v>
          </cell>
          <cell r="H3319" t="str">
            <v>SAFISCOR</v>
          </cell>
          <cell r="N3319">
            <v>1000</v>
          </cell>
          <cell r="Y3319">
            <v>46248</v>
          </cell>
          <cell r="Z3319">
            <v>2</v>
          </cell>
          <cell r="AA3319">
            <v>1000</v>
          </cell>
        </row>
        <row r="3320">
          <cell r="A3320">
            <v>46248</v>
          </cell>
          <cell r="D3320" t="str">
            <v>STAR ILIGAN</v>
          </cell>
          <cell r="E3320">
            <v>6</v>
          </cell>
          <cell r="H3320" t="str">
            <v>SAFISCOR</v>
          </cell>
          <cell r="N3320">
            <v>1000</v>
          </cell>
          <cell r="Y3320">
            <v>46248</v>
          </cell>
          <cell r="Z3320">
            <v>2</v>
          </cell>
          <cell r="AA3320">
            <v>1000</v>
          </cell>
        </row>
        <row r="3321">
          <cell r="A3321">
            <v>46248</v>
          </cell>
          <cell r="D3321" t="str">
            <v>LADY OF ROSARY</v>
          </cell>
          <cell r="E3321">
            <v>4</v>
          </cell>
          <cell r="H3321" t="str">
            <v>LAPU-LAPU</v>
          </cell>
          <cell r="N3321">
            <v>1000</v>
          </cell>
          <cell r="Y3321">
            <v>46248</v>
          </cell>
          <cell r="Z3321">
            <v>2</v>
          </cell>
          <cell r="AA3321">
            <v>1000</v>
          </cell>
        </row>
        <row r="3322">
          <cell r="A3322">
            <v>46248</v>
          </cell>
          <cell r="D3322" t="str">
            <v>LADY OF REMEDY</v>
          </cell>
          <cell r="E3322">
            <v>5</v>
          </cell>
          <cell r="H3322" t="str">
            <v>SAFISCOR</v>
          </cell>
          <cell r="N3322">
            <v>1000</v>
          </cell>
          <cell r="Y3322">
            <v>46248</v>
          </cell>
          <cell r="Z3322">
            <v>2</v>
          </cell>
          <cell r="AA3322">
            <v>1000</v>
          </cell>
        </row>
        <row r="3323">
          <cell r="A3323">
            <v>46248</v>
          </cell>
          <cell r="D3323" t="str">
            <v>STAR DINAGAT</v>
          </cell>
          <cell r="E3323">
            <v>1</v>
          </cell>
          <cell r="H3323" t="str">
            <v>SAFISCOR</v>
          </cell>
          <cell r="N3323">
            <v>1000</v>
          </cell>
          <cell r="Y3323">
            <v>46248</v>
          </cell>
          <cell r="Z3323">
            <v>2</v>
          </cell>
          <cell r="AA3323">
            <v>1000</v>
          </cell>
        </row>
        <row r="3324">
          <cell r="A3324">
            <v>46248</v>
          </cell>
          <cell r="D3324" t="str">
            <v>QUEEN CAROLYN</v>
          </cell>
          <cell r="E3324">
            <v>6</v>
          </cell>
          <cell r="H3324" t="str">
            <v>APLUS</v>
          </cell>
          <cell r="N3324">
            <v>1000</v>
          </cell>
          <cell r="Y3324">
            <v>46248</v>
          </cell>
          <cell r="Z3324">
            <v>2</v>
          </cell>
          <cell r="AA3324">
            <v>1000</v>
          </cell>
        </row>
        <row r="3325">
          <cell r="A3325">
            <v>46248</v>
          </cell>
          <cell r="D3325" t="str">
            <v>QUEEN CAROLYN</v>
          </cell>
          <cell r="E3325">
            <v>6</v>
          </cell>
          <cell r="H3325" t="str">
            <v>SAFISCOR</v>
          </cell>
          <cell r="N3325">
            <v>1000</v>
          </cell>
          <cell r="Y3325">
            <v>46248</v>
          </cell>
          <cell r="Z3325">
            <v>2</v>
          </cell>
          <cell r="AA3325">
            <v>1000</v>
          </cell>
        </row>
        <row r="3326">
          <cell r="A3326">
            <v>46248</v>
          </cell>
          <cell r="D3326" t="str">
            <v>QUEEN CAROLYN</v>
          </cell>
          <cell r="E3326">
            <v>6</v>
          </cell>
          <cell r="H3326" t="str">
            <v>SAFISCOR</v>
          </cell>
          <cell r="N3326">
            <v>1000</v>
          </cell>
          <cell r="Y3326">
            <v>46248</v>
          </cell>
          <cell r="Z3326">
            <v>2</v>
          </cell>
          <cell r="AA3326">
            <v>1000</v>
          </cell>
        </row>
        <row r="3327">
          <cell r="A3327">
            <v>46248</v>
          </cell>
          <cell r="D3327" t="str">
            <v>STAR DINAGAT</v>
          </cell>
          <cell r="E3327">
            <v>1</v>
          </cell>
          <cell r="H3327" t="str">
            <v>LAPU-LAPU</v>
          </cell>
          <cell r="N3327">
            <v>1000</v>
          </cell>
          <cell r="Y3327">
            <v>46248</v>
          </cell>
          <cell r="Z3327">
            <v>2</v>
          </cell>
          <cell r="AA3327">
            <v>1000</v>
          </cell>
        </row>
        <row r="3328">
          <cell r="A3328">
            <v>46248</v>
          </cell>
          <cell r="D3328" t="str">
            <v>JOHANNAH 7</v>
          </cell>
          <cell r="E3328">
            <v>4</v>
          </cell>
          <cell r="H3328" t="str">
            <v>SAFISCOR</v>
          </cell>
          <cell r="N3328">
            <v>1000</v>
          </cell>
          <cell r="Y3328">
            <v>46246</v>
          </cell>
          <cell r="Z3328" t="str">
            <v xml:space="preserve"> </v>
          </cell>
          <cell r="AA3328">
            <v>1000</v>
          </cell>
        </row>
        <row r="3329">
          <cell r="A3329">
            <v>46248</v>
          </cell>
          <cell r="D3329" t="str">
            <v>JOHANNAH 7</v>
          </cell>
          <cell r="E3329">
            <v>4</v>
          </cell>
          <cell r="H3329" t="str">
            <v>SAFISCOR</v>
          </cell>
          <cell r="N3329">
            <v>1000</v>
          </cell>
          <cell r="Y3329">
            <v>46246</v>
          </cell>
          <cell r="Z3329" t="str">
            <v xml:space="preserve"> </v>
          </cell>
          <cell r="AA3329">
            <v>1000</v>
          </cell>
        </row>
        <row r="3330">
          <cell r="A3330">
            <v>46248</v>
          </cell>
          <cell r="D3330" t="str">
            <v>JOHANNAH 7</v>
          </cell>
          <cell r="E3330">
            <v>4</v>
          </cell>
          <cell r="H3330" t="str">
            <v>SAFISCOR</v>
          </cell>
          <cell r="N3330">
            <v>1000</v>
          </cell>
          <cell r="Y3330">
            <v>46246</v>
          </cell>
          <cell r="Z3330" t="str">
            <v xml:space="preserve"> </v>
          </cell>
          <cell r="AA3330">
            <v>1000</v>
          </cell>
        </row>
        <row r="3331">
          <cell r="A3331">
            <v>46248</v>
          </cell>
          <cell r="D3331" t="str">
            <v>JOHANNAH 7</v>
          </cell>
          <cell r="E3331">
            <v>4</v>
          </cell>
          <cell r="H3331" t="str">
            <v>SAFISCOR</v>
          </cell>
          <cell r="N3331">
            <v>1000</v>
          </cell>
          <cell r="Y3331">
            <v>46246</v>
          </cell>
          <cell r="AA3331">
            <v>1000</v>
          </cell>
        </row>
        <row r="3332">
          <cell r="A3332">
            <v>46248</v>
          </cell>
          <cell r="D3332" t="str">
            <v>JOHANNAH 7</v>
          </cell>
          <cell r="E3332">
            <v>4</v>
          </cell>
          <cell r="H3332" t="str">
            <v>SAFISCOR</v>
          </cell>
          <cell r="N3332">
            <v>1000</v>
          </cell>
          <cell r="Y3332">
            <v>46246</v>
          </cell>
          <cell r="AA3332">
            <v>1000</v>
          </cell>
        </row>
        <row r="3333">
          <cell r="A3333">
            <v>46248</v>
          </cell>
          <cell r="D3333" t="str">
            <v>EMERALD STAR</v>
          </cell>
          <cell r="H3333" t="str">
            <v>SAFISCOR</v>
          </cell>
          <cell r="N3333">
            <v>1000</v>
          </cell>
          <cell r="Y3333">
            <v>46256</v>
          </cell>
          <cell r="Z3333">
            <v>2</v>
          </cell>
          <cell r="AA3333">
            <v>900</v>
          </cell>
        </row>
        <row r="3334">
          <cell r="A3334">
            <v>46248</v>
          </cell>
          <cell r="D3334" t="str">
            <v>LADY OF REMEDY</v>
          </cell>
          <cell r="E3334">
            <v>5</v>
          </cell>
          <cell r="H3334" t="str">
            <v>SAFISCOR</v>
          </cell>
          <cell r="N3334">
            <v>750</v>
          </cell>
          <cell r="Y3334">
            <v>46248</v>
          </cell>
          <cell r="Z3334">
            <v>2</v>
          </cell>
          <cell r="AA3334">
            <v>750</v>
          </cell>
        </row>
        <row r="3335">
          <cell r="A3335">
            <v>46248</v>
          </cell>
          <cell r="D3335" t="str">
            <v>STAR ILIGAN</v>
          </cell>
          <cell r="E3335">
            <v>6</v>
          </cell>
          <cell r="H3335" t="str">
            <v>SAFISCOR</v>
          </cell>
          <cell r="N3335">
            <v>250</v>
          </cell>
          <cell r="Y3335">
            <v>46248</v>
          </cell>
          <cell r="Z3335">
            <v>2</v>
          </cell>
          <cell r="AA3335">
            <v>250</v>
          </cell>
        </row>
        <row r="3336">
          <cell r="A3336">
            <v>46248</v>
          </cell>
          <cell r="D3336" t="str">
            <v>STAR ILIGAN</v>
          </cell>
          <cell r="E3336">
            <v>6</v>
          </cell>
          <cell r="H3336" t="str">
            <v>SAFISCOR</v>
          </cell>
          <cell r="N3336">
            <v>1000</v>
          </cell>
          <cell r="Y3336">
            <v>46248</v>
          </cell>
          <cell r="Z3336">
            <v>2</v>
          </cell>
          <cell r="AA3336">
            <v>1000</v>
          </cell>
        </row>
        <row r="3337">
          <cell r="A3337">
            <v>46248</v>
          </cell>
          <cell r="D3337" t="str">
            <v>STAR DINAGAT</v>
          </cell>
          <cell r="E3337">
            <v>1</v>
          </cell>
          <cell r="H3337" t="str">
            <v>LAPU-LAPU</v>
          </cell>
          <cell r="N3337">
            <v>1000</v>
          </cell>
          <cell r="Y3337">
            <v>46248</v>
          </cell>
          <cell r="Z3337">
            <v>2</v>
          </cell>
          <cell r="AA3337">
            <v>1000</v>
          </cell>
        </row>
        <row r="3338">
          <cell r="A3338">
            <v>46248</v>
          </cell>
          <cell r="D3338" t="str">
            <v>QUEEN CAROLYN</v>
          </cell>
          <cell r="E3338">
            <v>6</v>
          </cell>
          <cell r="H3338" t="str">
            <v>BADIE</v>
          </cell>
          <cell r="N3338">
            <v>1000</v>
          </cell>
          <cell r="Y3338">
            <v>46248</v>
          </cell>
          <cell r="Z3338">
            <v>2</v>
          </cell>
          <cell r="AA3338">
            <v>1000</v>
          </cell>
        </row>
        <row r="3339">
          <cell r="A3339">
            <v>46248</v>
          </cell>
          <cell r="D3339" t="str">
            <v>STAR ILIGAN</v>
          </cell>
          <cell r="E3339">
            <v>6</v>
          </cell>
          <cell r="H3339" t="str">
            <v>SAFISCOR</v>
          </cell>
          <cell r="N3339">
            <v>1000</v>
          </cell>
          <cell r="Y3339">
            <v>46248</v>
          </cell>
          <cell r="Z3339">
            <v>2</v>
          </cell>
          <cell r="AA3339">
            <v>1000</v>
          </cell>
        </row>
        <row r="3340">
          <cell r="A3340">
            <v>46248</v>
          </cell>
          <cell r="D3340" t="str">
            <v>LADY OF ROSARY</v>
          </cell>
          <cell r="E3340">
            <v>4</v>
          </cell>
          <cell r="H3340" t="str">
            <v>SAFISCOR</v>
          </cell>
          <cell r="N3340">
            <v>1000</v>
          </cell>
          <cell r="Y3340">
            <v>46248</v>
          </cell>
          <cell r="Z3340">
            <v>2</v>
          </cell>
          <cell r="AA3340">
            <v>1000</v>
          </cell>
        </row>
        <row r="3341">
          <cell r="A3341">
            <v>46248</v>
          </cell>
          <cell r="D3341" t="str">
            <v>STAR DINAGAT</v>
          </cell>
          <cell r="E3341">
            <v>6</v>
          </cell>
          <cell r="H3341" t="str">
            <v>GEO</v>
          </cell>
          <cell r="N3341">
            <v>1000</v>
          </cell>
          <cell r="Y3341">
            <v>46248</v>
          </cell>
          <cell r="Z3341">
            <v>2</v>
          </cell>
          <cell r="AA3341">
            <v>1000</v>
          </cell>
        </row>
        <row r="3342">
          <cell r="A3342">
            <v>46248</v>
          </cell>
          <cell r="D3342" t="str">
            <v>STAR ILIGAN</v>
          </cell>
          <cell r="E3342">
            <v>6</v>
          </cell>
          <cell r="H3342" t="str">
            <v>SAFISCOR</v>
          </cell>
          <cell r="N3342">
            <v>1000</v>
          </cell>
          <cell r="Y3342">
            <v>46248</v>
          </cell>
          <cell r="Z3342">
            <v>2</v>
          </cell>
          <cell r="AA3342">
            <v>1000</v>
          </cell>
        </row>
        <row r="3343">
          <cell r="A3343">
            <v>46248</v>
          </cell>
          <cell r="D3343" t="str">
            <v>LADY OF ROSARY</v>
          </cell>
          <cell r="E3343">
            <v>4</v>
          </cell>
          <cell r="H3343" t="str">
            <v>SAFISCOR</v>
          </cell>
          <cell r="N3343">
            <v>1000</v>
          </cell>
          <cell r="Y3343">
            <v>46248</v>
          </cell>
          <cell r="Z3343">
            <v>2</v>
          </cell>
          <cell r="AA3343">
            <v>1000</v>
          </cell>
        </row>
        <row r="3344">
          <cell r="A3344">
            <v>46248</v>
          </cell>
          <cell r="D3344" t="str">
            <v>LADY OF REMEDY</v>
          </cell>
          <cell r="E3344">
            <v>5</v>
          </cell>
          <cell r="H3344" t="str">
            <v>SAFISCOR</v>
          </cell>
          <cell r="N3344">
            <v>1000</v>
          </cell>
          <cell r="Y3344">
            <v>46248</v>
          </cell>
          <cell r="Z3344">
            <v>2</v>
          </cell>
          <cell r="AA3344">
            <v>1000</v>
          </cell>
        </row>
        <row r="3345">
          <cell r="A3345">
            <v>46248</v>
          </cell>
          <cell r="D3345" t="str">
            <v>LADY OF REMEDY</v>
          </cell>
          <cell r="E3345">
            <v>5</v>
          </cell>
          <cell r="H3345" t="str">
            <v>SAFISCOR</v>
          </cell>
          <cell r="N3345">
            <v>1000</v>
          </cell>
          <cell r="Y3345">
            <v>46248</v>
          </cell>
          <cell r="Z3345">
            <v>2</v>
          </cell>
          <cell r="AA3345">
            <v>1000</v>
          </cell>
        </row>
        <row r="3346">
          <cell r="A3346">
            <v>46248</v>
          </cell>
          <cell r="D3346" t="str">
            <v>STAR DINAGAT</v>
          </cell>
          <cell r="E3346">
            <v>1</v>
          </cell>
          <cell r="H3346" t="str">
            <v>GEO</v>
          </cell>
          <cell r="N3346">
            <v>1000</v>
          </cell>
          <cell r="Y3346">
            <v>46249</v>
          </cell>
          <cell r="Z3346">
            <v>1</v>
          </cell>
          <cell r="AA3346">
            <v>1000</v>
          </cell>
        </row>
        <row r="3347">
          <cell r="A3347">
            <v>46248</v>
          </cell>
          <cell r="D3347" t="str">
            <v>STAR DINAGAT</v>
          </cell>
          <cell r="E3347">
            <v>1</v>
          </cell>
          <cell r="H3347" t="str">
            <v>LAPU-LAPU</v>
          </cell>
          <cell r="N3347">
            <v>1000</v>
          </cell>
          <cell r="Y3347">
            <v>46249</v>
          </cell>
          <cell r="Z3347">
            <v>1</v>
          </cell>
          <cell r="AA3347">
            <v>1000</v>
          </cell>
        </row>
        <row r="3348">
          <cell r="A3348">
            <v>46248</v>
          </cell>
          <cell r="D3348" t="str">
            <v>STAR ILIGAN</v>
          </cell>
          <cell r="E3348">
            <v>6</v>
          </cell>
          <cell r="H3348" t="str">
            <v>SAFISCOR</v>
          </cell>
          <cell r="N3348">
            <v>1000</v>
          </cell>
          <cell r="Y3348">
            <v>46248</v>
          </cell>
          <cell r="Z3348">
            <v>2</v>
          </cell>
          <cell r="AA3348">
            <v>1000</v>
          </cell>
        </row>
        <row r="3349">
          <cell r="A3349">
            <v>46248</v>
          </cell>
          <cell r="D3349" t="str">
            <v>LADY OF ROSARY</v>
          </cell>
          <cell r="E3349">
            <v>4</v>
          </cell>
          <cell r="H3349" t="str">
            <v>SAFISCOR</v>
          </cell>
          <cell r="N3349">
            <v>1000</v>
          </cell>
          <cell r="Y3349">
            <v>46249</v>
          </cell>
          <cell r="Z3349">
            <v>1</v>
          </cell>
          <cell r="AA3349">
            <v>1000</v>
          </cell>
        </row>
        <row r="3350">
          <cell r="A3350">
            <v>46249</v>
          </cell>
          <cell r="D3350" t="str">
            <v>LADY OF ROSARY</v>
          </cell>
          <cell r="E3350">
            <v>4</v>
          </cell>
          <cell r="H3350" t="str">
            <v>SAFISCOR</v>
          </cell>
          <cell r="N3350">
            <v>1000</v>
          </cell>
          <cell r="Y3350">
            <v>46249</v>
          </cell>
          <cell r="Z3350">
            <v>1</v>
          </cell>
          <cell r="AA3350">
            <v>1000</v>
          </cell>
        </row>
        <row r="3351">
          <cell r="A3351">
            <v>46249</v>
          </cell>
          <cell r="D3351" t="str">
            <v>QUEEN CAROLYN</v>
          </cell>
          <cell r="E3351">
            <v>6</v>
          </cell>
          <cell r="H3351" t="str">
            <v>GEO</v>
          </cell>
          <cell r="N3351">
            <v>1000</v>
          </cell>
          <cell r="Y3351">
            <v>46249</v>
          </cell>
          <cell r="Z3351">
            <v>1</v>
          </cell>
          <cell r="AA3351">
            <v>1000</v>
          </cell>
        </row>
        <row r="3352">
          <cell r="A3352">
            <v>46249</v>
          </cell>
          <cell r="D3352" t="str">
            <v>LADY OF WISDOM</v>
          </cell>
          <cell r="E3352">
            <v>5</v>
          </cell>
          <cell r="H3352" t="str">
            <v>SAFISCOR</v>
          </cell>
          <cell r="N3352">
            <v>1000</v>
          </cell>
          <cell r="Y3352">
            <v>46249</v>
          </cell>
          <cell r="Z3352">
            <v>2</v>
          </cell>
          <cell r="AA3352">
            <v>1000</v>
          </cell>
        </row>
        <row r="3353">
          <cell r="A3353">
            <v>46249</v>
          </cell>
          <cell r="D3353" t="str">
            <v>LADY OF WISDOM</v>
          </cell>
          <cell r="E3353">
            <v>5</v>
          </cell>
          <cell r="H3353" t="str">
            <v>GEO</v>
          </cell>
          <cell r="N3353">
            <v>1000</v>
          </cell>
          <cell r="Y3353">
            <v>46249</v>
          </cell>
          <cell r="Z3353">
            <v>2</v>
          </cell>
          <cell r="AA3353">
            <v>1000</v>
          </cell>
        </row>
        <row r="3354">
          <cell r="A3354">
            <v>46249</v>
          </cell>
          <cell r="D3354" t="str">
            <v>LADY OF WISDOM</v>
          </cell>
          <cell r="E3354">
            <v>5</v>
          </cell>
          <cell r="H3354" t="str">
            <v>GEO</v>
          </cell>
          <cell r="N3354">
            <v>1000</v>
          </cell>
          <cell r="Y3354">
            <v>46249</v>
          </cell>
          <cell r="Z3354">
            <v>1</v>
          </cell>
          <cell r="AA3354">
            <v>1000</v>
          </cell>
        </row>
        <row r="3355">
          <cell r="A3355">
            <v>46249</v>
          </cell>
          <cell r="D3355" t="str">
            <v>LADY OF WISDOM</v>
          </cell>
          <cell r="E3355">
            <v>5</v>
          </cell>
          <cell r="H3355" t="str">
            <v>SAFISCOR</v>
          </cell>
          <cell r="N3355">
            <v>1000</v>
          </cell>
          <cell r="Y3355">
            <v>46249</v>
          </cell>
          <cell r="Z3355">
            <v>1</v>
          </cell>
          <cell r="AA3355">
            <v>1000</v>
          </cell>
        </row>
        <row r="3356">
          <cell r="A3356">
            <v>46249</v>
          </cell>
          <cell r="D3356" t="str">
            <v>LADY OF WISDOM</v>
          </cell>
          <cell r="E3356">
            <v>5</v>
          </cell>
          <cell r="H3356" t="str">
            <v>SAFISCOR</v>
          </cell>
          <cell r="N3356">
            <v>1000</v>
          </cell>
          <cell r="Y3356">
            <v>46249</v>
          </cell>
          <cell r="Z3356">
            <v>1</v>
          </cell>
          <cell r="AA3356">
            <v>1000</v>
          </cell>
        </row>
        <row r="3357">
          <cell r="A3357">
            <v>46249</v>
          </cell>
          <cell r="D3357" t="str">
            <v>LADY OF WISDOM</v>
          </cell>
          <cell r="E3357">
            <v>5</v>
          </cell>
          <cell r="H3357" t="str">
            <v>SAFISCOR</v>
          </cell>
          <cell r="N3357">
            <v>1000</v>
          </cell>
          <cell r="Y3357">
            <v>46249</v>
          </cell>
          <cell r="Z3357">
            <v>1</v>
          </cell>
          <cell r="AA3357">
            <v>1000</v>
          </cell>
        </row>
        <row r="3358">
          <cell r="A3358">
            <v>46249</v>
          </cell>
          <cell r="D3358" t="str">
            <v>LADY OF WISDOM</v>
          </cell>
          <cell r="E3358">
            <v>5</v>
          </cell>
          <cell r="H3358" t="str">
            <v>SAFISCOR</v>
          </cell>
          <cell r="N3358">
            <v>1000</v>
          </cell>
          <cell r="Y3358">
            <v>46249</v>
          </cell>
          <cell r="Z3358">
            <v>1</v>
          </cell>
          <cell r="AA3358">
            <v>1000</v>
          </cell>
        </row>
        <row r="3359">
          <cell r="A3359">
            <v>46249</v>
          </cell>
          <cell r="D3359" t="str">
            <v>QUEEN CAROLYN</v>
          </cell>
          <cell r="E3359">
            <v>6</v>
          </cell>
          <cell r="H3359" t="str">
            <v>GEO</v>
          </cell>
          <cell r="N3359">
            <v>1000</v>
          </cell>
          <cell r="Y3359">
            <v>46249</v>
          </cell>
          <cell r="Z3359">
            <v>1</v>
          </cell>
          <cell r="AA3359">
            <v>1000</v>
          </cell>
        </row>
        <row r="3360">
          <cell r="A3360">
            <v>46249</v>
          </cell>
          <cell r="D3360" t="str">
            <v>QUEEN CAROLYN</v>
          </cell>
          <cell r="E3360">
            <v>6</v>
          </cell>
          <cell r="H3360" t="str">
            <v>SAFISCOR</v>
          </cell>
          <cell r="N3360">
            <v>1000</v>
          </cell>
          <cell r="Y3360">
            <v>46249</v>
          </cell>
          <cell r="Z3360">
            <v>1</v>
          </cell>
          <cell r="AA3360">
            <v>1000</v>
          </cell>
        </row>
        <row r="3361">
          <cell r="A3361">
            <v>46249</v>
          </cell>
          <cell r="D3361" t="str">
            <v>LADY OF ROSARY</v>
          </cell>
          <cell r="E3361">
            <v>4</v>
          </cell>
          <cell r="H3361" t="str">
            <v>SAFISCOR</v>
          </cell>
          <cell r="N3361">
            <v>1000</v>
          </cell>
          <cell r="Y3361">
            <v>46249</v>
          </cell>
          <cell r="Z3361">
            <v>2</v>
          </cell>
          <cell r="AA3361">
            <v>1000</v>
          </cell>
        </row>
        <row r="3362">
          <cell r="A3362">
            <v>46249</v>
          </cell>
          <cell r="D3362" t="str">
            <v>LADY OF ROSARY</v>
          </cell>
          <cell r="E3362">
            <v>4</v>
          </cell>
          <cell r="H3362" t="str">
            <v>SAFISCOR</v>
          </cell>
          <cell r="N3362">
            <v>1000</v>
          </cell>
          <cell r="Y3362">
            <v>46249</v>
          </cell>
          <cell r="Z3362">
            <v>1</v>
          </cell>
          <cell r="AA3362">
            <v>1000</v>
          </cell>
        </row>
        <row r="3363">
          <cell r="A3363">
            <v>46249</v>
          </cell>
          <cell r="D3363" t="str">
            <v>LADY OF ROSARY</v>
          </cell>
          <cell r="E3363">
            <v>4</v>
          </cell>
          <cell r="H3363" t="str">
            <v>SAFISCOR</v>
          </cell>
          <cell r="N3363">
            <v>1000</v>
          </cell>
          <cell r="Y3363">
            <v>46249</v>
          </cell>
          <cell r="Z3363">
            <v>2</v>
          </cell>
          <cell r="AA3363">
            <v>1000</v>
          </cell>
        </row>
        <row r="3364">
          <cell r="A3364">
            <v>46249</v>
          </cell>
          <cell r="D3364" t="str">
            <v>QUEEN CAROLYN</v>
          </cell>
          <cell r="E3364">
            <v>6</v>
          </cell>
          <cell r="H3364" t="str">
            <v>LAPU-LAPU</v>
          </cell>
          <cell r="N3364">
            <v>1000</v>
          </cell>
          <cell r="Y3364">
            <v>46249</v>
          </cell>
          <cell r="Z3364">
            <v>1</v>
          </cell>
          <cell r="AA3364">
            <v>1000</v>
          </cell>
        </row>
        <row r="3365">
          <cell r="A3365">
            <v>46249</v>
          </cell>
          <cell r="D3365" t="str">
            <v>LADY OF WISDOM</v>
          </cell>
          <cell r="E3365">
            <v>5</v>
          </cell>
          <cell r="H3365" t="str">
            <v>SAFISCOR</v>
          </cell>
          <cell r="N3365">
            <v>1000</v>
          </cell>
          <cell r="Y3365">
            <v>46249</v>
          </cell>
          <cell r="Z3365">
            <v>2</v>
          </cell>
          <cell r="AA3365">
            <v>1000</v>
          </cell>
        </row>
        <row r="3366">
          <cell r="A3366">
            <v>46249</v>
          </cell>
          <cell r="D3366" t="str">
            <v>STAR ILIGAN</v>
          </cell>
          <cell r="E3366">
            <v>6</v>
          </cell>
          <cell r="H3366" t="str">
            <v>APLUS</v>
          </cell>
          <cell r="N3366">
            <v>1000</v>
          </cell>
          <cell r="Y3366">
            <v>46249</v>
          </cell>
          <cell r="Z3366">
            <v>1</v>
          </cell>
          <cell r="AA3366">
            <v>1000</v>
          </cell>
        </row>
        <row r="3367">
          <cell r="A3367">
            <v>46249</v>
          </cell>
          <cell r="D3367" t="str">
            <v>STAR DINAGAT</v>
          </cell>
          <cell r="E3367">
            <v>1</v>
          </cell>
          <cell r="H3367" t="str">
            <v>SAFISCOR</v>
          </cell>
          <cell r="N3367">
            <v>400</v>
          </cell>
          <cell r="Y3367">
            <v>46249</v>
          </cell>
          <cell r="Z3367">
            <v>1</v>
          </cell>
          <cell r="AA3367">
            <v>400</v>
          </cell>
        </row>
        <row r="3368">
          <cell r="A3368">
            <v>46249</v>
          </cell>
          <cell r="D3368" t="str">
            <v>QUEEN CAROLYN</v>
          </cell>
          <cell r="E3368">
            <v>6</v>
          </cell>
          <cell r="H3368" t="str">
            <v>SAFISCOR</v>
          </cell>
          <cell r="N3368">
            <v>1000</v>
          </cell>
          <cell r="Y3368">
            <v>46249</v>
          </cell>
          <cell r="Z3368">
            <v>1</v>
          </cell>
          <cell r="AA3368">
            <v>1000</v>
          </cell>
        </row>
        <row r="3369">
          <cell r="A3369">
            <v>46249</v>
          </cell>
          <cell r="D3369" t="str">
            <v>LADY OF WISDOM</v>
          </cell>
          <cell r="E3369">
            <v>5</v>
          </cell>
          <cell r="H3369" t="str">
            <v>SAFISCOR</v>
          </cell>
          <cell r="N3369">
            <v>1000</v>
          </cell>
          <cell r="Y3369">
            <v>46249</v>
          </cell>
          <cell r="Z3369">
            <v>2</v>
          </cell>
          <cell r="AA3369">
            <v>1000</v>
          </cell>
        </row>
        <row r="3370">
          <cell r="A3370">
            <v>46249</v>
          </cell>
          <cell r="D3370" t="str">
            <v>LADY OF WISDOM</v>
          </cell>
          <cell r="E3370">
            <v>5</v>
          </cell>
          <cell r="H3370" t="str">
            <v>SAFISCOR</v>
          </cell>
          <cell r="N3370">
            <v>1000</v>
          </cell>
          <cell r="Y3370">
            <v>46249</v>
          </cell>
          <cell r="Z3370">
            <v>2</v>
          </cell>
          <cell r="AA3370">
            <v>1000</v>
          </cell>
        </row>
        <row r="3371">
          <cell r="A3371">
            <v>46249</v>
          </cell>
          <cell r="D3371" t="str">
            <v>LADY OF ROSARY</v>
          </cell>
          <cell r="E3371">
            <v>4</v>
          </cell>
          <cell r="H3371" t="str">
            <v>BADIE</v>
          </cell>
          <cell r="N3371">
            <v>1000</v>
          </cell>
          <cell r="Y3371">
            <v>46249</v>
          </cell>
          <cell r="Z3371">
            <v>2</v>
          </cell>
          <cell r="AA3371">
            <v>1000</v>
          </cell>
        </row>
        <row r="3372">
          <cell r="A3372">
            <v>46249</v>
          </cell>
          <cell r="D3372" t="str">
            <v>LADY OF ROSARY</v>
          </cell>
          <cell r="E3372">
            <v>4</v>
          </cell>
          <cell r="H3372" t="str">
            <v>SAFISCOR</v>
          </cell>
          <cell r="N3372">
            <v>1000</v>
          </cell>
          <cell r="Y3372">
            <v>46249</v>
          </cell>
          <cell r="Z3372">
            <v>2</v>
          </cell>
          <cell r="AA3372">
            <v>1000</v>
          </cell>
        </row>
        <row r="3373">
          <cell r="A3373">
            <v>46249</v>
          </cell>
          <cell r="D3373" t="str">
            <v>STAR DINAGAT</v>
          </cell>
          <cell r="E3373">
            <v>1</v>
          </cell>
          <cell r="H3373" t="str">
            <v>SAFISCOR</v>
          </cell>
          <cell r="N3373">
            <v>1000</v>
          </cell>
          <cell r="Y3373">
            <v>46248</v>
          </cell>
          <cell r="Z3373">
            <v>1</v>
          </cell>
          <cell r="AA3373">
            <v>1000</v>
          </cell>
        </row>
        <row r="3374">
          <cell r="A3374">
            <v>46249</v>
          </cell>
          <cell r="D3374" t="str">
            <v>QUEEN CAROLYN</v>
          </cell>
          <cell r="E3374">
            <v>6</v>
          </cell>
          <cell r="H3374" t="str">
            <v>GEO</v>
          </cell>
          <cell r="N3374">
            <v>1000</v>
          </cell>
          <cell r="Y3374">
            <v>46249</v>
          </cell>
          <cell r="Z3374">
            <v>2</v>
          </cell>
          <cell r="AA3374">
            <v>1000</v>
          </cell>
        </row>
        <row r="3375">
          <cell r="A3375">
            <v>46249</v>
          </cell>
          <cell r="D3375" t="str">
            <v>LADY OF PEACE</v>
          </cell>
          <cell r="E3375">
            <v>5</v>
          </cell>
          <cell r="H3375" t="str">
            <v>SAFISCOR</v>
          </cell>
          <cell r="N3375">
            <v>1000</v>
          </cell>
          <cell r="Y3375">
            <v>46249</v>
          </cell>
          <cell r="Z3375">
            <v>2</v>
          </cell>
          <cell r="AA3375">
            <v>1000</v>
          </cell>
        </row>
        <row r="3376">
          <cell r="A3376">
            <v>46249</v>
          </cell>
          <cell r="D3376" t="str">
            <v>LADY OF PEACE</v>
          </cell>
          <cell r="E3376">
            <v>5</v>
          </cell>
          <cell r="H3376" t="str">
            <v>SAFISCOR</v>
          </cell>
          <cell r="N3376">
            <v>1000</v>
          </cell>
          <cell r="Y3376">
            <v>46249</v>
          </cell>
          <cell r="Z3376">
            <v>2</v>
          </cell>
          <cell r="AA3376">
            <v>1000</v>
          </cell>
        </row>
        <row r="3377">
          <cell r="A3377">
            <v>46249</v>
          </cell>
          <cell r="D3377" t="str">
            <v>JISA</v>
          </cell>
          <cell r="E3377">
            <v>1</v>
          </cell>
          <cell r="H3377" t="str">
            <v>SAFISCOR</v>
          </cell>
          <cell r="N3377">
            <v>1000</v>
          </cell>
          <cell r="Y3377">
            <v>46249</v>
          </cell>
          <cell r="Z3377">
            <v>2</v>
          </cell>
          <cell r="AA3377">
            <v>1000</v>
          </cell>
        </row>
        <row r="3378">
          <cell r="A3378">
            <v>46249</v>
          </cell>
          <cell r="D3378" t="str">
            <v>JISA</v>
          </cell>
          <cell r="E3378">
            <v>1</v>
          </cell>
          <cell r="H3378" t="str">
            <v>SAFISCOR</v>
          </cell>
          <cell r="N3378">
            <v>1000</v>
          </cell>
          <cell r="Y3378">
            <v>46249</v>
          </cell>
          <cell r="Z3378">
            <v>2</v>
          </cell>
          <cell r="AA3378">
            <v>1000</v>
          </cell>
        </row>
        <row r="3379">
          <cell r="A3379">
            <v>46249</v>
          </cell>
          <cell r="D3379" t="str">
            <v>JISA</v>
          </cell>
          <cell r="E3379">
            <v>1</v>
          </cell>
          <cell r="H3379" t="str">
            <v>SAFISCOR</v>
          </cell>
          <cell r="N3379">
            <v>1000</v>
          </cell>
          <cell r="Y3379">
            <v>46249</v>
          </cell>
          <cell r="Z3379">
            <v>2</v>
          </cell>
          <cell r="AA3379">
            <v>1000</v>
          </cell>
        </row>
        <row r="3380">
          <cell r="A3380">
            <v>46249</v>
          </cell>
          <cell r="D3380" t="str">
            <v>QUEEN CAROLYN</v>
          </cell>
          <cell r="E3380">
            <v>6</v>
          </cell>
          <cell r="H3380" t="str">
            <v>SAFISCOR</v>
          </cell>
          <cell r="N3380">
            <v>1000</v>
          </cell>
          <cell r="Y3380">
            <v>46249</v>
          </cell>
          <cell r="Z3380">
            <v>2</v>
          </cell>
          <cell r="AA3380">
            <v>1000</v>
          </cell>
        </row>
        <row r="3381">
          <cell r="A3381">
            <v>46249</v>
          </cell>
          <cell r="D3381" t="str">
            <v>LADY OF WISDOM</v>
          </cell>
          <cell r="E3381">
            <v>5</v>
          </cell>
          <cell r="H3381" t="str">
            <v>SAFISCOR</v>
          </cell>
          <cell r="N3381">
            <v>1000</v>
          </cell>
          <cell r="Y3381">
            <v>46249</v>
          </cell>
          <cell r="Z3381">
            <v>2</v>
          </cell>
          <cell r="AA3381">
            <v>1000</v>
          </cell>
        </row>
        <row r="3382">
          <cell r="A3382">
            <v>46249</v>
          </cell>
          <cell r="D3382" t="str">
            <v>JISA</v>
          </cell>
          <cell r="E3382">
            <v>1</v>
          </cell>
          <cell r="H3382" t="str">
            <v>SAFISCOR</v>
          </cell>
          <cell r="N3382">
            <v>1000</v>
          </cell>
          <cell r="Y3382">
            <v>46249</v>
          </cell>
          <cell r="Z3382">
            <v>2</v>
          </cell>
          <cell r="AA3382">
            <v>1000</v>
          </cell>
        </row>
        <row r="3383">
          <cell r="A3383">
            <v>46249</v>
          </cell>
          <cell r="D3383" t="str">
            <v>JISA</v>
          </cell>
          <cell r="E3383">
            <v>1</v>
          </cell>
          <cell r="H3383" t="str">
            <v>GEO</v>
          </cell>
          <cell r="N3383">
            <v>1000</v>
          </cell>
          <cell r="Y3383">
            <v>46249</v>
          </cell>
          <cell r="Z3383">
            <v>2</v>
          </cell>
          <cell r="AA3383">
            <v>1000</v>
          </cell>
        </row>
        <row r="3384">
          <cell r="A3384">
            <v>46249</v>
          </cell>
          <cell r="D3384" t="str">
            <v>LADY OF WISDOM</v>
          </cell>
          <cell r="E3384">
            <v>5</v>
          </cell>
          <cell r="H3384" t="str">
            <v>SAFISCOR</v>
          </cell>
          <cell r="N3384">
            <v>1000</v>
          </cell>
          <cell r="Y3384">
            <v>46249</v>
          </cell>
          <cell r="Z3384">
            <v>2</v>
          </cell>
          <cell r="AA3384">
            <v>1000</v>
          </cell>
        </row>
        <row r="3385">
          <cell r="A3385">
            <v>46249</v>
          </cell>
          <cell r="D3385" t="str">
            <v>LADY OF ROSARY</v>
          </cell>
          <cell r="E3385">
            <v>4</v>
          </cell>
          <cell r="H3385" t="str">
            <v>SAFISCOR</v>
          </cell>
          <cell r="N3385">
            <v>1000</v>
          </cell>
          <cell r="Y3385">
            <v>46250</v>
          </cell>
          <cell r="Z3385">
            <v>1</v>
          </cell>
          <cell r="AA3385">
            <v>1000</v>
          </cell>
        </row>
        <row r="3386">
          <cell r="A3386">
            <v>46249</v>
          </cell>
          <cell r="D3386" t="str">
            <v>LADY OF WISDOM</v>
          </cell>
          <cell r="E3386">
            <v>5</v>
          </cell>
          <cell r="H3386" t="str">
            <v>SAFISCOR</v>
          </cell>
          <cell r="N3386">
            <v>1000</v>
          </cell>
          <cell r="Y3386">
            <v>46249</v>
          </cell>
          <cell r="Z3386">
            <v>2</v>
          </cell>
          <cell r="AA3386">
            <v>1000</v>
          </cell>
        </row>
        <row r="3387">
          <cell r="A3387">
            <v>46249</v>
          </cell>
          <cell r="D3387" t="str">
            <v>LADY OF ROSARY</v>
          </cell>
          <cell r="E3387">
            <v>4</v>
          </cell>
          <cell r="H3387" t="str">
            <v>SAFISCOR</v>
          </cell>
          <cell r="N3387">
            <v>1000</v>
          </cell>
          <cell r="Y3387">
            <v>46249</v>
          </cell>
          <cell r="Z3387">
            <v>2</v>
          </cell>
          <cell r="AA3387">
            <v>1000</v>
          </cell>
        </row>
        <row r="3388">
          <cell r="A3388">
            <v>46249</v>
          </cell>
          <cell r="D3388" t="str">
            <v>JISA</v>
          </cell>
          <cell r="E3388">
            <v>1</v>
          </cell>
          <cell r="H3388" t="str">
            <v>SAFISCOR</v>
          </cell>
          <cell r="N3388">
            <v>1000</v>
          </cell>
          <cell r="Y3388">
            <v>46249</v>
          </cell>
          <cell r="Z3388">
            <v>2</v>
          </cell>
          <cell r="AA3388">
            <v>1000</v>
          </cell>
        </row>
        <row r="3389">
          <cell r="A3389">
            <v>46249</v>
          </cell>
          <cell r="D3389" t="str">
            <v>JISA</v>
          </cell>
          <cell r="E3389">
            <v>1</v>
          </cell>
          <cell r="H3389" t="str">
            <v>SAFISCOR</v>
          </cell>
          <cell r="N3389">
            <v>1000</v>
          </cell>
          <cell r="Y3389">
            <v>46249</v>
          </cell>
          <cell r="Z3389">
            <v>2</v>
          </cell>
          <cell r="AA3389">
            <v>1000</v>
          </cell>
        </row>
        <row r="3390">
          <cell r="A3390">
            <v>46249</v>
          </cell>
          <cell r="D3390" t="str">
            <v>JISA</v>
          </cell>
          <cell r="E3390">
            <v>1</v>
          </cell>
          <cell r="H3390" t="str">
            <v>SAFISCOR</v>
          </cell>
          <cell r="N3390">
            <v>1000</v>
          </cell>
          <cell r="Y3390">
            <v>46249</v>
          </cell>
          <cell r="Z3390">
            <v>2</v>
          </cell>
          <cell r="AA3390">
            <v>1000</v>
          </cell>
        </row>
        <row r="3391">
          <cell r="A3391">
            <v>46249</v>
          </cell>
          <cell r="D3391" t="str">
            <v>QUEEN CAROLYN</v>
          </cell>
          <cell r="E3391">
            <v>6</v>
          </cell>
          <cell r="H3391" t="str">
            <v>SAFISCOR</v>
          </cell>
          <cell r="N3391">
            <v>1000</v>
          </cell>
          <cell r="Y3391">
            <v>46249</v>
          </cell>
          <cell r="Z3391">
            <v>2</v>
          </cell>
          <cell r="AA3391">
            <v>1000</v>
          </cell>
        </row>
        <row r="3392">
          <cell r="A3392">
            <v>46249</v>
          </cell>
          <cell r="D3392" t="str">
            <v>LADY OF WISDOM</v>
          </cell>
          <cell r="E3392">
            <v>5</v>
          </cell>
          <cell r="H3392" t="str">
            <v>SAFISCOR</v>
          </cell>
          <cell r="N3392">
            <v>1000</v>
          </cell>
          <cell r="Y3392">
            <v>46249</v>
          </cell>
          <cell r="Z3392">
            <v>2</v>
          </cell>
          <cell r="AA3392">
            <v>1000</v>
          </cell>
        </row>
        <row r="3393">
          <cell r="A3393">
            <v>46249</v>
          </cell>
          <cell r="D3393" t="str">
            <v>LADY OF PEACE</v>
          </cell>
          <cell r="E3393">
            <v>5</v>
          </cell>
          <cell r="H3393" t="str">
            <v>SAFISCOR</v>
          </cell>
          <cell r="N3393">
            <v>1000</v>
          </cell>
          <cell r="Y3393">
            <v>46249</v>
          </cell>
          <cell r="Z3393">
            <v>2</v>
          </cell>
          <cell r="AA3393">
            <v>1000</v>
          </cell>
        </row>
        <row r="3394">
          <cell r="A3394">
            <v>46249</v>
          </cell>
          <cell r="D3394" t="str">
            <v>LADY OF PEACE</v>
          </cell>
          <cell r="E3394">
            <v>5</v>
          </cell>
          <cell r="H3394" t="str">
            <v>SAFISCOR</v>
          </cell>
          <cell r="N3394">
            <v>1000</v>
          </cell>
          <cell r="Y3394">
            <v>46250</v>
          </cell>
          <cell r="Z3394">
            <v>1</v>
          </cell>
          <cell r="AA3394">
            <v>1000</v>
          </cell>
        </row>
        <row r="3395">
          <cell r="A3395">
            <v>46249</v>
          </cell>
          <cell r="D3395" t="str">
            <v>LADY OF PEACE</v>
          </cell>
          <cell r="E3395">
            <v>5</v>
          </cell>
          <cell r="H3395" t="str">
            <v>SAFISCOR</v>
          </cell>
          <cell r="N3395">
            <v>1000</v>
          </cell>
          <cell r="Y3395">
            <v>46250</v>
          </cell>
          <cell r="Z3395">
            <v>1</v>
          </cell>
          <cell r="AA3395">
            <v>1000</v>
          </cell>
        </row>
        <row r="3396">
          <cell r="A3396">
            <v>46249</v>
          </cell>
          <cell r="D3396" t="str">
            <v>LADY OF WISDOM</v>
          </cell>
          <cell r="E3396">
            <v>5</v>
          </cell>
          <cell r="H3396" t="str">
            <v>SAFISCOR</v>
          </cell>
          <cell r="N3396">
            <v>1000</v>
          </cell>
          <cell r="Y3396">
            <v>46250</v>
          </cell>
          <cell r="Z3396">
            <v>1</v>
          </cell>
          <cell r="AA3396">
            <v>1000</v>
          </cell>
        </row>
        <row r="3397">
          <cell r="A3397">
            <v>46249</v>
          </cell>
          <cell r="D3397" t="str">
            <v>LADY OF ROSARY</v>
          </cell>
          <cell r="E3397">
            <v>4</v>
          </cell>
          <cell r="H3397" t="str">
            <v>SAFISCOR</v>
          </cell>
          <cell r="N3397">
            <v>1000</v>
          </cell>
          <cell r="Y3397">
            <v>46249</v>
          </cell>
          <cell r="Z3397">
            <v>2</v>
          </cell>
          <cell r="AA3397">
            <v>1000</v>
          </cell>
        </row>
        <row r="3398">
          <cell r="A3398">
            <v>46249</v>
          </cell>
          <cell r="D3398" t="str">
            <v>LADY OF WISDOM</v>
          </cell>
          <cell r="E3398">
            <v>5</v>
          </cell>
          <cell r="H3398" t="str">
            <v>SAFISCOR</v>
          </cell>
          <cell r="N3398">
            <v>1000</v>
          </cell>
          <cell r="Y3398">
            <v>46249</v>
          </cell>
          <cell r="Z3398">
            <v>2</v>
          </cell>
          <cell r="AA3398">
            <v>1000</v>
          </cell>
        </row>
        <row r="3399">
          <cell r="A3399">
            <v>46249</v>
          </cell>
          <cell r="D3399" t="str">
            <v>LADY OF WISDOM</v>
          </cell>
          <cell r="E3399">
            <v>5</v>
          </cell>
          <cell r="H3399" t="str">
            <v>SAFISCOR</v>
          </cell>
          <cell r="N3399">
            <v>1000</v>
          </cell>
          <cell r="Y3399">
            <v>46249</v>
          </cell>
          <cell r="Z3399">
            <v>2</v>
          </cell>
          <cell r="AA3399">
            <v>1000</v>
          </cell>
        </row>
        <row r="3400">
          <cell r="A3400">
            <v>46249</v>
          </cell>
          <cell r="D3400" t="str">
            <v>LADY OF WISDOM</v>
          </cell>
          <cell r="E3400">
            <v>5</v>
          </cell>
          <cell r="H3400" t="str">
            <v>SAFISCOR</v>
          </cell>
          <cell r="N3400">
            <v>1000</v>
          </cell>
          <cell r="Y3400">
            <v>46249</v>
          </cell>
          <cell r="Z3400">
            <v>2</v>
          </cell>
          <cell r="AA3400">
            <v>1000</v>
          </cell>
        </row>
        <row r="3401">
          <cell r="A3401">
            <v>46249</v>
          </cell>
          <cell r="D3401" t="str">
            <v>LADY OF ROSARY</v>
          </cell>
          <cell r="E3401">
            <v>4</v>
          </cell>
          <cell r="H3401" t="str">
            <v>GEO</v>
          </cell>
          <cell r="N3401">
            <v>1000</v>
          </cell>
          <cell r="Y3401">
            <v>46250</v>
          </cell>
          <cell r="Z3401">
            <v>1</v>
          </cell>
          <cell r="AA3401">
            <v>1000</v>
          </cell>
        </row>
        <row r="3402">
          <cell r="A3402">
            <v>46249</v>
          </cell>
          <cell r="D3402" t="str">
            <v>LADY OF WISDOM</v>
          </cell>
          <cell r="E3402">
            <v>5</v>
          </cell>
          <cell r="H3402" t="str">
            <v>SAFISCOR</v>
          </cell>
          <cell r="N3402">
            <v>1000</v>
          </cell>
          <cell r="Y3402">
            <v>46249</v>
          </cell>
          <cell r="Z3402">
            <v>2</v>
          </cell>
          <cell r="AA3402">
            <v>1000</v>
          </cell>
        </row>
        <row r="3403">
          <cell r="A3403">
            <v>46249</v>
          </cell>
          <cell r="D3403" t="str">
            <v>LADY OF PEACE</v>
          </cell>
          <cell r="E3403">
            <v>5</v>
          </cell>
          <cell r="H3403" t="str">
            <v>SAFISCOR</v>
          </cell>
          <cell r="N3403">
            <v>1000</v>
          </cell>
          <cell r="Y3403">
            <v>46250</v>
          </cell>
          <cell r="Z3403">
            <v>1</v>
          </cell>
          <cell r="AA3403">
            <v>1000</v>
          </cell>
        </row>
        <row r="3404">
          <cell r="A3404">
            <v>46249</v>
          </cell>
          <cell r="D3404" t="str">
            <v>LADY OF ROSARY</v>
          </cell>
          <cell r="E3404">
            <v>4</v>
          </cell>
          <cell r="H3404" t="str">
            <v>SAFISCOR</v>
          </cell>
          <cell r="N3404">
            <v>1000</v>
          </cell>
          <cell r="Y3404">
            <v>46250</v>
          </cell>
          <cell r="Z3404">
            <v>1</v>
          </cell>
          <cell r="AA3404">
            <v>1000</v>
          </cell>
        </row>
        <row r="3405">
          <cell r="A3405">
            <v>46249</v>
          </cell>
          <cell r="D3405" t="str">
            <v>JISA</v>
          </cell>
          <cell r="E3405">
            <v>1</v>
          </cell>
          <cell r="H3405" t="str">
            <v>SAFISCOR</v>
          </cell>
          <cell r="N3405">
            <v>1000</v>
          </cell>
          <cell r="Y3405">
            <v>46249</v>
          </cell>
          <cell r="Z3405">
            <v>2</v>
          </cell>
          <cell r="AA3405">
            <v>1000</v>
          </cell>
        </row>
        <row r="3406">
          <cell r="A3406">
            <v>46249</v>
          </cell>
          <cell r="D3406" t="str">
            <v>JISA</v>
          </cell>
          <cell r="E3406">
            <v>1</v>
          </cell>
          <cell r="H3406" t="str">
            <v>SAFISCOR</v>
          </cell>
          <cell r="N3406">
            <v>1000</v>
          </cell>
          <cell r="Y3406">
            <v>46249</v>
          </cell>
          <cell r="Z3406">
            <v>2</v>
          </cell>
          <cell r="AA3406">
            <v>1000</v>
          </cell>
        </row>
        <row r="3407">
          <cell r="A3407">
            <v>46249</v>
          </cell>
          <cell r="D3407" t="str">
            <v>JISA</v>
          </cell>
          <cell r="E3407">
            <v>1</v>
          </cell>
          <cell r="H3407" t="str">
            <v>SAFISCOR</v>
          </cell>
          <cell r="N3407">
            <v>1000</v>
          </cell>
          <cell r="Y3407">
            <v>46249</v>
          </cell>
          <cell r="Z3407">
            <v>2</v>
          </cell>
          <cell r="AA3407">
            <v>1000</v>
          </cell>
        </row>
        <row r="3408">
          <cell r="A3408">
            <v>46249</v>
          </cell>
          <cell r="D3408" t="str">
            <v>LADY OF ROSARY</v>
          </cell>
          <cell r="E3408">
            <v>4</v>
          </cell>
          <cell r="H3408" t="str">
            <v>SAFISCOR</v>
          </cell>
          <cell r="N3408">
            <v>1000</v>
          </cell>
          <cell r="Y3408">
            <v>46249</v>
          </cell>
          <cell r="Z3408">
            <v>2</v>
          </cell>
          <cell r="AA3408">
            <v>1000</v>
          </cell>
        </row>
        <row r="3409">
          <cell r="A3409">
            <v>46249</v>
          </cell>
          <cell r="D3409" t="str">
            <v>JISA</v>
          </cell>
          <cell r="E3409">
            <v>1</v>
          </cell>
          <cell r="H3409" t="str">
            <v>BADIE</v>
          </cell>
          <cell r="N3409">
            <v>1000</v>
          </cell>
          <cell r="Y3409">
            <v>46249</v>
          </cell>
          <cell r="Z3409">
            <v>2</v>
          </cell>
          <cell r="AA3409">
            <v>1000</v>
          </cell>
        </row>
        <row r="3410">
          <cell r="A3410">
            <v>46250</v>
          </cell>
          <cell r="D3410" t="str">
            <v>LADY OF ROSARY</v>
          </cell>
          <cell r="E3410">
            <v>4</v>
          </cell>
          <cell r="H3410" t="str">
            <v>GEO</v>
          </cell>
          <cell r="N3410">
            <v>1000</v>
          </cell>
          <cell r="Y3410">
            <v>46250</v>
          </cell>
          <cell r="Z3410">
            <v>1</v>
          </cell>
          <cell r="AA3410">
            <v>1000</v>
          </cell>
        </row>
        <row r="3411">
          <cell r="A3411">
            <v>46250</v>
          </cell>
          <cell r="D3411" t="str">
            <v>JISA</v>
          </cell>
          <cell r="E3411">
            <v>1</v>
          </cell>
          <cell r="H3411" t="str">
            <v>SAFISCOR</v>
          </cell>
          <cell r="N3411">
            <v>1000</v>
          </cell>
          <cell r="Y3411">
            <v>46250</v>
          </cell>
          <cell r="Z3411">
            <v>1</v>
          </cell>
          <cell r="AA3411">
            <v>1000</v>
          </cell>
        </row>
        <row r="3412">
          <cell r="A3412">
            <v>46250</v>
          </cell>
          <cell r="D3412" t="str">
            <v>JISA</v>
          </cell>
          <cell r="E3412">
            <v>1</v>
          </cell>
          <cell r="H3412" t="str">
            <v>SAFISCOR</v>
          </cell>
          <cell r="N3412">
            <v>1000</v>
          </cell>
          <cell r="Y3412">
            <v>46250</v>
          </cell>
          <cell r="Z3412">
            <v>1</v>
          </cell>
          <cell r="AA3412">
            <v>1000</v>
          </cell>
        </row>
        <row r="3413">
          <cell r="A3413">
            <v>46250</v>
          </cell>
          <cell r="D3413" t="str">
            <v>LADY OF ROSARY</v>
          </cell>
          <cell r="E3413">
            <v>4</v>
          </cell>
          <cell r="H3413" t="str">
            <v>SAFISCOR</v>
          </cell>
          <cell r="N3413">
            <v>1000</v>
          </cell>
          <cell r="Y3413">
            <v>46250</v>
          </cell>
          <cell r="Z3413">
            <v>1</v>
          </cell>
          <cell r="AA3413">
            <v>1000</v>
          </cell>
        </row>
        <row r="3414">
          <cell r="A3414">
            <v>46250</v>
          </cell>
          <cell r="D3414" t="str">
            <v>JISA</v>
          </cell>
          <cell r="E3414">
            <v>1</v>
          </cell>
          <cell r="H3414" t="str">
            <v>LAPU-LAPU</v>
          </cell>
          <cell r="N3414">
            <v>1000</v>
          </cell>
          <cell r="Y3414">
            <v>46250</v>
          </cell>
          <cell r="Z3414">
            <v>1</v>
          </cell>
          <cell r="AA3414">
            <v>1000</v>
          </cell>
        </row>
        <row r="3415">
          <cell r="A3415">
            <v>46250</v>
          </cell>
          <cell r="D3415" t="str">
            <v>JISA</v>
          </cell>
          <cell r="E3415">
            <v>1</v>
          </cell>
          <cell r="H3415" t="str">
            <v>SAFISCOR</v>
          </cell>
          <cell r="N3415">
            <v>1000</v>
          </cell>
          <cell r="Y3415">
            <v>46250</v>
          </cell>
          <cell r="Z3415">
            <v>1</v>
          </cell>
          <cell r="AA3415">
            <v>1000</v>
          </cell>
        </row>
        <row r="3416">
          <cell r="A3416">
            <v>46250</v>
          </cell>
          <cell r="D3416" t="str">
            <v>LADY OF ROSARY</v>
          </cell>
          <cell r="E3416">
            <v>4</v>
          </cell>
          <cell r="H3416" t="str">
            <v>SAFISCOR</v>
          </cell>
          <cell r="N3416">
            <v>1000</v>
          </cell>
          <cell r="Y3416">
            <v>46250</v>
          </cell>
          <cell r="Z3416">
            <v>1</v>
          </cell>
          <cell r="AA3416">
            <v>1000</v>
          </cell>
        </row>
        <row r="3417">
          <cell r="A3417">
            <v>46250</v>
          </cell>
          <cell r="D3417" t="str">
            <v>JISA</v>
          </cell>
          <cell r="E3417">
            <v>1</v>
          </cell>
          <cell r="H3417" t="str">
            <v>BADIE</v>
          </cell>
          <cell r="N3417">
            <v>1000</v>
          </cell>
          <cell r="Y3417">
            <v>46250</v>
          </cell>
          <cell r="Z3417">
            <v>1</v>
          </cell>
          <cell r="AA3417">
            <v>1000</v>
          </cell>
        </row>
        <row r="3418">
          <cell r="A3418">
            <v>46250</v>
          </cell>
          <cell r="D3418" t="str">
            <v>QUEEN CAROLYN</v>
          </cell>
          <cell r="E3418">
            <v>6</v>
          </cell>
          <cell r="H3418" t="str">
            <v>SAFISCOR</v>
          </cell>
          <cell r="N3418">
            <v>1000</v>
          </cell>
          <cell r="Y3418">
            <v>46250</v>
          </cell>
          <cell r="Z3418">
            <v>1</v>
          </cell>
          <cell r="AA3418">
            <v>1000</v>
          </cell>
        </row>
        <row r="3419">
          <cell r="A3419">
            <v>46250</v>
          </cell>
          <cell r="D3419" t="str">
            <v>QUEEN CAROLYN</v>
          </cell>
          <cell r="E3419">
            <v>6</v>
          </cell>
          <cell r="H3419" t="str">
            <v>SAFISCOR</v>
          </cell>
          <cell r="N3419">
            <v>1000</v>
          </cell>
          <cell r="Y3419">
            <v>46250</v>
          </cell>
          <cell r="Z3419">
            <v>1</v>
          </cell>
          <cell r="AA3419">
            <v>1000</v>
          </cell>
        </row>
        <row r="3420">
          <cell r="A3420">
            <v>46250</v>
          </cell>
          <cell r="D3420" t="str">
            <v>JISA</v>
          </cell>
          <cell r="E3420">
            <v>1</v>
          </cell>
          <cell r="H3420" t="str">
            <v>LAPU-LAPU</v>
          </cell>
          <cell r="N3420">
            <v>1000</v>
          </cell>
          <cell r="Y3420">
            <v>46250</v>
          </cell>
          <cell r="Z3420">
            <v>1</v>
          </cell>
          <cell r="AA3420">
            <v>1000</v>
          </cell>
        </row>
        <row r="3421">
          <cell r="A3421">
            <v>46250</v>
          </cell>
          <cell r="D3421" t="str">
            <v>JISA</v>
          </cell>
          <cell r="E3421">
            <v>1</v>
          </cell>
          <cell r="H3421" t="str">
            <v>SAFISCOR</v>
          </cell>
          <cell r="N3421">
            <v>1000</v>
          </cell>
          <cell r="Y3421">
            <v>46250</v>
          </cell>
          <cell r="Z3421">
            <v>1</v>
          </cell>
          <cell r="AA3421">
            <v>1000</v>
          </cell>
        </row>
        <row r="3422">
          <cell r="A3422">
            <v>46250</v>
          </cell>
          <cell r="D3422" t="str">
            <v>JISA</v>
          </cell>
          <cell r="E3422">
            <v>1</v>
          </cell>
          <cell r="H3422" t="str">
            <v>SAFISCOR</v>
          </cell>
          <cell r="N3422">
            <v>1000</v>
          </cell>
          <cell r="Y3422">
            <v>46250</v>
          </cell>
          <cell r="Z3422">
            <v>1</v>
          </cell>
          <cell r="AA3422">
            <v>1000</v>
          </cell>
        </row>
        <row r="3423">
          <cell r="A3423">
            <v>46250</v>
          </cell>
          <cell r="D3423" t="str">
            <v>JISA</v>
          </cell>
          <cell r="E3423">
            <v>1</v>
          </cell>
          <cell r="H3423" t="str">
            <v>SAFISCOR</v>
          </cell>
          <cell r="N3423">
            <v>1000</v>
          </cell>
          <cell r="Y3423">
            <v>46250</v>
          </cell>
          <cell r="Z3423">
            <v>1</v>
          </cell>
          <cell r="AA3423">
            <v>1000</v>
          </cell>
        </row>
        <row r="3424">
          <cell r="A3424">
            <v>46250</v>
          </cell>
          <cell r="D3424" t="str">
            <v>JISA</v>
          </cell>
          <cell r="E3424">
            <v>1</v>
          </cell>
          <cell r="H3424" t="str">
            <v>SAFISCOR</v>
          </cell>
          <cell r="N3424">
            <v>1000</v>
          </cell>
          <cell r="Y3424">
            <v>46250</v>
          </cell>
          <cell r="Z3424">
            <v>2</v>
          </cell>
          <cell r="AA3424">
            <v>1000</v>
          </cell>
        </row>
        <row r="3425">
          <cell r="A3425">
            <v>46250</v>
          </cell>
          <cell r="D3425" t="str">
            <v>JISA</v>
          </cell>
          <cell r="E3425">
            <v>1</v>
          </cell>
          <cell r="H3425" t="str">
            <v>SAFISCOR</v>
          </cell>
          <cell r="N3425">
            <v>1000</v>
          </cell>
          <cell r="Y3425">
            <v>46250</v>
          </cell>
          <cell r="Z3425">
            <v>2</v>
          </cell>
          <cell r="AA3425">
            <v>1000</v>
          </cell>
        </row>
        <row r="3426">
          <cell r="A3426">
            <v>46250</v>
          </cell>
          <cell r="D3426" t="str">
            <v>JISA</v>
          </cell>
          <cell r="E3426">
            <v>1</v>
          </cell>
          <cell r="H3426" t="str">
            <v>SAFISCOR</v>
          </cell>
          <cell r="N3426">
            <v>1000</v>
          </cell>
          <cell r="Y3426">
            <v>46250</v>
          </cell>
          <cell r="Z3426">
            <v>2</v>
          </cell>
          <cell r="AA3426">
            <v>1000</v>
          </cell>
        </row>
        <row r="3427">
          <cell r="A3427">
            <v>46250</v>
          </cell>
          <cell r="D3427" t="str">
            <v>JISA</v>
          </cell>
          <cell r="E3427">
            <v>1</v>
          </cell>
          <cell r="H3427" t="str">
            <v>SAFISCOR</v>
          </cell>
          <cell r="N3427">
            <v>1000</v>
          </cell>
          <cell r="Y3427">
            <v>46250</v>
          </cell>
          <cell r="Z3427">
            <v>2</v>
          </cell>
          <cell r="AA3427">
            <v>1000</v>
          </cell>
        </row>
        <row r="3438">
          <cell r="A3438">
            <v>46250</v>
          </cell>
          <cell r="D3438" t="str">
            <v>LADY OF PEACE</v>
          </cell>
          <cell r="E3438">
            <v>5</v>
          </cell>
          <cell r="H3438" t="str">
            <v>SAFISCOR</v>
          </cell>
          <cell r="N3438">
            <v>1000</v>
          </cell>
          <cell r="Y3438">
            <v>46251</v>
          </cell>
          <cell r="Z3438">
            <v>1</v>
          </cell>
          <cell r="AA3438">
            <v>1000</v>
          </cell>
        </row>
        <row r="3439">
          <cell r="A3439">
            <v>46251</v>
          </cell>
          <cell r="D3439" t="str">
            <v>LADY OF WISDOM</v>
          </cell>
          <cell r="E3439">
            <v>5</v>
          </cell>
          <cell r="H3439" t="str">
            <v>SAFISCOR</v>
          </cell>
          <cell r="N3439">
            <v>1000</v>
          </cell>
          <cell r="Y3439">
            <v>46251</v>
          </cell>
          <cell r="Z3439">
            <v>1</v>
          </cell>
          <cell r="AA3439">
            <v>1000</v>
          </cell>
        </row>
        <row r="3440">
          <cell r="A3440">
            <v>46251</v>
          </cell>
          <cell r="D3440" t="str">
            <v>LADY OF WISDOM</v>
          </cell>
          <cell r="E3440">
            <v>5</v>
          </cell>
          <cell r="H3440" t="str">
            <v>LAPU-LAPU</v>
          </cell>
          <cell r="N3440">
            <v>1000</v>
          </cell>
          <cell r="Y3440">
            <v>46251</v>
          </cell>
          <cell r="Z3440">
            <v>1</v>
          </cell>
          <cell r="AA3440">
            <v>1000</v>
          </cell>
        </row>
        <row r="3441">
          <cell r="A3441">
            <v>46251</v>
          </cell>
          <cell r="D3441" t="str">
            <v>LADY OF WISDOM</v>
          </cell>
          <cell r="E3441">
            <v>5</v>
          </cell>
          <cell r="H3441" t="str">
            <v>SAFISCOR</v>
          </cell>
          <cell r="N3441">
            <v>1000</v>
          </cell>
          <cell r="Y3441">
            <v>46251</v>
          </cell>
          <cell r="Z3441">
            <v>1</v>
          </cell>
          <cell r="AA3441">
            <v>1000</v>
          </cell>
        </row>
        <row r="3442">
          <cell r="A3442">
            <v>46251</v>
          </cell>
          <cell r="D3442" t="str">
            <v>LADY OF WISDOM</v>
          </cell>
          <cell r="E3442">
            <v>5</v>
          </cell>
          <cell r="H3442" t="str">
            <v>SAFISCOR</v>
          </cell>
          <cell r="N3442">
            <v>1000</v>
          </cell>
          <cell r="Y3442">
            <v>46251</v>
          </cell>
          <cell r="Z3442">
            <v>1</v>
          </cell>
          <cell r="AA3442">
            <v>1000</v>
          </cell>
        </row>
        <row r="3443">
          <cell r="A3443">
            <v>46251</v>
          </cell>
          <cell r="D3443" t="str">
            <v>QUEEN CAROLYN</v>
          </cell>
          <cell r="E3443">
            <v>6</v>
          </cell>
          <cell r="H3443" t="str">
            <v>LAPU-LAPU</v>
          </cell>
          <cell r="N3443">
            <v>1000</v>
          </cell>
          <cell r="Y3443">
            <v>46251</v>
          </cell>
          <cell r="Z3443">
            <v>1</v>
          </cell>
          <cell r="AA3443">
            <v>1000</v>
          </cell>
        </row>
        <row r="3444">
          <cell r="A3444">
            <v>46251</v>
          </cell>
          <cell r="D3444" t="str">
            <v>QUEEN CAROLYN</v>
          </cell>
          <cell r="E3444">
            <v>6</v>
          </cell>
          <cell r="H3444" t="str">
            <v>BADIE</v>
          </cell>
          <cell r="N3444">
            <v>1000</v>
          </cell>
          <cell r="Y3444">
            <v>46251</v>
          </cell>
          <cell r="Z3444">
            <v>1</v>
          </cell>
          <cell r="AA3444">
            <v>1000</v>
          </cell>
        </row>
        <row r="3445">
          <cell r="A3445">
            <v>46251</v>
          </cell>
          <cell r="D3445" t="str">
            <v>QUEEN CAROLYN</v>
          </cell>
          <cell r="E3445">
            <v>6</v>
          </cell>
          <cell r="H3445" t="str">
            <v>APLUS</v>
          </cell>
          <cell r="N3445">
            <v>1000</v>
          </cell>
          <cell r="Y3445">
            <v>46251</v>
          </cell>
          <cell r="Z3445">
            <v>1</v>
          </cell>
          <cell r="AA3445">
            <v>1000</v>
          </cell>
        </row>
        <row r="3446">
          <cell r="A3446">
            <v>46251</v>
          </cell>
          <cell r="D3446" t="str">
            <v>LADY OF PEACE</v>
          </cell>
          <cell r="E3446">
            <v>5</v>
          </cell>
          <cell r="H3446" t="str">
            <v>SAFISCOR</v>
          </cell>
          <cell r="N3446">
            <v>1000</v>
          </cell>
          <cell r="Y3446">
            <v>46251</v>
          </cell>
          <cell r="Z3446">
            <v>2</v>
          </cell>
          <cell r="AA3446">
            <v>1000</v>
          </cell>
        </row>
        <row r="3447">
          <cell r="A3447">
            <v>46251</v>
          </cell>
          <cell r="D3447" t="str">
            <v>LADY OF PEACE</v>
          </cell>
          <cell r="E3447">
            <v>5</v>
          </cell>
          <cell r="H3447" t="str">
            <v>GEO</v>
          </cell>
          <cell r="N3447">
            <v>1000</v>
          </cell>
          <cell r="Y3447">
            <v>46251</v>
          </cell>
          <cell r="Z3447">
            <v>2</v>
          </cell>
          <cell r="AA3447">
            <v>1000</v>
          </cell>
        </row>
        <row r="3448">
          <cell r="A3448">
            <v>46251</v>
          </cell>
          <cell r="D3448" t="str">
            <v>QUEEN CAROLYN</v>
          </cell>
          <cell r="E3448">
            <v>6</v>
          </cell>
          <cell r="H3448" t="str">
            <v>GEO</v>
          </cell>
          <cell r="N3448">
            <v>1000</v>
          </cell>
          <cell r="Y3448">
            <v>46251</v>
          </cell>
          <cell r="Z3448">
            <v>1</v>
          </cell>
          <cell r="AA3448">
            <v>1000</v>
          </cell>
        </row>
        <row r="3449">
          <cell r="A3449">
            <v>46251</v>
          </cell>
          <cell r="D3449" t="str">
            <v>QUEEN CAROLYN</v>
          </cell>
          <cell r="E3449">
            <v>6</v>
          </cell>
          <cell r="H3449" t="str">
            <v>LAPU-LAPU</v>
          </cell>
          <cell r="N3449">
            <v>1000</v>
          </cell>
          <cell r="Y3449">
            <v>46252</v>
          </cell>
          <cell r="Z3449">
            <v>1</v>
          </cell>
          <cell r="AA3449">
            <v>1000</v>
          </cell>
        </row>
        <row r="3450">
          <cell r="A3450">
            <v>46251</v>
          </cell>
          <cell r="D3450" t="str">
            <v>QUEEN CAROLYN</v>
          </cell>
          <cell r="E3450">
            <v>6</v>
          </cell>
          <cell r="H3450" t="str">
            <v>SAFISCOR</v>
          </cell>
          <cell r="N3450">
            <v>1000</v>
          </cell>
          <cell r="Y3450">
            <v>46251</v>
          </cell>
          <cell r="Z3450">
            <v>2</v>
          </cell>
          <cell r="AA3450">
            <v>1000</v>
          </cell>
        </row>
        <row r="3451">
          <cell r="A3451">
            <v>46251</v>
          </cell>
          <cell r="D3451" t="str">
            <v>LADY OF PEACE</v>
          </cell>
          <cell r="E3451">
            <v>5</v>
          </cell>
          <cell r="H3451" t="str">
            <v>SAFISCOR</v>
          </cell>
          <cell r="N3451">
            <v>1000</v>
          </cell>
          <cell r="Y3451">
            <v>46251</v>
          </cell>
          <cell r="Z3451">
            <v>2</v>
          </cell>
          <cell r="AA3451">
            <v>1000</v>
          </cell>
        </row>
        <row r="3452">
          <cell r="A3452">
            <v>46251</v>
          </cell>
          <cell r="D3452" t="str">
            <v>LADY OF PEACE</v>
          </cell>
          <cell r="E3452">
            <v>5</v>
          </cell>
          <cell r="H3452" t="str">
            <v>SAFISCOR</v>
          </cell>
          <cell r="N3452">
            <v>1000</v>
          </cell>
          <cell r="Y3452">
            <v>46251</v>
          </cell>
          <cell r="Z3452">
            <v>2</v>
          </cell>
          <cell r="AA3452">
            <v>1000</v>
          </cell>
        </row>
        <row r="3453">
          <cell r="A3453">
            <v>46251</v>
          </cell>
          <cell r="D3453" t="str">
            <v>QUEEN CAROLYN</v>
          </cell>
          <cell r="E3453">
            <v>6</v>
          </cell>
          <cell r="H3453" t="str">
            <v>SAFISCOR</v>
          </cell>
          <cell r="N3453">
            <v>1000</v>
          </cell>
          <cell r="Y3453">
            <v>46251</v>
          </cell>
          <cell r="Z3453">
            <v>2</v>
          </cell>
          <cell r="AA3453">
            <v>1000</v>
          </cell>
        </row>
        <row r="3454">
          <cell r="A3454">
            <v>46251</v>
          </cell>
          <cell r="D3454" t="str">
            <v>LADY OF PEACE</v>
          </cell>
          <cell r="E3454">
            <v>5</v>
          </cell>
          <cell r="H3454" t="str">
            <v>LAPU-LAPU</v>
          </cell>
          <cell r="N3454">
            <v>1000</v>
          </cell>
          <cell r="Y3454">
            <v>46251</v>
          </cell>
          <cell r="Z3454">
            <v>2</v>
          </cell>
          <cell r="AA3454">
            <v>1000</v>
          </cell>
        </row>
        <row r="3455">
          <cell r="A3455">
            <v>46251</v>
          </cell>
          <cell r="D3455" t="str">
            <v>LADY OF WISDOM</v>
          </cell>
          <cell r="E3455">
            <v>5</v>
          </cell>
          <cell r="H3455" t="str">
            <v>SAFISCOR</v>
          </cell>
          <cell r="N3455">
            <v>1000</v>
          </cell>
          <cell r="Y3455">
            <v>46251</v>
          </cell>
          <cell r="Z3455">
            <v>1</v>
          </cell>
          <cell r="AA3455">
            <v>1000</v>
          </cell>
        </row>
        <row r="3456">
          <cell r="A3456">
            <v>46251</v>
          </cell>
          <cell r="D3456" t="str">
            <v>QUEEN CAROLYN</v>
          </cell>
          <cell r="E3456">
            <v>6</v>
          </cell>
          <cell r="H3456" t="str">
            <v>SAFISCOR</v>
          </cell>
          <cell r="N3456">
            <v>1000</v>
          </cell>
          <cell r="Y3456">
            <v>46251</v>
          </cell>
          <cell r="Z3456">
            <v>2</v>
          </cell>
          <cell r="AA3456">
            <v>1000</v>
          </cell>
        </row>
        <row r="3457">
          <cell r="A3457">
            <v>46251</v>
          </cell>
          <cell r="D3457" t="str">
            <v>LADY OF PEACE</v>
          </cell>
          <cell r="E3457">
            <v>5</v>
          </cell>
          <cell r="H3457" t="str">
            <v>SAFISCOR</v>
          </cell>
          <cell r="N3457">
            <v>1000</v>
          </cell>
          <cell r="Y3457">
            <v>46251</v>
          </cell>
          <cell r="Z3457">
            <v>2</v>
          </cell>
          <cell r="AA3457">
            <v>1000</v>
          </cell>
        </row>
        <row r="3458">
          <cell r="A3458">
            <v>46251</v>
          </cell>
          <cell r="D3458" t="str">
            <v>QUEEN CAROLYN</v>
          </cell>
          <cell r="E3458">
            <v>6</v>
          </cell>
          <cell r="H3458" t="str">
            <v>LAPU-LAPU</v>
          </cell>
          <cell r="N3458">
            <v>1000</v>
          </cell>
          <cell r="Y3458">
            <v>46251</v>
          </cell>
          <cell r="Z3458">
            <v>2</v>
          </cell>
          <cell r="AA3458">
            <v>1000</v>
          </cell>
        </row>
        <row r="3459">
          <cell r="A3459">
            <v>46251</v>
          </cell>
          <cell r="D3459" t="str">
            <v>LADY OF WISDOM</v>
          </cell>
          <cell r="E3459">
            <v>5</v>
          </cell>
          <cell r="H3459" t="str">
            <v>GEO</v>
          </cell>
          <cell r="N3459">
            <v>1000</v>
          </cell>
          <cell r="Y3459">
            <v>46251</v>
          </cell>
          <cell r="Z3459">
            <v>2</v>
          </cell>
          <cell r="AA3459">
            <v>1000</v>
          </cell>
        </row>
        <row r="3460">
          <cell r="A3460">
            <v>46251</v>
          </cell>
          <cell r="D3460" t="str">
            <v>LADY OF WISDOM</v>
          </cell>
          <cell r="E3460">
            <v>5</v>
          </cell>
          <cell r="H3460" t="str">
            <v>SAFISCOR</v>
          </cell>
          <cell r="N3460">
            <v>1000</v>
          </cell>
          <cell r="Y3460">
            <v>46251</v>
          </cell>
          <cell r="Z3460">
            <v>2</v>
          </cell>
          <cell r="AA3460">
            <v>1000</v>
          </cell>
        </row>
        <row r="3461">
          <cell r="A3461">
            <v>46251</v>
          </cell>
          <cell r="D3461" t="str">
            <v>LADY OF WISDOM</v>
          </cell>
          <cell r="E3461">
            <v>5</v>
          </cell>
          <cell r="H3461" t="str">
            <v>SAFISCOR</v>
          </cell>
          <cell r="N3461">
            <v>1000</v>
          </cell>
          <cell r="Y3461">
            <v>46251</v>
          </cell>
          <cell r="Z3461">
            <v>2</v>
          </cell>
          <cell r="AA3461">
            <v>1000</v>
          </cell>
        </row>
        <row r="3462">
          <cell r="A3462">
            <v>46251</v>
          </cell>
          <cell r="D3462" t="str">
            <v>LADY OF WISDOM</v>
          </cell>
          <cell r="E3462">
            <v>5</v>
          </cell>
          <cell r="H3462" t="str">
            <v>LAPU-LAPU</v>
          </cell>
          <cell r="N3462">
            <v>1000</v>
          </cell>
          <cell r="Y3462">
            <v>46251</v>
          </cell>
          <cell r="Z3462">
            <v>1</v>
          </cell>
          <cell r="AA3462">
            <v>1000</v>
          </cell>
        </row>
        <row r="3463">
          <cell r="A3463">
            <v>46251</v>
          </cell>
          <cell r="D3463" t="str">
            <v>QUEEN CAROLYN</v>
          </cell>
          <cell r="E3463">
            <v>6</v>
          </cell>
          <cell r="H3463" t="str">
            <v>BADIE</v>
          </cell>
          <cell r="N3463">
            <v>1000</v>
          </cell>
          <cell r="Y3463">
            <v>46251</v>
          </cell>
          <cell r="Z3463">
            <v>2</v>
          </cell>
          <cell r="AA3463">
            <v>1000</v>
          </cell>
        </row>
        <row r="3464">
          <cell r="A3464">
            <v>46251</v>
          </cell>
          <cell r="D3464" t="str">
            <v>QUEEN CAROLYN</v>
          </cell>
          <cell r="E3464">
            <v>6</v>
          </cell>
          <cell r="H3464" t="str">
            <v>APLUS</v>
          </cell>
          <cell r="N3464">
            <v>1000</v>
          </cell>
          <cell r="Y3464">
            <v>46251</v>
          </cell>
          <cell r="Z3464">
            <v>2</v>
          </cell>
          <cell r="AA3464">
            <v>1000</v>
          </cell>
        </row>
        <row r="3465">
          <cell r="A3465">
            <v>46251</v>
          </cell>
          <cell r="D3465" t="str">
            <v>QUEEN CAROLYN</v>
          </cell>
          <cell r="E3465">
            <v>6</v>
          </cell>
          <cell r="H3465" t="str">
            <v>SAFISCOR</v>
          </cell>
          <cell r="N3465">
            <v>1000</v>
          </cell>
          <cell r="Y3465">
            <v>46251</v>
          </cell>
          <cell r="Z3465">
            <v>2</v>
          </cell>
          <cell r="AA3465">
            <v>1000</v>
          </cell>
        </row>
        <row r="3466">
          <cell r="A3466">
            <v>46251</v>
          </cell>
          <cell r="D3466" t="str">
            <v>LADY OF WISDOM</v>
          </cell>
          <cell r="E3466">
            <v>5</v>
          </cell>
          <cell r="H3466" t="str">
            <v>SAFISCOR</v>
          </cell>
          <cell r="N3466">
            <v>1000</v>
          </cell>
          <cell r="Y3466">
            <v>46251</v>
          </cell>
          <cell r="Z3466">
            <v>2</v>
          </cell>
          <cell r="AA3466">
            <v>1000</v>
          </cell>
        </row>
        <row r="3467">
          <cell r="A3467">
            <v>46251</v>
          </cell>
          <cell r="D3467" t="str">
            <v>LADY OF WISDOM</v>
          </cell>
          <cell r="E3467">
            <v>5</v>
          </cell>
          <cell r="H3467" t="str">
            <v>SAFISCOR</v>
          </cell>
          <cell r="N3467">
            <v>1000</v>
          </cell>
          <cell r="Y3467">
            <v>46251</v>
          </cell>
          <cell r="Z3467">
            <v>2</v>
          </cell>
          <cell r="AA3467">
            <v>1000</v>
          </cell>
        </row>
        <row r="3468">
          <cell r="A3468">
            <v>46251</v>
          </cell>
          <cell r="D3468" t="str">
            <v>STAR ILIGAN</v>
          </cell>
          <cell r="E3468">
            <v>6</v>
          </cell>
          <cell r="H3468" t="str">
            <v>SAFISCOR</v>
          </cell>
          <cell r="N3468">
            <v>1000</v>
          </cell>
          <cell r="Y3468">
            <v>46252</v>
          </cell>
          <cell r="Z3468">
            <v>1</v>
          </cell>
          <cell r="AA3468">
            <v>1000</v>
          </cell>
        </row>
        <row r="3469">
          <cell r="A3469">
            <v>46251</v>
          </cell>
          <cell r="D3469" t="str">
            <v>STAR ILIGAN</v>
          </cell>
          <cell r="E3469">
            <v>6</v>
          </cell>
          <cell r="H3469" t="str">
            <v>SAFISCOR</v>
          </cell>
          <cell r="N3469">
            <v>1000</v>
          </cell>
          <cell r="Y3469">
            <v>46253</v>
          </cell>
          <cell r="Z3469">
            <v>1</v>
          </cell>
          <cell r="AA3469">
            <v>1000</v>
          </cell>
        </row>
        <row r="3470">
          <cell r="A3470">
            <v>46251</v>
          </cell>
          <cell r="D3470" t="str">
            <v>STAR ILIGAN</v>
          </cell>
          <cell r="E3470">
            <v>6</v>
          </cell>
          <cell r="H3470" t="str">
            <v>SAFISCOR</v>
          </cell>
          <cell r="N3470">
            <v>1000</v>
          </cell>
          <cell r="Y3470">
            <v>46252</v>
          </cell>
          <cell r="Z3470">
            <v>1</v>
          </cell>
          <cell r="AA3470">
            <v>1000</v>
          </cell>
        </row>
        <row r="3471">
          <cell r="A3471">
            <v>46251</v>
          </cell>
          <cell r="D3471" t="str">
            <v>STAR ILIGAN</v>
          </cell>
          <cell r="E3471">
            <v>6</v>
          </cell>
          <cell r="H3471" t="str">
            <v>SAFISCOR</v>
          </cell>
          <cell r="N3471">
            <v>1000</v>
          </cell>
          <cell r="Y3471">
            <v>46253</v>
          </cell>
          <cell r="Z3471">
            <v>1</v>
          </cell>
          <cell r="AA3471">
            <v>1000</v>
          </cell>
        </row>
        <row r="3472">
          <cell r="A3472">
            <v>46251</v>
          </cell>
          <cell r="D3472" t="str">
            <v>SF NAVIGATOR</v>
          </cell>
          <cell r="E3472">
            <v>1</v>
          </cell>
          <cell r="H3472" t="str">
            <v>SAFISCOR</v>
          </cell>
          <cell r="N3472">
            <v>1000</v>
          </cell>
          <cell r="Y3472">
            <v>46252</v>
          </cell>
          <cell r="Z3472">
            <v>2</v>
          </cell>
          <cell r="AA3472">
            <v>1000</v>
          </cell>
        </row>
        <row r="3473">
          <cell r="A3473">
            <v>46251</v>
          </cell>
          <cell r="D3473" t="str">
            <v>SF NAVIGATOR</v>
          </cell>
          <cell r="E3473">
            <v>1</v>
          </cell>
          <cell r="H3473" t="str">
            <v>SAFISCOR</v>
          </cell>
          <cell r="N3473">
            <v>1000</v>
          </cell>
          <cell r="Y3473">
            <v>46252</v>
          </cell>
          <cell r="Z3473">
            <v>2</v>
          </cell>
          <cell r="AA3473">
            <v>1000</v>
          </cell>
        </row>
        <row r="3474">
          <cell r="A3474">
            <v>46251</v>
          </cell>
          <cell r="D3474" t="str">
            <v>SF NAVIGATOR</v>
          </cell>
          <cell r="E3474">
            <v>1</v>
          </cell>
          <cell r="H3474" t="str">
            <v>SAFISCOR</v>
          </cell>
          <cell r="N3474">
            <v>1000</v>
          </cell>
          <cell r="Y3474">
            <v>46252</v>
          </cell>
          <cell r="Z3474">
            <v>2</v>
          </cell>
          <cell r="AA3474">
            <v>1000</v>
          </cell>
        </row>
        <row r="3475">
          <cell r="A3475">
            <v>46251</v>
          </cell>
          <cell r="D3475" t="str">
            <v>SF NAVIGATOR</v>
          </cell>
          <cell r="E3475">
            <v>1</v>
          </cell>
          <cell r="H3475" t="str">
            <v>SAFISCOR</v>
          </cell>
          <cell r="N3475">
            <v>1000</v>
          </cell>
          <cell r="Y3475">
            <v>46252</v>
          </cell>
          <cell r="Z3475">
            <v>1</v>
          </cell>
          <cell r="AA3475">
            <v>1000</v>
          </cell>
        </row>
        <row r="3476">
          <cell r="A3476">
            <v>46251</v>
          </cell>
          <cell r="D3476" t="str">
            <v>SF NAVIGATOR</v>
          </cell>
          <cell r="E3476">
            <v>1</v>
          </cell>
          <cell r="H3476" t="str">
            <v>SAFISCOR</v>
          </cell>
          <cell r="N3476">
            <v>1000</v>
          </cell>
          <cell r="Y3476">
            <v>46252</v>
          </cell>
          <cell r="Z3476">
            <v>2</v>
          </cell>
          <cell r="AA3476">
            <v>1000</v>
          </cell>
        </row>
        <row r="3477">
          <cell r="A3477">
            <v>46251</v>
          </cell>
          <cell r="D3477" t="str">
            <v>SF NAVIGATOR</v>
          </cell>
          <cell r="E3477">
            <v>1</v>
          </cell>
          <cell r="H3477" t="str">
            <v>SAFISCOR</v>
          </cell>
          <cell r="N3477">
            <v>1000</v>
          </cell>
        </row>
        <row r="3478">
          <cell r="A3478">
            <v>46251</v>
          </cell>
          <cell r="D3478" t="str">
            <v>SF NAVIGATOR</v>
          </cell>
          <cell r="E3478">
            <v>1</v>
          </cell>
          <cell r="H3478" t="str">
            <v>SAFISCOR</v>
          </cell>
          <cell r="N3478">
            <v>600</v>
          </cell>
          <cell r="Y3478">
            <v>46251</v>
          </cell>
          <cell r="Z3478">
            <v>2</v>
          </cell>
          <cell r="AA3478">
            <v>600</v>
          </cell>
        </row>
        <row r="3479">
          <cell r="A3479">
            <v>46251</v>
          </cell>
          <cell r="D3479" t="str">
            <v>QUEEN CAROLYN</v>
          </cell>
          <cell r="E3479">
            <v>6</v>
          </cell>
          <cell r="H3479" t="str">
            <v>SAFISCOR</v>
          </cell>
          <cell r="N3479">
            <v>1000</v>
          </cell>
          <cell r="Y3479">
            <v>46251</v>
          </cell>
          <cell r="Z3479">
            <v>2</v>
          </cell>
          <cell r="AA3479">
            <v>1000</v>
          </cell>
        </row>
        <row r="3480">
          <cell r="A3480">
            <v>46251</v>
          </cell>
          <cell r="D3480" t="str">
            <v>LADY OF PEACE</v>
          </cell>
          <cell r="E3480">
            <v>5</v>
          </cell>
          <cell r="H3480" t="str">
            <v>LAPU-LAPU</v>
          </cell>
          <cell r="N3480">
            <v>1000</v>
          </cell>
          <cell r="Y3480">
            <v>46251</v>
          </cell>
          <cell r="Z3480">
            <v>2</v>
          </cell>
          <cell r="AA3480">
            <v>1000</v>
          </cell>
        </row>
        <row r="3481">
          <cell r="A3481">
            <v>46251</v>
          </cell>
          <cell r="D3481" t="str">
            <v>QUEEN CAROLYN</v>
          </cell>
          <cell r="E3481">
            <v>6</v>
          </cell>
          <cell r="H3481" t="str">
            <v>LAPU-LAPU</v>
          </cell>
          <cell r="N3481">
            <v>1000</v>
          </cell>
          <cell r="Y3481">
            <v>46252</v>
          </cell>
          <cell r="Z3481">
            <v>1</v>
          </cell>
          <cell r="AA3481">
            <v>1000</v>
          </cell>
        </row>
        <row r="3482">
          <cell r="A3482">
            <v>46251</v>
          </cell>
          <cell r="D3482" t="str">
            <v>QUEEN CAROLYN</v>
          </cell>
          <cell r="E3482">
            <v>6</v>
          </cell>
          <cell r="H3482" t="str">
            <v>SAFISCOR</v>
          </cell>
          <cell r="N3482">
            <v>1000</v>
          </cell>
          <cell r="Y3482">
            <v>46251</v>
          </cell>
          <cell r="Z3482">
            <v>2</v>
          </cell>
          <cell r="AA3482">
            <v>1000</v>
          </cell>
        </row>
        <row r="3483">
          <cell r="A3483">
            <v>46251</v>
          </cell>
          <cell r="D3483" t="str">
            <v>QUEEN CAROLYN</v>
          </cell>
          <cell r="E3483">
            <v>6</v>
          </cell>
          <cell r="H3483" t="str">
            <v>SAFISCOR</v>
          </cell>
          <cell r="N3483">
            <v>1000</v>
          </cell>
          <cell r="Y3483">
            <v>46252</v>
          </cell>
          <cell r="Z3483">
            <v>1</v>
          </cell>
          <cell r="AA3483">
            <v>1000</v>
          </cell>
        </row>
        <row r="3484">
          <cell r="A3484">
            <v>46251</v>
          </cell>
          <cell r="D3484" t="str">
            <v>SF NAVIGATOR</v>
          </cell>
          <cell r="E3484">
            <v>1</v>
          </cell>
          <cell r="H3484" t="str">
            <v>SAFISCOR</v>
          </cell>
          <cell r="N3484">
            <v>1000</v>
          </cell>
          <cell r="Y3484">
            <v>46252</v>
          </cell>
          <cell r="Z3484">
            <v>2</v>
          </cell>
          <cell r="AA3484">
            <v>1000</v>
          </cell>
        </row>
        <row r="3485">
          <cell r="A3485">
            <v>46251</v>
          </cell>
          <cell r="D3485" t="str">
            <v>SF NAVIGATOR</v>
          </cell>
          <cell r="E3485">
            <v>1</v>
          </cell>
          <cell r="H3485" t="str">
            <v>SAFISCOR</v>
          </cell>
          <cell r="N3485">
            <v>1000</v>
          </cell>
          <cell r="Y3485">
            <v>46252</v>
          </cell>
          <cell r="Z3485">
            <v>1</v>
          </cell>
          <cell r="AA3485">
            <v>1000</v>
          </cell>
        </row>
        <row r="3486">
          <cell r="A3486">
            <v>46251</v>
          </cell>
          <cell r="D3486" t="str">
            <v>SF NAVIGATOR</v>
          </cell>
          <cell r="E3486">
            <v>1</v>
          </cell>
          <cell r="H3486" t="str">
            <v>SAFISCOR</v>
          </cell>
          <cell r="N3486">
            <v>1000</v>
          </cell>
          <cell r="Y3486">
            <v>46252</v>
          </cell>
          <cell r="Z3486">
            <v>2</v>
          </cell>
          <cell r="AA3486">
            <v>1000</v>
          </cell>
        </row>
        <row r="3487">
          <cell r="A3487">
            <v>46251</v>
          </cell>
          <cell r="D3487" t="str">
            <v>SF NAVIGATOR</v>
          </cell>
          <cell r="E3487">
            <v>1</v>
          </cell>
          <cell r="H3487" t="str">
            <v>SAFISCOR</v>
          </cell>
          <cell r="N3487">
            <v>1000</v>
          </cell>
          <cell r="Y3487">
            <v>46252</v>
          </cell>
          <cell r="Z3487">
            <v>2</v>
          </cell>
          <cell r="AA3487">
            <v>1000</v>
          </cell>
        </row>
        <row r="3488">
          <cell r="A3488">
            <v>46251</v>
          </cell>
          <cell r="D3488" t="str">
            <v>SF NAVIGATOR</v>
          </cell>
          <cell r="E3488">
            <v>1</v>
          </cell>
          <cell r="H3488" t="str">
            <v>SAFISCOR</v>
          </cell>
          <cell r="N3488">
            <v>1000</v>
          </cell>
          <cell r="Y3488">
            <v>46252</v>
          </cell>
          <cell r="Z3488">
            <v>2</v>
          </cell>
          <cell r="AA3488">
            <v>1000</v>
          </cell>
        </row>
        <row r="3489">
          <cell r="A3489">
            <v>46251</v>
          </cell>
          <cell r="D3489" t="str">
            <v>LADY OF PEACE</v>
          </cell>
          <cell r="E3489">
            <v>5</v>
          </cell>
          <cell r="H3489" t="str">
            <v>SAFISCOR</v>
          </cell>
          <cell r="N3489">
            <v>1000</v>
          </cell>
          <cell r="Y3489">
            <v>46251</v>
          </cell>
          <cell r="Z3489">
            <v>2</v>
          </cell>
          <cell r="AA3489">
            <v>1000</v>
          </cell>
        </row>
        <row r="3490">
          <cell r="A3490">
            <v>46251</v>
          </cell>
          <cell r="D3490" t="str">
            <v>STAR ILIGAN</v>
          </cell>
          <cell r="E3490">
            <v>6</v>
          </cell>
          <cell r="H3490" t="str">
            <v>SAFISCOR</v>
          </cell>
          <cell r="N3490">
            <v>1000</v>
          </cell>
          <cell r="Y3490">
            <v>46252</v>
          </cell>
          <cell r="Z3490">
            <v>1</v>
          </cell>
          <cell r="AA3490">
            <v>1000</v>
          </cell>
        </row>
        <row r="3491">
          <cell r="A3491">
            <v>46251</v>
          </cell>
          <cell r="D3491" t="str">
            <v>SF NAVIGATOR</v>
          </cell>
          <cell r="E3491">
            <v>1</v>
          </cell>
          <cell r="H3491" t="str">
            <v>SAFISCOR</v>
          </cell>
          <cell r="N3491">
            <v>1000</v>
          </cell>
          <cell r="Y3491">
            <v>46251</v>
          </cell>
          <cell r="Z3491">
            <v>2</v>
          </cell>
          <cell r="AA3491">
            <v>1000</v>
          </cell>
        </row>
        <row r="3492">
          <cell r="A3492">
            <v>46251</v>
          </cell>
          <cell r="D3492" t="str">
            <v>SF NAVIGATOR</v>
          </cell>
          <cell r="E3492">
            <v>1</v>
          </cell>
          <cell r="H3492" t="str">
            <v>SAFISCOR</v>
          </cell>
          <cell r="N3492">
            <v>1000</v>
          </cell>
          <cell r="Y3492">
            <v>46252</v>
          </cell>
          <cell r="Z3492">
            <v>2</v>
          </cell>
          <cell r="AA3492">
            <v>1000</v>
          </cell>
        </row>
        <row r="3493">
          <cell r="A3493">
            <v>46251</v>
          </cell>
          <cell r="D3493" t="str">
            <v>SF NAVIGATOR</v>
          </cell>
          <cell r="E3493">
            <v>1</v>
          </cell>
          <cell r="H3493" t="str">
            <v>SAFISCOR</v>
          </cell>
          <cell r="N3493">
            <v>400</v>
          </cell>
          <cell r="Y3493">
            <v>46252</v>
          </cell>
          <cell r="Z3493">
            <v>2</v>
          </cell>
          <cell r="AA3493">
            <v>400</v>
          </cell>
        </row>
        <row r="3494">
          <cell r="A3494">
            <v>46251</v>
          </cell>
          <cell r="D3494" t="str">
            <v>SF NAVIGATOR</v>
          </cell>
          <cell r="E3494">
            <v>1</v>
          </cell>
          <cell r="H3494" t="str">
            <v>LAPU-LAPU</v>
          </cell>
          <cell r="N3494">
            <v>1000</v>
          </cell>
          <cell r="Y3494">
            <v>46252</v>
          </cell>
          <cell r="Z3494">
            <v>2</v>
          </cell>
          <cell r="AA3494">
            <v>1000</v>
          </cell>
        </row>
        <row r="3495">
          <cell r="A3495">
            <v>46251</v>
          </cell>
          <cell r="D3495" t="str">
            <v>STAR ILIGAN</v>
          </cell>
          <cell r="E3495">
            <v>6</v>
          </cell>
          <cell r="H3495" t="str">
            <v>BADIE</v>
          </cell>
          <cell r="N3495">
            <v>1000</v>
          </cell>
          <cell r="Y3495">
            <v>46252</v>
          </cell>
          <cell r="Z3495">
            <v>1</v>
          </cell>
          <cell r="AA3495">
            <v>1000</v>
          </cell>
        </row>
        <row r="3496">
          <cell r="A3496">
            <v>46251</v>
          </cell>
          <cell r="D3496" t="str">
            <v>SF NAVIGATOR</v>
          </cell>
          <cell r="E3496">
            <v>1</v>
          </cell>
          <cell r="H3496" t="str">
            <v>SAFISCOR</v>
          </cell>
          <cell r="N3496">
            <v>1000</v>
          </cell>
          <cell r="Y3496">
            <v>46252</v>
          </cell>
          <cell r="Z3496">
            <v>1</v>
          </cell>
          <cell r="AA3496">
            <v>1000</v>
          </cell>
        </row>
        <row r="3497">
          <cell r="A3497">
            <v>46251</v>
          </cell>
          <cell r="D3497" t="str">
            <v>SF NAVIGATOR</v>
          </cell>
          <cell r="E3497">
            <v>1</v>
          </cell>
          <cell r="H3497" t="str">
            <v>SAFISCOR</v>
          </cell>
          <cell r="N3497">
            <v>1000</v>
          </cell>
          <cell r="Y3497">
            <v>46252</v>
          </cell>
          <cell r="Z3497">
            <v>2</v>
          </cell>
          <cell r="AA3497">
            <v>1000</v>
          </cell>
        </row>
        <row r="3498">
          <cell r="A3498">
            <v>46251</v>
          </cell>
          <cell r="D3498" t="str">
            <v>SF NAVIGATOR</v>
          </cell>
          <cell r="E3498">
            <v>1</v>
          </cell>
          <cell r="H3498" t="str">
            <v>LAPU-LAPU</v>
          </cell>
          <cell r="N3498">
            <v>1000</v>
          </cell>
          <cell r="Y3498">
            <v>46252</v>
          </cell>
          <cell r="Z3498">
            <v>1</v>
          </cell>
          <cell r="AA3498">
            <v>1000</v>
          </cell>
        </row>
        <row r="3499">
          <cell r="A3499">
            <v>46251</v>
          </cell>
          <cell r="D3499" t="str">
            <v>SF NAVIGATOR</v>
          </cell>
          <cell r="E3499">
            <v>1</v>
          </cell>
          <cell r="H3499" t="str">
            <v>SAFISCOR</v>
          </cell>
          <cell r="N3499">
            <v>1000</v>
          </cell>
          <cell r="Y3499">
            <v>46252</v>
          </cell>
          <cell r="Z3499">
            <v>2</v>
          </cell>
          <cell r="AA3499">
            <v>1000</v>
          </cell>
        </row>
        <row r="3500">
          <cell r="A3500">
            <v>46251</v>
          </cell>
          <cell r="D3500" t="str">
            <v>LADY OF PEACE</v>
          </cell>
          <cell r="E3500">
            <v>5</v>
          </cell>
          <cell r="H3500" t="str">
            <v>SAFISCOR</v>
          </cell>
          <cell r="N3500">
            <v>1000</v>
          </cell>
          <cell r="Y3500">
            <v>46251</v>
          </cell>
          <cell r="Z3500">
            <v>2</v>
          </cell>
          <cell r="AA3500">
            <v>1000</v>
          </cell>
        </row>
        <row r="3501">
          <cell r="A3501">
            <v>46251</v>
          </cell>
          <cell r="D3501" t="str">
            <v>LADY OF PEACE</v>
          </cell>
          <cell r="E3501">
            <v>5</v>
          </cell>
          <cell r="H3501" t="str">
            <v>SAFISCOR</v>
          </cell>
          <cell r="N3501">
            <v>1000</v>
          </cell>
          <cell r="Y3501">
            <v>46251</v>
          </cell>
          <cell r="Z3501">
            <v>2</v>
          </cell>
          <cell r="AA3501">
            <v>1000</v>
          </cell>
        </row>
        <row r="3502">
          <cell r="A3502">
            <v>46252</v>
          </cell>
          <cell r="D3502" t="str">
            <v>LADY OF PEACE</v>
          </cell>
          <cell r="E3502">
            <v>5</v>
          </cell>
          <cell r="H3502" t="str">
            <v>SAFISCOR</v>
          </cell>
          <cell r="N3502">
            <v>1000</v>
          </cell>
          <cell r="Y3502">
            <v>46252</v>
          </cell>
          <cell r="Z3502">
            <v>1</v>
          </cell>
          <cell r="AA3502">
            <v>1000</v>
          </cell>
        </row>
        <row r="3503">
          <cell r="A3503">
            <v>46252</v>
          </cell>
          <cell r="D3503" t="str">
            <v>STAR ILIGAN</v>
          </cell>
          <cell r="E3503">
            <v>6</v>
          </cell>
          <cell r="H3503" t="str">
            <v>GEO</v>
          </cell>
          <cell r="N3503">
            <v>1000</v>
          </cell>
          <cell r="Y3503">
            <v>46252</v>
          </cell>
          <cell r="Z3503">
            <v>2</v>
          </cell>
          <cell r="AA3503">
            <v>1000</v>
          </cell>
        </row>
        <row r="3506">
          <cell r="A3506">
            <v>46252</v>
          </cell>
          <cell r="D3506" t="str">
            <v>LADY OF PEACE</v>
          </cell>
          <cell r="E3506">
            <v>5</v>
          </cell>
          <cell r="H3506" t="str">
            <v>SAFISCOR</v>
          </cell>
          <cell r="N3506">
            <v>1000</v>
          </cell>
          <cell r="Y3506">
            <v>46252</v>
          </cell>
          <cell r="Z3506">
            <v>1</v>
          </cell>
          <cell r="AA3506">
            <v>1000</v>
          </cell>
        </row>
        <row r="3507">
          <cell r="A3507">
            <v>46252</v>
          </cell>
          <cell r="D3507" t="str">
            <v>SF NAVIGATOR</v>
          </cell>
          <cell r="E3507">
            <v>1</v>
          </cell>
          <cell r="H3507" t="str">
            <v>SAFISCOR</v>
          </cell>
          <cell r="N3507">
            <v>1000</v>
          </cell>
          <cell r="Y3507">
            <v>46252</v>
          </cell>
          <cell r="Z3507">
            <v>1</v>
          </cell>
          <cell r="AA3507">
            <v>1000</v>
          </cell>
        </row>
        <row r="3508">
          <cell r="A3508">
            <v>46252</v>
          </cell>
          <cell r="D3508" t="str">
            <v>LADY OF PEACE</v>
          </cell>
          <cell r="E3508">
            <v>5</v>
          </cell>
          <cell r="H3508" t="str">
            <v>APLUS</v>
          </cell>
          <cell r="N3508">
            <v>1000</v>
          </cell>
          <cell r="Y3508">
            <v>46252</v>
          </cell>
          <cell r="Z3508">
            <v>1</v>
          </cell>
          <cell r="AA3508">
            <v>1000</v>
          </cell>
        </row>
        <row r="3509">
          <cell r="A3509">
            <v>46252</v>
          </cell>
          <cell r="D3509" t="str">
            <v>LADY OF PEACE</v>
          </cell>
          <cell r="E3509">
            <v>5</v>
          </cell>
          <cell r="H3509" t="str">
            <v>SAFISCOR</v>
          </cell>
          <cell r="N3509">
            <v>1000</v>
          </cell>
          <cell r="Y3509">
            <v>46252</v>
          </cell>
          <cell r="Z3509">
            <v>1</v>
          </cell>
          <cell r="AA3509">
            <v>1000</v>
          </cell>
        </row>
        <row r="3510">
          <cell r="A3510">
            <v>46252</v>
          </cell>
          <cell r="D3510" t="str">
            <v>LADY OF PEACE</v>
          </cell>
          <cell r="E3510">
            <v>5</v>
          </cell>
          <cell r="H3510" t="str">
            <v>SAFISCOR</v>
          </cell>
          <cell r="N3510">
            <v>1000</v>
          </cell>
          <cell r="Y3510">
            <v>46252</v>
          </cell>
          <cell r="Z3510">
            <v>1</v>
          </cell>
          <cell r="AA3510">
            <v>1000</v>
          </cell>
        </row>
        <row r="3511">
          <cell r="A3511">
            <v>46252</v>
          </cell>
          <cell r="D3511" t="str">
            <v>LADY OF PEACE</v>
          </cell>
          <cell r="E3511">
            <v>5</v>
          </cell>
          <cell r="H3511" t="str">
            <v>FULACHE</v>
          </cell>
          <cell r="N3511">
            <v>1000</v>
          </cell>
          <cell r="Y3511">
            <v>46252</v>
          </cell>
          <cell r="Z3511">
            <v>1</v>
          </cell>
          <cell r="AA3511">
            <v>1000</v>
          </cell>
        </row>
        <row r="3512">
          <cell r="A3512">
            <v>46252</v>
          </cell>
          <cell r="D3512" t="str">
            <v>LADY OF PEACE</v>
          </cell>
          <cell r="E3512">
            <v>5</v>
          </cell>
          <cell r="H3512" t="str">
            <v>SAFISCOR</v>
          </cell>
          <cell r="N3512">
            <v>1000</v>
          </cell>
          <cell r="Y3512">
            <v>46252</v>
          </cell>
          <cell r="Z3512">
            <v>1</v>
          </cell>
          <cell r="AA3512">
            <v>1000</v>
          </cell>
        </row>
        <row r="3513">
          <cell r="A3513">
            <v>46252</v>
          </cell>
          <cell r="D3513" t="str">
            <v>LADY OF PEACE</v>
          </cell>
          <cell r="E3513">
            <v>5</v>
          </cell>
          <cell r="H3513" t="str">
            <v>GEO</v>
          </cell>
          <cell r="N3513">
            <v>1000</v>
          </cell>
          <cell r="Y3513">
            <v>46252</v>
          </cell>
          <cell r="Z3513">
            <v>1</v>
          </cell>
          <cell r="AA3513">
            <v>1000</v>
          </cell>
        </row>
        <row r="3514">
          <cell r="A3514">
            <v>46252</v>
          </cell>
          <cell r="D3514" t="str">
            <v>EMERALD STAR</v>
          </cell>
          <cell r="E3514">
            <v>7</v>
          </cell>
          <cell r="H3514" t="str">
            <v>GEO</v>
          </cell>
          <cell r="N3514">
            <v>1000</v>
          </cell>
          <cell r="Y3514">
            <v>46252</v>
          </cell>
          <cell r="Z3514">
            <v>1</v>
          </cell>
          <cell r="AA3514">
            <v>1000</v>
          </cell>
        </row>
        <row r="3515">
          <cell r="A3515">
            <v>46252</v>
          </cell>
          <cell r="D3515" t="str">
            <v>EMERALD STAR</v>
          </cell>
          <cell r="E3515">
            <v>7</v>
          </cell>
          <cell r="H3515" t="str">
            <v>SAFISCOR</v>
          </cell>
          <cell r="N3515">
            <v>1000</v>
          </cell>
          <cell r="Y3515">
            <v>46252</v>
          </cell>
          <cell r="Z3515">
            <v>1</v>
          </cell>
          <cell r="AA3515">
            <v>1000</v>
          </cell>
        </row>
        <row r="3516">
          <cell r="A3516">
            <v>46252</v>
          </cell>
          <cell r="D3516" t="str">
            <v>EMERALD STAR</v>
          </cell>
          <cell r="E3516">
            <v>7</v>
          </cell>
          <cell r="H3516" t="str">
            <v>SAFISCOR</v>
          </cell>
          <cell r="N3516">
            <v>1000</v>
          </cell>
          <cell r="Y3516">
            <v>46252</v>
          </cell>
          <cell r="Z3516">
            <v>1</v>
          </cell>
          <cell r="AA3516">
            <v>1000</v>
          </cell>
        </row>
        <row r="3517">
          <cell r="A3517">
            <v>46252</v>
          </cell>
          <cell r="D3517" t="str">
            <v>SF NAVIGATOR</v>
          </cell>
          <cell r="E3517">
            <v>1</v>
          </cell>
          <cell r="H3517" t="str">
            <v>SAFISCOR</v>
          </cell>
          <cell r="N3517">
            <v>250</v>
          </cell>
          <cell r="Y3517">
            <v>46252</v>
          </cell>
          <cell r="Z3517">
            <v>2</v>
          </cell>
          <cell r="AA3517">
            <v>250</v>
          </cell>
        </row>
        <row r="3518">
          <cell r="A3518">
            <v>46252</v>
          </cell>
          <cell r="D3518" t="str">
            <v>EMERALD STAR</v>
          </cell>
          <cell r="E3518">
            <v>7</v>
          </cell>
          <cell r="H3518" t="str">
            <v>SAFISCOR</v>
          </cell>
          <cell r="N3518">
            <v>1000</v>
          </cell>
          <cell r="Y3518">
            <v>46252</v>
          </cell>
          <cell r="Z3518">
            <v>2</v>
          </cell>
          <cell r="AA3518">
            <v>1000</v>
          </cell>
        </row>
        <row r="3519">
          <cell r="A3519">
            <v>46252</v>
          </cell>
          <cell r="D3519" t="str">
            <v>EMERALD STAR</v>
          </cell>
          <cell r="E3519">
            <v>7</v>
          </cell>
          <cell r="H3519" t="str">
            <v>SAFISCOR</v>
          </cell>
          <cell r="N3519">
            <v>1000</v>
          </cell>
          <cell r="Y3519">
            <v>46252</v>
          </cell>
          <cell r="Z3519">
            <v>1</v>
          </cell>
          <cell r="AA3519">
            <v>1000</v>
          </cell>
        </row>
        <row r="3520">
          <cell r="A3520">
            <v>46252</v>
          </cell>
          <cell r="D3520" t="str">
            <v>SF NAVIGATOR</v>
          </cell>
          <cell r="E3520">
            <v>1</v>
          </cell>
          <cell r="H3520" t="str">
            <v>LAPU-LAPU</v>
          </cell>
          <cell r="N3520">
            <v>1000</v>
          </cell>
          <cell r="Y3520">
            <v>46253</v>
          </cell>
          <cell r="Z3520">
            <v>1</v>
          </cell>
          <cell r="AA3520">
            <v>1000</v>
          </cell>
        </row>
        <row r="3521">
          <cell r="A3521">
            <v>46252</v>
          </cell>
          <cell r="D3521" t="str">
            <v>EMERALD STAR</v>
          </cell>
          <cell r="E3521">
            <v>7</v>
          </cell>
          <cell r="H3521" t="str">
            <v>APLUS</v>
          </cell>
          <cell r="N3521">
            <v>1000</v>
          </cell>
          <cell r="Y3521">
            <v>46252</v>
          </cell>
          <cell r="Z3521">
            <v>1</v>
          </cell>
          <cell r="AA3521">
            <v>1000</v>
          </cell>
        </row>
        <row r="3522">
          <cell r="A3522">
            <v>46252</v>
          </cell>
          <cell r="D3522" t="str">
            <v>EFG 7</v>
          </cell>
          <cell r="E3522">
            <v>4</v>
          </cell>
          <cell r="H3522" t="str">
            <v>LAPU-LAPU</v>
          </cell>
          <cell r="N3522">
            <v>1000</v>
          </cell>
          <cell r="Y3522">
            <v>46252</v>
          </cell>
          <cell r="Z3522">
            <v>2</v>
          </cell>
          <cell r="AA3522">
            <v>1000</v>
          </cell>
        </row>
        <row r="3523">
          <cell r="A3523">
            <v>46252</v>
          </cell>
          <cell r="D3523" t="str">
            <v>EFG 7</v>
          </cell>
          <cell r="E3523">
            <v>4</v>
          </cell>
          <cell r="H3523" t="str">
            <v>SAFISCOR</v>
          </cell>
          <cell r="N3523">
            <v>1000</v>
          </cell>
          <cell r="Y3523">
            <v>46252</v>
          </cell>
          <cell r="Z3523">
            <v>2</v>
          </cell>
          <cell r="AA3523">
            <v>1000</v>
          </cell>
        </row>
        <row r="3524">
          <cell r="A3524">
            <v>46252</v>
          </cell>
          <cell r="D3524" t="str">
            <v>EMERALD STAR</v>
          </cell>
          <cell r="E3524">
            <v>7</v>
          </cell>
          <cell r="H3524" t="str">
            <v>SAFISCOR</v>
          </cell>
          <cell r="N3524">
            <v>1000</v>
          </cell>
          <cell r="Y3524">
            <v>46252</v>
          </cell>
          <cell r="Z3524">
            <v>2</v>
          </cell>
          <cell r="AA3524">
            <v>1000</v>
          </cell>
        </row>
        <row r="3525">
          <cell r="A3525">
            <v>46252</v>
          </cell>
          <cell r="D3525" t="str">
            <v>SF NAVIGATOR</v>
          </cell>
          <cell r="E3525">
            <v>1</v>
          </cell>
          <cell r="H3525" t="str">
            <v>LAPU-LAPU</v>
          </cell>
          <cell r="N3525">
            <v>1000</v>
          </cell>
          <cell r="Y3525">
            <v>46253</v>
          </cell>
          <cell r="Z3525">
            <v>1</v>
          </cell>
          <cell r="AA3525">
            <v>1000</v>
          </cell>
        </row>
        <row r="3526">
          <cell r="A3526">
            <v>46252</v>
          </cell>
          <cell r="D3526" t="str">
            <v>EMERALD STAR</v>
          </cell>
          <cell r="E3526">
            <v>7</v>
          </cell>
          <cell r="H3526" t="str">
            <v>BADIE</v>
          </cell>
          <cell r="N3526">
            <v>1000</v>
          </cell>
          <cell r="Y3526">
            <v>46252</v>
          </cell>
          <cell r="Z3526">
            <v>2</v>
          </cell>
          <cell r="AA3526">
            <v>1000</v>
          </cell>
        </row>
        <row r="3527">
          <cell r="A3527">
            <v>46252</v>
          </cell>
          <cell r="D3527" t="str">
            <v>EMERALD STAR</v>
          </cell>
          <cell r="E3527">
            <v>7</v>
          </cell>
          <cell r="H3527" t="str">
            <v>SAFISCOR</v>
          </cell>
          <cell r="N3527">
            <v>1000</v>
          </cell>
          <cell r="Y3527">
            <v>46252</v>
          </cell>
          <cell r="Z3527">
            <v>2</v>
          </cell>
          <cell r="AA3527">
            <v>1000</v>
          </cell>
        </row>
        <row r="3528">
          <cell r="A3528">
            <v>46252</v>
          </cell>
          <cell r="D3528" t="str">
            <v>EFG 7</v>
          </cell>
          <cell r="E3528">
            <v>4</v>
          </cell>
          <cell r="H3528" t="str">
            <v>SAFISCOR</v>
          </cell>
          <cell r="N3528">
            <v>1000</v>
          </cell>
          <cell r="Y3528">
            <v>46252</v>
          </cell>
          <cell r="Z3528">
            <v>2</v>
          </cell>
          <cell r="AA3528">
            <v>1000</v>
          </cell>
        </row>
        <row r="3529">
          <cell r="A3529">
            <v>46252</v>
          </cell>
          <cell r="D3529" t="str">
            <v>SF NAVIGATOR</v>
          </cell>
          <cell r="E3529">
            <v>1</v>
          </cell>
          <cell r="H3529" t="str">
            <v>SAFISCOR</v>
          </cell>
          <cell r="N3529">
            <v>750</v>
          </cell>
          <cell r="Y3529">
            <v>46252</v>
          </cell>
          <cell r="Z3529">
            <v>2</v>
          </cell>
          <cell r="AA3529">
            <v>750</v>
          </cell>
        </row>
        <row r="3530">
          <cell r="A3530">
            <v>46252</v>
          </cell>
          <cell r="D3530" t="str">
            <v>SF NAVIGATOR</v>
          </cell>
          <cell r="E3530">
            <v>1</v>
          </cell>
          <cell r="H3530" t="str">
            <v>SAFISCOR</v>
          </cell>
          <cell r="N3530">
            <v>1000</v>
          </cell>
          <cell r="Y3530">
            <v>46252</v>
          </cell>
          <cell r="Z3530">
            <v>2</v>
          </cell>
          <cell r="AA3530">
            <v>1000</v>
          </cell>
        </row>
        <row r="3531">
          <cell r="A3531">
            <v>46252</v>
          </cell>
          <cell r="D3531" t="str">
            <v>SF NAVIGATOR</v>
          </cell>
          <cell r="E3531">
            <v>1</v>
          </cell>
          <cell r="H3531" t="str">
            <v>LAPU-LAPU</v>
          </cell>
          <cell r="N3531">
            <v>1000</v>
          </cell>
          <cell r="Y3531">
            <v>46253</v>
          </cell>
          <cell r="Z3531">
            <v>1</v>
          </cell>
          <cell r="AA3531">
            <v>1000</v>
          </cell>
        </row>
        <row r="3532">
          <cell r="A3532">
            <v>46252</v>
          </cell>
          <cell r="D3532" t="str">
            <v>SF NAVIGATOR</v>
          </cell>
          <cell r="E3532">
            <v>1</v>
          </cell>
          <cell r="H3532" t="str">
            <v>SAFISCOR</v>
          </cell>
          <cell r="N3532">
            <v>1000</v>
          </cell>
          <cell r="Y3532">
            <v>46252</v>
          </cell>
          <cell r="Z3532">
            <v>2</v>
          </cell>
          <cell r="AA3532">
            <v>1000</v>
          </cell>
        </row>
        <row r="3533">
          <cell r="A3533">
            <v>46252</v>
          </cell>
          <cell r="D3533" t="str">
            <v>SF NAVIGATOR</v>
          </cell>
          <cell r="E3533">
            <v>1</v>
          </cell>
          <cell r="H3533" t="str">
            <v>SAFISCOR</v>
          </cell>
          <cell r="N3533">
            <v>1000</v>
          </cell>
          <cell r="Y3533">
            <v>46253</v>
          </cell>
          <cell r="Z3533">
            <v>1</v>
          </cell>
          <cell r="AA3533">
            <v>1000</v>
          </cell>
        </row>
        <row r="3534">
          <cell r="A3534">
            <v>46252</v>
          </cell>
          <cell r="D3534" t="str">
            <v>EFG 7</v>
          </cell>
          <cell r="E3534">
            <v>4</v>
          </cell>
          <cell r="H3534" t="str">
            <v>SAFISCOR</v>
          </cell>
          <cell r="N3534">
            <v>1000</v>
          </cell>
          <cell r="Y3534">
            <v>46252</v>
          </cell>
          <cell r="Z3534">
            <v>2</v>
          </cell>
          <cell r="AA3534">
            <v>1000</v>
          </cell>
        </row>
        <row r="3535">
          <cell r="A3535">
            <v>46252</v>
          </cell>
          <cell r="D3535" t="str">
            <v>SF NAVIGATOR</v>
          </cell>
          <cell r="E3535">
            <v>1</v>
          </cell>
          <cell r="H3535" t="str">
            <v>SAFISCOR</v>
          </cell>
          <cell r="N3535">
            <v>1000</v>
          </cell>
          <cell r="Y3535">
            <v>46252</v>
          </cell>
          <cell r="Z3535">
            <v>2</v>
          </cell>
          <cell r="AA3535">
            <v>1000</v>
          </cell>
        </row>
        <row r="3536">
          <cell r="A3536">
            <v>46252</v>
          </cell>
          <cell r="D3536" t="str">
            <v>EFG 7</v>
          </cell>
          <cell r="E3536">
            <v>4</v>
          </cell>
          <cell r="H3536" t="str">
            <v>APLUS</v>
          </cell>
          <cell r="N3536">
            <v>1000</v>
          </cell>
          <cell r="Y3536">
            <v>46252</v>
          </cell>
          <cell r="Z3536">
            <v>2</v>
          </cell>
          <cell r="AA3536">
            <v>1000</v>
          </cell>
        </row>
        <row r="3537">
          <cell r="A3537">
            <v>46252</v>
          </cell>
          <cell r="D3537" t="str">
            <v>EFG 7</v>
          </cell>
          <cell r="E3537">
            <v>4</v>
          </cell>
          <cell r="H3537" t="str">
            <v>SAFISCOR</v>
          </cell>
          <cell r="N3537">
            <v>1000</v>
          </cell>
          <cell r="Y3537">
            <v>46252</v>
          </cell>
          <cell r="Z3537">
            <v>2</v>
          </cell>
          <cell r="AA3537">
            <v>1000</v>
          </cell>
        </row>
        <row r="3538">
          <cell r="A3538">
            <v>46252</v>
          </cell>
          <cell r="D3538" t="str">
            <v>EFG 7</v>
          </cell>
          <cell r="E3538">
            <v>4</v>
          </cell>
          <cell r="H3538" t="str">
            <v>SAFISCOR</v>
          </cell>
          <cell r="N3538">
            <v>1000</v>
          </cell>
          <cell r="Y3538">
            <v>46253</v>
          </cell>
          <cell r="Z3538">
            <v>1</v>
          </cell>
          <cell r="AA3538">
            <v>1000</v>
          </cell>
        </row>
        <row r="3539">
          <cell r="A3539">
            <v>46252</v>
          </cell>
          <cell r="D3539" t="str">
            <v>EFG 7</v>
          </cell>
          <cell r="E3539">
            <v>4</v>
          </cell>
          <cell r="H3539" t="str">
            <v>SAFISCOR</v>
          </cell>
          <cell r="N3539">
            <v>1000</v>
          </cell>
          <cell r="Y3539">
            <v>46253</v>
          </cell>
          <cell r="Z3539">
            <v>1</v>
          </cell>
          <cell r="AA3539">
            <v>1000</v>
          </cell>
        </row>
        <row r="3540">
          <cell r="A3540">
            <v>46252</v>
          </cell>
          <cell r="D3540" t="str">
            <v>EMERALD STAR</v>
          </cell>
          <cell r="E3540">
            <v>7</v>
          </cell>
          <cell r="H3540" t="str">
            <v>SAFISCOR</v>
          </cell>
          <cell r="N3540">
            <v>1000</v>
          </cell>
          <cell r="Y3540">
            <v>46252</v>
          </cell>
          <cell r="Z3540">
            <v>2</v>
          </cell>
          <cell r="AA3540">
            <v>1000</v>
          </cell>
        </row>
        <row r="3541">
          <cell r="A3541">
            <v>46252</v>
          </cell>
          <cell r="D3541" t="str">
            <v>EMERALD STAR</v>
          </cell>
          <cell r="E3541">
            <v>7</v>
          </cell>
          <cell r="H3541" t="str">
            <v>APLUS</v>
          </cell>
          <cell r="N3541">
            <v>1000</v>
          </cell>
          <cell r="Y3541">
            <v>46252</v>
          </cell>
          <cell r="Z3541">
            <v>2</v>
          </cell>
          <cell r="AA3541">
            <v>1000</v>
          </cell>
        </row>
        <row r="3542">
          <cell r="A3542">
            <v>46252</v>
          </cell>
          <cell r="D3542" t="str">
            <v>EMERALD STAR</v>
          </cell>
          <cell r="E3542">
            <v>7</v>
          </cell>
          <cell r="H3542" t="str">
            <v>BADIE</v>
          </cell>
          <cell r="N3542">
            <v>1000</v>
          </cell>
          <cell r="Y3542">
            <v>46252</v>
          </cell>
          <cell r="Z3542">
            <v>2</v>
          </cell>
          <cell r="AA3542">
            <v>1000</v>
          </cell>
        </row>
        <row r="3543">
          <cell r="A3543">
            <v>46252</v>
          </cell>
          <cell r="D3543" t="str">
            <v>EMERALD STAR</v>
          </cell>
          <cell r="E3543">
            <v>7</v>
          </cell>
          <cell r="H3543" t="str">
            <v>GEO</v>
          </cell>
          <cell r="N3543">
            <v>1000</v>
          </cell>
          <cell r="Y3543">
            <v>46252</v>
          </cell>
          <cell r="Z3543">
            <v>2</v>
          </cell>
          <cell r="AA3543">
            <v>1000</v>
          </cell>
        </row>
        <row r="3544">
          <cell r="A3544">
            <v>46252</v>
          </cell>
          <cell r="D3544" t="str">
            <v>SF NAVIGATOR</v>
          </cell>
          <cell r="E3544">
            <v>1</v>
          </cell>
          <cell r="H3544" t="str">
            <v>SAFISCOR</v>
          </cell>
          <cell r="N3544">
            <v>1000</v>
          </cell>
          <cell r="Y3544">
            <v>46252</v>
          </cell>
          <cell r="Z3544">
            <v>2</v>
          </cell>
          <cell r="AA3544">
            <v>1000</v>
          </cell>
        </row>
        <row r="3545">
          <cell r="A3545">
            <v>46252</v>
          </cell>
          <cell r="D3545" t="str">
            <v>EFG 7</v>
          </cell>
          <cell r="E3545">
            <v>4</v>
          </cell>
          <cell r="H3545" t="str">
            <v>SAFISCOR</v>
          </cell>
          <cell r="N3545">
            <v>1000</v>
          </cell>
          <cell r="Y3545">
            <v>46252</v>
          </cell>
          <cell r="Z3545">
            <v>2</v>
          </cell>
          <cell r="AA3545">
            <v>1000</v>
          </cell>
        </row>
        <row r="3546">
          <cell r="A3546">
            <v>46253</v>
          </cell>
          <cell r="D3546" t="str">
            <v>SF NAVIGATOR</v>
          </cell>
          <cell r="E3546">
            <v>1</v>
          </cell>
          <cell r="H3546" t="str">
            <v>SAFISCOR</v>
          </cell>
          <cell r="N3546">
            <v>1000</v>
          </cell>
          <cell r="Y3546">
            <v>46253</v>
          </cell>
          <cell r="Z3546">
            <v>1</v>
          </cell>
          <cell r="AA3546">
            <v>1000</v>
          </cell>
        </row>
        <row r="3547">
          <cell r="A3547">
            <v>46253</v>
          </cell>
          <cell r="D3547" t="str">
            <v>EFG 7</v>
          </cell>
          <cell r="E3547">
            <v>4</v>
          </cell>
          <cell r="H3547" t="str">
            <v>SAFISCOR</v>
          </cell>
          <cell r="N3547">
            <v>1000</v>
          </cell>
          <cell r="Y3547">
            <v>46253</v>
          </cell>
          <cell r="Z3547">
            <v>2</v>
          </cell>
          <cell r="AA3547">
            <v>1000</v>
          </cell>
        </row>
        <row r="3548">
          <cell r="A3548">
            <v>46253</v>
          </cell>
          <cell r="D3548" t="str">
            <v>EFG 7</v>
          </cell>
          <cell r="E3548">
            <v>4</v>
          </cell>
          <cell r="H3548" t="str">
            <v>SAFISCOR</v>
          </cell>
          <cell r="N3548">
            <v>1000</v>
          </cell>
          <cell r="Y3548">
            <v>46254</v>
          </cell>
          <cell r="Z3548">
            <v>1</v>
          </cell>
          <cell r="AA3548">
            <v>1000</v>
          </cell>
        </row>
        <row r="3549">
          <cell r="A3549">
            <v>46253</v>
          </cell>
          <cell r="D3549" t="str">
            <v>EFG 7</v>
          </cell>
          <cell r="E3549">
            <v>4</v>
          </cell>
          <cell r="H3549" t="str">
            <v>SAFISCOR</v>
          </cell>
          <cell r="N3549">
            <v>1000</v>
          </cell>
          <cell r="Y3549">
            <v>46253</v>
          </cell>
          <cell r="Z3549">
            <v>1</v>
          </cell>
          <cell r="AA3549">
            <v>1000</v>
          </cell>
        </row>
        <row r="3550">
          <cell r="A3550">
            <v>46253</v>
          </cell>
          <cell r="D3550" t="str">
            <v>EFG 7</v>
          </cell>
          <cell r="E3550">
            <v>4</v>
          </cell>
          <cell r="H3550" t="str">
            <v>SAFISCOR</v>
          </cell>
          <cell r="N3550">
            <v>750</v>
          </cell>
          <cell r="Y3550">
            <v>46253</v>
          </cell>
          <cell r="Z3550">
            <v>1</v>
          </cell>
          <cell r="AA3550">
            <v>750</v>
          </cell>
        </row>
        <row r="3551">
          <cell r="A3551">
            <v>46253</v>
          </cell>
          <cell r="D3551" t="str">
            <v>SF NAVIGATOR</v>
          </cell>
          <cell r="E3551">
            <v>1</v>
          </cell>
          <cell r="H3551" t="str">
            <v>SAFISCOR</v>
          </cell>
          <cell r="N3551">
            <v>1000</v>
          </cell>
          <cell r="Y3551">
            <v>46253</v>
          </cell>
          <cell r="Z3551">
            <v>1</v>
          </cell>
          <cell r="AA3551">
            <v>1000</v>
          </cell>
        </row>
        <row r="3552">
          <cell r="A3552">
            <v>46253</v>
          </cell>
          <cell r="D3552" t="str">
            <v>SF NAVIGATOR</v>
          </cell>
          <cell r="E3552">
            <v>1</v>
          </cell>
          <cell r="H3552" t="str">
            <v>SAFISCOR</v>
          </cell>
          <cell r="N3552">
            <v>1000</v>
          </cell>
          <cell r="Y3552">
            <v>46253</v>
          </cell>
          <cell r="Z3552">
            <v>1</v>
          </cell>
          <cell r="AA3552">
            <v>1000</v>
          </cell>
        </row>
        <row r="3553">
          <cell r="A3553">
            <v>46253</v>
          </cell>
          <cell r="D3553" t="str">
            <v>EMERALD STAR</v>
          </cell>
          <cell r="E3553">
            <v>7</v>
          </cell>
          <cell r="H3553" t="str">
            <v>BADIE</v>
          </cell>
          <cell r="N3553">
            <v>1000</v>
          </cell>
          <cell r="Y3553">
            <v>46253</v>
          </cell>
          <cell r="Z3553">
            <v>1</v>
          </cell>
          <cell r="AA3553">
            <v>1000</v>
          </cell>
        </row>
        <row r="3554">
          <cell r="A3554">
            <v>46253</v>
          </cell>
          <cell r="D3554" t="str">
            <v>EFG 7</v>
          </cell>
          <cell r="E3554">
            <v>4</v>
          </cell>
          <cell r="H3554" t="str">
            <v>SAFISCOR</v>
          </cell>
          <cell r="N3554">
            <v>1000</v>
          </cell>
          <cell r="Y3554">
            <v>46253</v>
          </cell>
          <cell r="Z3554">
            <v>1</v>
          </cell>
          <cell r="AA3554">
            <v>1000</v>
          </cell>
        </row>
        <row r="3555">
          <cell r="A3555">
            <v>46253</v>
          </cell>
          <cell r="D3555" t="str">
            <v>SF NAVIGATOR</v>
          </cell>
          <cell r="E3555">
            <v>1</v>
          </cell>
          <cell r="H3555" t="str">
            <v>FULACHE</v>
          </cell>
          <cell r="N3555">
            <v>1000</v>
          </cell>
          <cell r="Y3555">
            <v>46253</v>
          </cell>
          <cell r="Z3555">
            <v>1</v>
          </cell>
          <cell r="AA3555">
            <v>1000</v>
          </cell>
        </row>
        <row r="3556">
          <cell r="A3556">
            <v>46253</v>
          </cell>
          <cell r="D3556" t="str">
            <v>EFG 7</v>
          </cell>
          <cell r="E3556">
            <v>4</v>
          </cell>
          <cell r="H3556" t="str">
            <v>SAFISCOR</v>
          </cell>
          <cell r="N3556">
            <v>1000</v>
          </cell>
          <cell r="Y3556">
            <v>46253</v>
          </cell>
          <cell r="Z3556">
            <v>1</v>
          </cell>
          <cell r="AA3556">
            <v>1000</v>
          </cell>
        </row>
        <row r="3557">
          <cell r="A3557">
            <v>46253</v>
          </cell>
          <cell r="D3557" t="str">
            <v>STAR ILIGAN</v>
          </cell>
          <cell r="E3557">
            <v>6</v>
          </cell>
          <cell r="H3557" t="str">
            <v>SAFISCOR</v>
          </cell>
          <cell r="N3557">
            <v>1000</v>
          </cell>
          <cell r="Y3557">
            <v>46253</v>
          </cell>
          <cell r="Z3557">
            <v>1</v>
          </cell>
          <cell r="AA3557">
            <v>1000</v>
          </cell>
        </row>
        <row r="3558">
          <cell r="A3558">
            <v>46253</v>
          </cell>
          <cell r="D3558" t="str">
            <v>STAR ILIGAN</v>
          </cell>
          <cell r="E3558">
            <v>6</v>
          </cell>
          <cell r="H3558" t="str">
            <v>LAPU-LAPU</v>
          </cell>
          <cell r="N3558">
            <v>1000</v>
          </cell>
          <cell r="Y3558">
            <v>46253</v>
          </cell>
          <cell r="Z3558">
            <v>1</v>
          </cell>
          <cell r="AA3558">
            <v>1000</v>
          </cell>
        </row>
        <row r="3559">
          <cell r="A3559">
            <v>46253</v>
          </cell>
          <cell r="D3559" t="str">
            <v>SF NAVIGATOR</v>
          </cell>
          <cell r="E3559">
            <v>1</v>
          </cell>
          <cell r="H3559" t="str">
            <v>SAFISCOR</v>
          </cell>
          <cell r="N3559">
            <v>1000</v>
          </cell>
          <cell r="Y3559">
            <v>46253</v>
          </cell>
          <cell r="Z3559">
            <v>2</v>
          </cell>
          <cell r="AA3559">
            <v>1000</v>
          </cell>
        </row>
        <row r="3560">
          <cell r="A3560">
            <v>46253</v>
          </cell>
          <cell r="D3560" t="str">
            <v>SF NAVIGATOR</v>
          </cell>
          <cell r="E3560">
            <v>1</v>
          </cell>
          <cell r="H3560" t="str">
            <v>APLUS</v>
          </cell>
          <cell r="N3560">
            <v>1000</v>
          </cell>
          <cell r="Y3560">
            <v>46253</v>
          </cell>
          <cell r="Z3560">
            <v>1</v>
          </cell>
          <cell r="AA3560">
            <v>1000</v>
          </cell>
        </row>
        <row r="3561">
          <cell r="A3561">
            <v>46253</v>
          </cell>
          <cell r="D3561" t="str">
            <v>SF NAVIGATOR</v>
          </cell>
          <cell r="E3561">
            <v>1</v>
          </cell>
          <cell r="H3561" t="str">
            <v>LAPU-LAPU</v>
          </cell>
          <cell r="N3561">
            <v>1000</v>
          </cell>
          <cell r="Y3561">
            <v>46253</v>
          </cell>
          <cell r="Z3561">
            <v>1</v>
          </cell>
          <cell r="AA3561">
            <v>1000</v>
          </cell>
        </row>
        <row r="3562">
          <cell r="A3562">
            <v>46253</v>
          </cell>
          <cell r="D3562" t="str">
            <v>SF NAVIGATOR</v>
          </cell>
          <cell r="E3562">
            <v>1</v>
          </cell>
          <cell r="H3562" t="str">
            <v>LAPU-LAPU</v>
          </cell>
          <cell r="N3562">
            <v>1000</v>
          </cell>
          <cell r="Y3562">
            <v>46253</v>
          </cell>
          <cell r="Z3562">
            <v>2</v>
          </cell>
          <cell r="AA3562">
            <v>1000</v>
          </cell>
        </row>
        <row r="3563">
          <cell r="A3563">
            <v>46253</v>
          </cell>
          <cell r="D3563" t="str">
            <v>EFG 8</v>
          </cell>
          <cell r="E3563">
            <v>4</v>
          </cell>
          <cell r="H3563" t="str">
            <v>SAFISCOR</v>
          </cell>
          <cell r="N3563">
            <v>1000</v>
          </cell>
          <cell r="Y3563">
            <v>46253</v>
          </cell>
          <cell r="Z3563">
            <v>1</v>
          </cell>
          <cell r="AA3563">
            <v>1000</v>
          </cell>
        </row>
        <row r="3564">
          <cell r="A3564">
            <v>46253</v>
          </cell>
          <cell r="D3564" t="str">
            <v>EFG 8</v>
          </cell>
          <cell r="E3564">
            <v>4</v>
          </cell>
          <cell r="H3564" t="str">
            <v>SAFISCOR</v>
          </cell>
          <cell r="N3564">
            <v>1000</v>
          </cell>
          <cell r="Y3564">
            <v>46253</v>
          </cell>
          <cell r="Z3564">
            <v>1</v>
          </cell>
          <cell r="AA3564">
            <v>1000</v>
          </cell>
        </row>
        <row r="3565">
          <cell r="A3565">
            <v>46253</v>
          </cell>
          <cell r="D3565" t="str">
            <v>EFG 7</v>
          </cell>
          <cell r="E3565">
            <v>4</v>
          </cell>
          <cell r="H3565" t="str">
            <v>SAFISCOR</v>
          </cell>
          <cell r="N3565">
            <v>1000</v>
          </cell>
          <cell r="Y3565">
            <v>46254</v>
          </cell>
          <cell r="Z3565">
            <v>2</v>
          </cell>
          <cell r="AA3565">
            <v>1000</v>
          </cell>
        </row>
        <row r="3566">
          <cell r="A3566">
            <v>46253</v>
          </cell>
          <cell r="D3566" t="str">
            <v>EFG 7</v>
          </cell>
          <cell r="E3566">
            <v>4</v>
          </cell>
          <cell r="H3566" t="str">
            <v>SAFISCOR</v>
          </cell>
          <cell r="N3566">
            <v>1000</v>
          </cell>
          <cell r="Y3566">
            <v>46253</v>
          </cell>
          <cell r="Z3566">
            <v>1</v>
          </cell>
          <cell r="AA3566">
            <v>1000</v>
          </cell>
        </row>
        <row r="3567">
          <cell r="A3567">
            <v>46253</v>
          </cell>
          <cell r="D3567" t="str">
            <v>EFG 7</v>
          </cell>
          <cell r="E3567">
            <v>4</v>
          </cell>
          <cell r="H3567" t="str">
            <v>SAFISCOR</v>
          </cell>
          <cell r="N3567">
            <v>1000</v>
          </cell>
          <cell r="Y3567">
            <v>46253</v>
          </cell>
          <cell r="Z3567">
            <v>2</v>
          </cell>
          <cell r="AA3567">
            <v>1000</v>
          </cell>
        </row>
        <row r="3568">
          <cell r="A3568">
            <v>46253</v>
          </cell>
          <cell r="D3568" t="str">
            <v>EMERALD STAR</v>
          </cell>
          <cell r="E3568">
            <v>7</v>
          </cell>
          <cell r="H3568" t="str">
            <v>GEO</v>
          </cell>
          <cell r="N3568">
            <v>1000</v>
          </cell>
          <cell r="Y3568">
            <v>46253</v>
          </cell>
          <cell r="Z3568">
            <v>1</v>
          </cell>
          <cell r="AA3568">
            <v>1000</v>
          </cell>
        </row>
        <row r="3569">
          <cell r="A3569">
            <v>46253</v>
          </cell>
          <cell r="D3569" t="str">
            <v>EMERALD STAR</v>
          </cell>
          <cell r="E3569">
            <v>7</v>
          </cell>
          <cell r="H3569" t="str">
            <v>SAFISCOR</v>
          </cell>
          <cell r="N3569">
            <v>1000</v>
          </cell>
          <cell r="Y3569">
            <v>46253</v>
          </cell>
          <cell r="Z3569">
            <v>1</v>
          </cell>
          <cell r="AA3569">
            <v>1000</v>
          </cell>
        </row>
        <row r="3570">
          <cell r="A3570">
            <v>46253</v>
          </cell>
          <cell r="D3570" t="str">
            <v>EMERALD STAR</v>
          </cell>
          <cell r="E3570">
            <v>7</v>
          </cell>
          <cell r="H3570" t="str">
            <v>GEO</v>
          </cell>
          <cell r="N3570">
            <v>1000</v>
          </cell>
          <cell r="Y3570">
            <v>46253</v>
          </cell>
          <cell r="Z3570">
            <v>1</v>
          </cell>
          <cell r="AA3570">
            <v>1000</v>
          </cell>
        </row>
        <row r="3571">
          <cell r="A3571">
            <v>46253</v>
          </cell>
          <cell r="D3571" t="str">
            <v>EMERALD STAR</v>
          </cell>
          <cell r="E3571">
            <v>7</v>
          </cell>
          <cell r="H3571" t="str">
            <v>SAFISCOR</v>
          </cell>
          <cell r="N3571">
            <v>1000</v>
          </cell>
          <cell r="Y3571">
            <v>46253</v>
          </cell>
          <cell r="Z3571">
            <v>1</v>
          </cell>
          <cell r="AA3571">
            <v>1000</v>
          </cell>
        </row>
        <row r="3572">
          <cell r="A3572">
            <v>46253</v>
          </cell>
          <cell r="D3572" t="str">
            <v>EFG 8</v>
          </cell>
          <cell r="E3572">
            <v>4</v>
          </cell>
          <cell r="H3572" t="str">
            <v>LAPU-LAPU</v>
          </cell>
          <cell r="N3572">
            <v>1000</v>
          </cell>
          <cell r="Y3572">
            <v>46253</v>
          </cell>
          <cell r="Z3572">
            <v>1</v>
          </cell>
          <cell r="AA3572">
            <v>1000</v>
          </cell>
        </row>
        <row r="3573">
          <cell r="A3573">
            <v>46253</v>
          </cell>
          <cell r="D3573" t="str">
            <v>EMERALD STAR</v>
          </cell>
          <cell r="E3573">
            <v>7</v>
          </cell>
          <cell r="H3573" t="str">
            <v>BADIE</v>
          </cell>
          <cell r="N3573">
            <v>1000</v>
          </cell>
          <cell r="Y3573">
            <v>46253</v>
          </cell>
          <cell r="Z3573">
            <v>1</v>
          </cell>
          <cell r="AA3573">
            <v>1000</v>
          </cell>
        </row>
        <row r="3574">
          <cell r="A3574">
            <v>46253</v>
          </cell>
          <cell r="D3574" t="str">
            <v>EFG 8</v>
          </cell>
          <cell r="E3574">
            <v>4</v>
          </cell>
          <cell r="H3574" t="str">
            <v>SAFISCOR</v>
          </cell>
          <cell r="N3574">
            <v>600</v>
          </cell>
          <cell r="Y3574">
            <v>46253</v>
          </cell>
          <cell r="Z3574">
            <v>1</v>
          </cell>
          <cell r="AA3574">
            <v>600</v>
          </cell>
        </row>
        <row r="3575">
          <cell r="A3575">
            <v>46253</v>
          </cell>
          <cell r="D3575" t="str">
            <v>EASTERN CEBU</v>
          </cell>
          <cell r="E3575">
            <v>7</v>
          </cell>
          <cell r="H3575" t="str">
            <v>SAFISCOR</v>
          </cell>
          <cell r="N3575">
            <v>1000</v>
          </cell>
          <cell r="Y3575">
            <v>46253</v>
          </cell>
          <cell r="Z3575">
            <v>1</v>
          </cell>
          <cell r="AA3575">
            <v>1000</v>
          </cell>
        </row>
        <row r="3576">
          <cell r="A3576">
            <v>46253</v>
          </cell>
          <cell r="D3576" t="str">
            <v>STAR ILIGAN</v>
          </cell>
          <cell r="E3576">
            <v>6</v>
          </cell>
          <cell r="H3576" t="str">
            <v>SAFISCOR</v>
          </cell>
          <cell r="N3576">
            <v>500</v>
          </cell>
          <cell r="Y3576">
            <v>46253</v>
          </cell>
          <cell r="Z3576">
            <v>1</v>
          </cell>
          <cell r="AA3576">
            <v>500</v>
          </cell>
        </row>
        <row r="3577">
          <cell r="A3577">
            <v>46253</v>
          </cell>
          <cell r="D3577" t="str">
            <v>SF NAVIGATOR</v>
          </cell>
          <cell r="E3577">
            <v>1</v>
          </cell>
          <cell r="H3577" t="str">
            <v>SAFISCOR</v>
          </cell>
          <cell r="N3577">
            <v>500</v>
          </cell>
          <cell r="Y3577">
            <v>46253</v>
          </cell>
          <cell r="Z3577">
            <v>1</v>
          </cell>
          <cell r="AA3577">
            <v>500</v>
          </cell>
        </row>
        <row r="3578">
          <cell r="A3578">
            <v>46253</v>
          </cell>
          <cell r="D3578" t="str">
            <v>EFG 7</v>
          </cell>
          <cell r="E3578">
            <v>4</v>
          </cell>
          <cell r="H3578" t="str">
            <v>LAPU-LAPU</v>
          </cell>
          <cell r="N3578">
            <v>1000</v>
          </cell>
          <cell r="Y3578">
            <v>46253</v>
          </cell>
          <cell r="Z3578">
            <v>1</v>
          </cell>
          <cell r="AA3578">
            <v>1000</v>
          </cell>
        </row>
        <row r="3579">
          <cell r="A3579">
            <v>46253</v>
          </cell>
          <cell r="D3579" t="str">
            <v>SF NAVIGATOR</v>
          </cell>
          <cell r="E3579">
            <v>1</v>
          </cell>
          <cell r="H3579" t="str">
            <v>SAFISCOR</v>
          </cell>
          <cell r="N3579">
            <v>1000</v>
          </cell>
          <cell r="Y3579">
            <v>46253</v>
          </cell>
          <cell r="Z3579">
            <v>1</v>
          </cell>
          <cell r="AA3579">
            <v>1000</v>
          </cell>
        </row>
        <row r="3580">
          <cell r="A3580">
            <v>46253</v>
          </cell>
          <cell r="D3580" t="str">
            <v>EFG 8</v>
          </cell>
          <cell r="E3580">
            <v>4</v>
          </cell>
          <cell r="H3580" t="str">
            <v>SAFISCOR</v>
          </cell>
          <cell r="N3580">
            <v>1000</v>
          </cell>
          <cell r="Y3580">
            <v>46253</v>
          </cell>
          <cell r="Z3580">
            <v>2</v>
          </cell>
          <cell r="AA3580">
            <v>1000</v>
          </cell>
        </row>
        <row r="3581">
          <cell r="A3581">
            <v>46253</v>
          </cell>
          <cell r="D3581" t="str">
            <v>EFG 8</v>
          </cell>
          <cell r="E3581">
            <v>4</v>
          </cell>
          <cell r="H3581" t="str">
            <v>GEO</v>
          </cell>
          <cell r="N3581">
            <v>1000</v>
          </cell>
          <cell r="Y3581">
            <v>46253</v>
          </cell>
          <cell r="Z3581">
            <v>2</v>
          </cell>
          <cell r="AA3581">
            <v>1000</v>
          </cell>
        </row>
        <row r="3582">
          <cell r="A3582">
            <v>46253</v>
          </cell>
          <cell r="D3582" t="str">
            <v>EFG 8</v>
          </cell>
          <cell r="E3582">
            <v>4</v>
          </cell>
          <cell r="H3582" t="str">
            <v>LAPU-LAPU</v>
          </cell>
          <cell r="N3582">
            <v>1000</v>
          </cell>
          <cell r="Y3582">
            <v>46253</v>
          </cell>
          <cell r="Z3582">
            <v>1</v>
          </cell>
          <cell r="AA3582">
            <v>1000</v>
          </cell>
        </row>
        <row r="3583">
          <cell r="A3583">
            <v>46253</v>
          </cell>
          <cell r="D3583" t="str">
            <v>STAR ILIGAN</v>
          </cell>
          <cell r="E3583">
            <v>6</v>
          </cell>
          <cell r="H3583" t="str">
            <v>SAFISCOR</v>
          </cell>
          <cell r="N3583">
            <v>1000</v>
          </cell>
          <cell r="Y3583">
            <v>46253</v>
          </cell>
          <cell r="Z3583">
            <v>2</v>
          </cell>
          <cell r="AA3583">
            <v>1000</v>
          </cell>
        </row>
        <row r="3584">
          <cell r="A3584">
            <v>46253</v>
          </cell>
          <cell r="D3584" t="str">
            <v>STAR ILIGAN</v>
          </cell>
          <cell r="E3584">
            <v>6</v>
          </cell>
          <cell r="H3584" t="str">
            <v>LAPU-LAPU</v>
          </cell>
          <cell r="N3584">
            <v>1000</v>
          </cell>
          <cell r="Y3584">
            <v>46253</v>
          </cell>
          <cell r="Z3584">
            <v>2</v>
          </cell>
          <cell r="AA3584">
            <v>1000</v>
          </cell>
        </row>
        <row r="3585">
          <cell r="A3585">
            <v>46253</v>
          </cell>
          <cell r="D3585" t="str">
            <v>EFG 7</v>
          </cell>
          <cell r="E3585">
            <v>4</v>
          </cell>
          <cell r="H3585" t="str">
            <v>LAPU-LAPU</v>
          </cell>
          <cell r="N3585">
            <v>1000</v>
          </cell>
          <cell r="Y3585">
            <v>46253</v>
          </cell>
          <cell r="Z3585">
            <v>1</v>
          </cell>
          <cell r="AA3585">
            <v>1000</v>
          </cell>
        </row>
        <row r="3586">
          <cell r="A3586">
            <v>46253</v>
          </cell>
          <cell r="D3586" t="str">
            <v>EASTERN CEBU</v>
          </cell>
          <cell r="E3586">
            <v>8</v>
          </cell>
          <cell r="H3586" t="str">
            <v>SAFISCOR</v>
          </cell>
          <cell r="N3586">
            <v>1000</v>
          </cell>
          <cell r="Y3586">
            <v>46253</v>
          </cell>
          <cell r="Z3586">
            <v>2</v>
          </cell>
          <cell r="AA3586">
            <v>1000</v>
          </cell>
        </row>
        <row r="3587">
          <cell r="A3587">
            <v>46253</v>
          </cell>
          <cell r="D3587" t="str">
            <v>EASTERN CEBU</v>
          </cell>
          <cell r="E3587">
            <v>8</v>
          </cell>
          <cell r="H3587" t="str">
            <v>SAFISCOR</v>
          </cell>
          <cell r="N3587">
            <v>1000</v>
          </cell>
          <cell r="Y3587">
            <v>46253</v>
          </cell>
          <cell r="Z3587">
            <v>2</v>
          </cell>
          <cell r="AA3587">
            <v>1000</v>
          </cell>
        </row>
        <row r="3588">
          <cell r="A3588">
            <v>46253</v>
          </cell>
          <cell r="D3588" t="str">
            <v>STAR ILIGAN</v>
          </cell>
          <cell r="E3588">
            <v>6</v>
          </cell>
          <cell r="H3588" t="str">
            <v>GEO</v>
          </cell>
          <cell r="N3588">
            <v>75</v>
          </cell>
          <cell r="Y3588">
            <v>46253</v>
          </cell>
          <cell r="Z3588">
            <v>2</v>
          </cell>
          <cell r="AA3588">
            <v>75</v>
          </cell>
        </row>
        <row r="3589">
          <cell r="A3589">
            <v>46253</v>
          </cell>
          <cell r="D3589" t="str">
            <v>EMERALD STAR</v>
          </cell>
          <cell r="E3589">
            <v>7</v>
          </cell>
          <cell r="H3589" t="str">
            <v>GEO</v>
          </cell>
          <cell r="N3589">
            <v>925</v>
          </cell>
          <cell r="Y3589">
            <v>46253</v>
          </cell>
          <cell r="Z3589">
            <v>2</v>
          </cell>
          <cell r="AA3589">
            <v>925</v>
          </cell>
        </row>
        <row r="3590">
          <cell r="A3590">
            <v>46253</v>
          </cell>
          <cell r="D3590" t="str">
            <v>EASTERN CEBU</v>
          </cell>
          <cell r="E3590">
            <v>8</v>
          </cell>
          <cell r="H3590" t="str">
            <v>SAFISCOR</v>
          </cell>
          <cell r="N3590">
            <v>500</v>
          </cell>
          <cell r="Y3590">
            <v>46253</v>
          </cell>
          <cell r="Z3590">
            <v>2</v>
          </cell>
          <cell r="AA3590">
            <v>500</v>
          </cell>
        </row>
        <row r="3591">
          <cell r="A3591">
            <v>46253</v>
          </cell>
          <cell r="D3591" t="str">
            <v>EFG 8</v>
          </cell>
          <cell r="E3591">
            <v>4</v>
          </cell>
          <cell r="H3591" t="str">
            <v>SAFISCOR</v>
          </cell>
          <cell r="N3591">
            <v>500</v>
          </cell>
          <cell r="Y3591">
            <v>46254</v>
          </cell>
          <cell r="Z3591">
            <v>1</v>
          </cell>
          <cell r="AA3591">
            <v>500</v>
          </cell>
        </row>
        <row r="3592">
          <cell r="A3592">
            <v>46253</v>
          </cell>
          <cell r="D3592" t="str">
            <v>EFG 7</v>
          </cell>
          <cell r="E3592">
            <v>4</v>
          </cell>
          <cell r="H3592" t="str">
            <v>LAPU-LAPU</v>
          </cell>
          <cell r="N3592">
            <v>1000</v>
          </cell>
          <cell r="Y3592">
            <v>46253</v>
          </cell>
          <cell r="Z3592">
            <v>2</v>
          </cell>
          <cell r="AA3592">
            <v>1000</v>
          </cell>
        </row>
        <row r="3593">
          <cell r="A3593">
            <v>46253</v>
          </cell>
          <cell r="D3593" t="str">
            <v>EFG 8</v>
          </cell>
          <cell r="E3593">
            <v>4</v>
          </cell>
          <cell r="H3593" t="str">
            <v>SAFISCOR</v>
          </cell>
          <cell r="N3593">
            <v>1000</v>
          </cell>
          <cell r="Y3593">
            <v>46255</v>
          </cell>
          <cell r="Z3593">
            <v>1</v>
          </cell>
          <cell r="AA3593">
            <v>1000</v>
          </cell>
        </row>
        <row r="3594">
          <cell r="A3594">
            <v>46253</v>
          </cell>
          <cell r="D3594" t="str">
            <v>EMERALD STAR</v>
          </cell>
          <cell r="E3594">
            <v>7</v>
          </cell>
          <cell r="H3594" t="str">
            <v>SAFISCOR</v>
          </cell>
          <cell r="N3594">
            <v>1000</v>
          </cell>
          <cell r="Y3594">
            <v>46253</v>
          </cell>
          <cell r="Z3594">
            <v>2</v>
          </cell>
          <cell r="AA3594">
            <v>1000</v>
          </cell>
        </row>
        <row r="3595">
          <cell r="A3595">
            <v>46253</v>
          </cell>
          <cell r="D3595" t="str">
            <v>EFG 7</v>
          </cell>
          <cell r="E3595">
            <v>4</v>
          </cell>
          <cell r="H3595" t="str">
            <v>SAFISCOR</v>
          </cell>
          <cell r="N3595">
            <v>1000</v>
          </cell>
          <cell r="Y3595">
            <v>46254</v>
          </cell>
          <cell r="Z3595">
            <v>1</v>
          </cell>
          <cell r="AA3595">
            <v>1000</v>
          </cell>
        </row>
        <row r="3596">
          <cell r="A3596">
            <v>46253</v>
          </cell>
          <cell r="D3596" t="str">
            <v>EFG 8</v>
          </cell>
          <cell r="E3596">
            <v>4</v>
          </cell>
          <cell r="H3596" t="str">
            <v>SAFISCOR</v>
          </cell>
          <cell r="N3596">
            <v>1000</v>
          </cell>
          <cell r="Y3596">
            <v>46255</v>
          </cell>
          <cell r="Z3596">
            <v>2</v>
          </cell>
          <cell r="AA3596">
            <v>1000</v>
          </cell>
        </row>
        <row r="3597">
          <cell r="A3597">
            <v>46253</v>
          </cell>
          <cell r="D3597" t="str">
            <v>EASTERN CEBU</v>
          </cell>
          <cell r="E3597">
            <v>8</v>
          </cell>
          <cell r="H3597" t="str">
            <v>SAFISCOR</v>
          </cell>
          <cell r="N3597">
            <v>1000</v>
          </cell>
          <cell r="Y3597">
            <v>46253</v>
          </cell>
          <cell r="Z3597">
            <v>2</v>
          </cell>
          <cell r="AA3597">
            <v>1000</v>
          </cell>
        </row>
        <row r="3598">
          <cell r="A3598">
            <v>46253</v>
          </cell>
          <cell r="D3598" t="str">
            <v>EFG 8</v>
          </cell>
          <cell r="E3598">
            <v>4</v>
          </cell>
          <cell r="H3598" t="str">
            <v>SAFISCOR</v>
          </cell>
          <cell r="N3598">
            <v>1000</v>
          </cell>
          <cell r="Y3598">
            <v>46254</v>
          </cell>
          <cell r="Z3598">
            <v>2</v>
          </cell>
          <cell r="AA3598">
            <v>1000</v>
          </cell>
        </row>
        <row r="3599">
          <cell r="A3599">
            <v>46253</v>
          </cell>
          <cell r="D3599" t="str">
            <v>EASTERN CEBU</v>
          </cell>
          <cell r="E3599">
            <v>8</v>
          </cell>
          <cell r="H3599" t="str">
            <v>GEO</v>
          </cell>
          <cell r="N3599">
            <v>1000</v>
          </cell>
          <cell r="Y3599">
            <v>46253</v>
          </cell>
          <cell r="Z3599">
            <v>2</v>
          </cell>
          <cell r="AA3599">
            <v>1000</v>
          </cell>
        </row>
        <row r="3600">
          <cell r="A3600">
            <v>46253</v>
          </cell>
          <cell r="D3600" t="str">
            <v>EFG 8</v>
          </cell>
          <cell r="E3600">
            <v>4</v>
          </cell>
          <cell r="H3600" t="str">
            <v>SAFISCOR</v>
          </cell>
          <cell r="N3600">
            <v>1000</v>
          </cell>
          <cell r="Y3600">
            <v>46254</v>
          </cell>
          <cell r="Z3600">
            <v>2</v>
          </cell>
          <cell r="AA3600">
            <v>1000</v>
          </cell>
        </row>
        <row r="3601">
          <cell r="A3601">
            <v>46253</v>
          </cell>
          <cell r="D3601" t="str">
            <v>EFG 8</v>
          </cell>
          <cell r="E3601">
            <v>4</v>
          </cell>
          <cell r="H3601" t="str">
            <v>SAFISCOR</v>
          </cell>
          <cell r="N3601">
            <v>1000</v>
          </cell>
          <cell r="Y3601">
            <v>46255</v>
          </cell>
          <cell r="Z3601">
            <v>1</v>
          </cell>
          <cell r="AA3601">
            <v>1000</v>
          </cell>
        </row>
        <row r="3602">
          <cell r="A3602">
            <v>46253</v>
          </cell>
          <cell r="D3602" t="str">
            <v>EFG 8</v>
          </cell>
          <cell r="E3602">
            <v>4</v>
          </cell>
          <cell r="H3602" t="str">
            <v>SAFISCOR</v>
          </cell>
          <cell r="N3602">
            <v>800</v>
          </cell>
          <cell r="Y3602">
            <v>46255</v>
          </cell>
          <cell r="Z3602">
            <v>1</v>
          </cell>
          <cell r="AA3602">
            <v>800</v>
          </cell>
        </row>
        <row r="3603">
          <cell r="A3603">
            <v>46253</v>
          </cell>
          <cell r="D3603" t="str">
            <v>EFG 8</v>
          </cell>
          <cell r="E3603">
            <v>4</v>
          </cell>
          <cell r="H3603" t="str">
            <v>SAFISCOR</v>
          </cell>
          <cell r="N3603">
            <v>200</v>
          </cell>
          <cell r="Y3603">
            <v>46255</v>
          </cell>
          <cell r="Z3603">
            <v>1</v>
          </cell>
          <cell r="AA3603">
            <v>200</v>
          </cell>
        </row>
        <row r="3604">
          <cell r="A3604">
            <v>46253</v>
          </cell>
          <cell r="D3604" t="str">
            <v>EFG 8</v>
          </cell>
          <cell r="E3604">
            <v>4</v>
          </cell>
          <cell r="H3604" t="str">
            <v>SAFISCOR</v>
          </cell>
          <cell r="N3604">
            <v>1000</v>
          </cell>
          <cell r="Y3604">
            <v>46254</v>
          </cell>
          <cell r="Z3604">
            <v>1</v>
          </cell>
          <cell r="AA3604">
            <v>1000</v>
          </cell>
        </row>
        <row r="3605">
          <cell r="A3605">
            <v>46253</v>
          </cell>
          <cell r="D3605" t="str">
            <v>EFG 8</v>
          </cell>
          <cell r="E3605">
            <v>4</v>
          </cell>
          <cell r="H3605" t="str">
            <v>SAFISCOR</v>
          </cell>
          <cell r="N3605">
            <v>1000</v>
          </cell>
          <cell r="Y3605">
            <v>46253</v>
          </cell>
          <cell r="Z3605">
            <v>2</v>
          </cell>
          <cell r="AA3605">
            <v>1000</v>
          </cell>
        </row>
        <row r="3606">
          <cell r="A3606">
            <v>46253</v>
          </cell>
          <cell r="D3606" t="str">
            <v>EFG 7</v>
          </cell>
          <cell r="E3606">
            <v>4</v>
          </cell>
          <cell r="H3606" t="str">
            <v>BADIE</v>
          </cell>
          <cell r="N3606">
            <v>1000</v>
          </cell>
          <cell r="Y3606">
            <v>46253</v>
          </cell>
          <cell r="Z3606">
            <v>2</v>
          </cell>
          <cell r="AA3606">
            <v>1000</v>
          </cell>
        </row>
        <row r="3607">
          <cell r="A3607">
            <v>46253</v>
          </cell>
          <cell r="D3607" t="str">
            <v>EASTERN CEBU</v>
          </cell>
          <cell r="E3607">
            <v>8</v>
          </cell>
          <cell r="H3607" t="str">
            <v>SAFISCOR</v>
          </cell>
          <cell r="N3607">
            <v>1000</v>
          </cell>
          <cell r="Y3607">
            <v>46253</v>
          </cell>
          <cell r="Z3607">
            <v>2</v>
          </cell>
          <cell r="AA3607">
            <v>1000</v>
          </cell>
        </row>
        <row r="3608">
          <cell r="A3608">
            <v>46253</v>
          </cell>
          <cell r="D3608" t="str">
            <v>EASTERN CEBU</v>
          </cell>
          <cell r="E3608">
            <v>8</v>
          </cell>
          <cell r="H3608" t="str">
            <v>LAPU-LAPU</v>
          </cell>
          <cell r="N3608">
            <v>1000</v>
          </cell>
          <cell r="Y3608">
            <v>46253</v>
          </cell>
          <cell r="Z3608">
            <v>2</v>
          </cell>
          <cell r="AA3608">
            <v>1000</v>
          </cell>
        </row>
        <row r="3609">
          <cell r="A3609">
            <v>46253</v>
          </cell>
          <cell r="D3609" t="str">
            <v>EMERALD STAR</v>
          </cell>
          <cell r="E3609">
            <v>7</v>
          </cell>
          <cell r="H3609" t="str">
            <v>SAFISCOR</v>
          </cell>
          <cell r="N3609">
            <v>750</v>
          </cell>
          <cell r="Y3609">
            <v>46253</v>
          </cell>
          <cell r="Z3609">
            <v>2</v>
          </cell>
          <cell r="AA3609">
            <v>750</v>
          </cell>
        </row>
        <row r="3610">
          <cell r="A3610">
            <v>46253</v>
          </cell>
          <cell r="D3610" t="str">
            <v>EMERALD STAR</v>
          </cell>
          <cell r="E3610">
            <v>7</v>
          </cell>
          <cell r="H3610" t="str">
            <v>SAFISCOR</v>
          </cell>
          <cell r="N3610">
            <v>250</v>
          </cell>
          <cell r="Y3610">
            <v>46253</v>
          </cell>
          <cell r="Z3610">
            <v>2</v>
          </cell>
          <cell r="AA3610">
            <v>250</v>
          </cell>
        </row>
        <row r="3611">
          <cell r="A3611">
            <v>46253</v>
          </cell>
          <cell r="D3611" t="str">
            <v>EMERALD STAR</v>
          </cell>
          <cell r="E3611">
            <v>7</v>
          </cell>
          <cell r="H3611" t="str">
            <v>SAFISCOR</v>
          </cell>
          <cell r="N3611">
            <v>750</v>
          </cell>
          <cell r="Y3611">
            <v>46253</v>
          </cell>
          <cell r="Z3611">
            <v>2</v>
          </cell>
          <cell r="AA3611">
            <v>750</v>
          </cell>
        </row>
        <row r="3612">
          <cell r="A3612">
            <v>46253</v>
          </cell>
          <cell r="D3612" t="str">
            <v>EFG 8</v>
          </cell>
          <cell r="E3612">
            <v>4</v>
          </cell>
          <cell r="H3612" t="str">
            <v>SAFISCOR</v>
          </cell>
          <cell r="N3612">
            <v>700</v>
          </cell>
          <cell r="Y3612">
            <v>46253</v>
          </cell>
          <cell r="Z3612">
            <v>2</v>
          </cell>
          <cell r="AA3612">
            <v>700</v>
          </cell>
        </row>
        <row r="3613">
          <cell r="A3613">
            <v>46253</v>
          </cell>
          <cell r="D3613" t="str">
            <v>EFG 8</v>
          </cell>
          <cell r="E3613">
            <v>4</v>
          </cell>
          <cell r="H3613" t="str">
            <v>SAFISCOR</v>
          </cell>
          <cell r="N3613">
            <v>1000</v>
          </cell>
          <cell r="Y3613">
            <v>46253</v>
          </cell>
          <cell r="Z3613">
            <v>2</v>
          </cell>
          <cell r="AA3613">
            <v>1000</v>
          </cell>
        </row>
        <row r="3614">
          <cell r="A3614">
            <v>46253</v>
          </cell>
          <cell r="D3614" t="str">
            <v>EMERALD STAR</v>
          </cell>
          <cell r="E3614">
            <v>7</v>
          </cell>
          <cell r="H3614" t="str">
            <v>LAPU-LAPU</v>
          </cell>
          <cell r="N3614">
            <v>325</v>
          </cell>
          <cell r="Y3614">
            <v>46253</v>
          </cell>
          <cell r="Z3614">
            <v>2</v>
          </cell>
          <cell r="AA3614">
            <v>325</v>
          </cell>
        </row>
        <row r="3615">
          <cell r="A3615">
            <v>46253</v>
          </cell>
          <cell r="D3615" t="str">
            <v>EFG 8</v>
          </cell>
          <cell r="E3615">
            <v>4</v>
          </cell>
          <cell r="H3615" t="str">
            <v>SAFISCOR</v>
          </cell>
          <cell r="N3615">
            <v>400</v>
          </cell>
          <cell r="Y3615">
            <v>46253</v>
          </cell>
          <cell r="Z3615">
            <v>2</v>
          </cell>
          <cell r="AA3615">
            <v>400</v>
          </cell>
        </row>
        <row r="3616">
          <cell r="A3616">
            <v>46253</v>
          </cell>
          <cell r="D3616" t="str">
            <v>EFG 8</v>
          </cell>
          <cell r="E3616">
            <v>4</v>
          </cell>
          <cell r="H3616" t="str">
            <v>SAFISCOR</v>
          </cell>
          <cell r="N3616">
            <v>600</v>
          </cell>
          <cell r="Y3616">
            <v>46253</v>
          </cell>
          <cell r="Z3616">
            <v>2</v>
          </cell>
          <cell r="AA3616">
            <v>600</v>
          </cell>
        </row>
        <row r="3617">
          <cell r="A3617">
            <v>46253</v>
          </cell>
          <cell r="D3617" t="str">
            <v>EMERALD STAR</v>
          </cell>
          <cell r="E3617">
            <v>7</v>
          </cell>
          <cell r="H3617" t="str">
            <v>SAFISCOR</v>
          </cell>
          <cell r="N3617">
            <v>1000</v>
          </cell>
          <cell r="Y3617">
            <v>46253</v>
          </cell>
          <cell r="Z3617">
            <v>2</v>
          </cell>
          <cell r="AA3617">
            <v>1000</v>
          </cell>
        </row>
        <row r="3618">
          <cell r="A3618">
            <v>46253</v>
          </cell>
          <cell r="D3618" t="str">
            <v>EFG 7</v>
          </cell>
          <cell r="E3618">
            <v>4</v>
          </cell>
          <cell r="H3618" t="str">
            <v>SAFISCOR</v>
          </cell>
          <cell r="N3618">
            <v>1000</v>
          </cell>
          <cell r="Y3618">
            <v>46254</v>
          </cell>
          <cell r="Z3618">
            <v>2</v>
          </cell>
          <cell r="AA3618">
            <v>1000</v>
          </cell>
        </row>
        <row r="3619">
          <cell r="A3619">
            <v>46253</v>
          </cell>
          <cell r="D3619" t="str">
            <v>EASTERN CEBU</v>
          </cell>
          <cell r="E3619">
            <v>8</v>
          </cell>
          <cell r="H3619" t="str">
            <v>GEO</v>
          </cell>
          <cell r="N3619">
            <v>1000</v>
          </cell>
          <cell r="Y3619">
            <v>46253</v>
          </cell>
          <cell r="Z3619">
            <v>2</v>
          </cell>
          <cell r="AA3619">
            <v>1000</v>
          </cell>
        </row>
        <row r="3620">
          <cell r="A3620">
            <v>46253</v>
          </cell>
          <cell r="D3620" t="str">
            <v>EFG 8</v>
          </cell>
          <cell r="E3620">
            <v>4</v>
          </cell>
          <cell r="H3620" t="str">
            <v>SAFISCOR</v>
          </cell>
          <cell r="N3620">
            <v>1000</v>
          </cell>
          <cell r="Y3620">
            <v>46254</v>
          </cell>
          <cell r="Z3620">
            <v>1</v>
          </cell>
          <cell r="AA3620">
            <v>1000</v>
          </cell>
        </row>
        <row r="3621">
          <cell r="A3621">
            <v>46253</v>
          </cell>
          <cell r="D3621" t="str">
            <v>EFG 8</v>
          </cell>
          <cell r="E3621">
            <v>4</v>
          </cell>
          <cell r="H3621" t="str">
            <v>SAFISCOR</v>
          </cell>
          <cell r="N3621">
            <v>1000</v>
          </cell>
          <cell r="Y3621">
            <v>46254</v>
          </cell>
          <cell r="Z3621">
            <v>1</v>
          </cell>
          <cell r="AA3621">
            <v>1000</v>
          </cell>
        </row>
        <row r="3622">
          <cell r="A3622">
            <v>46253</v>
          </cell>
          <cell r="D3622" t="str">
            <v>EFG 8</v>
          </cell>
          <cell r="E3622">
            <v>4</v>
          </cell>
          <cell r="H3622" t="str">
            <v>SAFISCOR</v>
          </cell>
          <cell r="N3622">
            <v>1000</v>
          </cell>
          <cell r="Y3622">
            <v>46254</v>
          </cell>
          <cell r="Z3622">
            <v>2</v>
          </cell>
          <cell r="AA3622">
            <v>1000</v>
          </cell>
        </row>
        <row r="3623">
          <cell r="A3623">
            <v>46253</v>
          </cell>
          <cell r="D3623" t="str">
            <v>EFG 8</v>
          </cell>
          <cell r="E3623">
            <v>4</v>
          </cell>
          <cell r="H3623" t="str">
            <v>SAFISCOR</v>
          </cell>
          <cell r="N3623">
            <v>1000</v>
          </cell>
          <cell r="Y3623">
            <v>46255</v>
          </cell>
          <cell r="Z3623">
            <v>1</v>
          </cell>
          <cell r="AA3623">
            <v>1000</v>
          </cell>
        </row>
        <row r="3624">
          <cell r="A3624">
            <v>46253</v>
          </cell>
          <cell r="D3624" t="str">
            <v>STAR ILIGAN</v>
          </cell>
          <cell r="E3624">
            <v>6</v>
          </cell>
          <cell r="H3624" t="str">
            <v>SAFISCOR</v>
          </cell>
          <cell r="N3624">
            <v>250</v>
          </cell>
          <cell r="Y3624">
            <v>46253</v>
          </cell>
          <cell r="Z3624">
            <v>2</v>
          </cell>
          <cell r="AA3624">
            <v>250</v>
          </cell>
        </row>
        <row r="3625">
          <cell r="A3625">
            <v>46253</v>
          </cell>
          <cell r="D3625" t="str">
            <v>SF NAVIGATOR</v>
          </cell>
          <cell r="E3625">
            <v>1</v>
          </cell>
          <cell r="H3625" t="str">
            <v>BADIE</v>
          </cell>
          <cell r="N3625">
            <v>1000</v>
          </cell>
          <cell r="Y3625">
            <v>46253</v>
          </cell>
          <cell r="Z3625">
            <v>2</v>
          </cell>
          <cell r="AA3625">
            <v>1000</v>
          </cell>
        </row>
        <row r="3626">
          <cell r="A3626">
            <v>46253</v>
          </cell>
          <cell r="D3626" t="str">
            <v>SF NAVIGATOR</v>
          </cell>
          <cell r="E3626">
            <v>1</v>
          </cell>
          <cell r="H3626" t="str">
            <v>LAPU-LAPU</v>
          </cell>
          <cell r="N3626">
            <v>675</v>
          </cell>
          <cell r="Y3626">
            <v>46253</v>
          </cell>
          <cell r="Z3626">
            <v>2</v>
          </cell>
          <cell r="AA3626">
            <v>675</v>
          </cell>
        </row>
        <row r="3627">
          <cell r="A3627">
            <v>46253</v>
          </cell>
          <cell r="D3627" t="str">
            <v>EFG 7</v>
          </cell>
          <cell r="E3627">
            <v>4</v>
          </cell>
          <cell r="H3627" t="str">
            <v>LAPU-LAPU</v>
          </cell>
          <cell r="N3627">
            <v>1000</v>
          </cell>
          <cell r="Y3627">
            <v>46253</v>
          </cell>
          <cell r="Z3627">
            <v>2</v>
          </cell>
          <cell r="AA3627">
            <v>1000</v>
          </cell>
        </row>
        <row r="3628">
          <cell r="A3628">
            <v>46253</v>
          </cell>
          <cell r="D3628" t="str">
            <v>EASTERN CEBU</v>
          </cell>
          <cell r="E3628">
            <v>8</v>
          </cell>
          <cell r="H3628" t="str">
            <v>SAFISCOR</v>
          </cell>
          <cell r="N3628">
            <v>1000</v>
          </cell>
          <cell r="Y3628">
            <v>46253</v>
          </cell>
          <cell r="Z3628">
            <v>2</v>
          </cell>
          <cell r="AA3628">
            <v>1000</v>
          </cell>
        </row>
        <row r="3629">
          <cell r="A3629">
            <v>46253</v>
          </cell>
          <cell r="D3629" t="str">
            <v>EASTERN CEBU</v>
          </cell>
          <cell r="E3629">
            <v>8</v>
          </cell>
          <cell r="H3629" t="str">
            <v>SAFISCOR</v>
          </cell>
          <cell r="N3629">
            <v>1000</v>
          </cell>
          <cell r="Y3629">
            <v>46253</v>
          </cell>
          <cell r="Z3629">
            <v>2</v>
          </cell>
          <cell r="AA3629">
            <v>1000</v>
          </cell>
        </row>
        <row r="3630">
          <cell r="A3630">
            <v>46253</v>
          </cell>
          <cell r="D3630" t="str">
            <v>EASTERN CEBU</v>
          </cell>
          <cell r="E3630">
            <v>8</v>
          </cell>
          <cell r="H3630" t="str">
            <v>LAPU-LAPU</v>
          </cell>
          <cell r="N3630">
            <v>1000</v>
          </cell>
          <cell r="Y3630">
            <v>46253</v>
          </cell>
          <cell r="Z3630">
            <v>2</v>
          </cell>
          <cell r="AA3630">
            <v>1000</v>
          </cell>
        </row>
        <row r="3631">
          <cell r="A3631">
            <v>46253</v>
          </cell>
          <cell r="D3631" t="str">
            <v>EASTERN CEBU</v>
          </cell>
          <cell r="E3631">
            <v>8</v>
          </cell>
          <cell r="H3631" t="str">
            <v>SAFISCOR</v>
          </cell>
          <cell r="N3631">
            <v>300</v>
          </cell>
          <cell r="Y3631">
            <v>46253</v>
          </cell>
          <cell r="Z3631">
            <v>2</v>
          </cell>
          <cell r="AA3631">
            <v>300</v>
          </cell>
        </row>
        <row r="3632">
          <cell r="A3632">
            <v>46253</v>
          </cell>
          <cell r="D3632" t="str">
            <v>EFG 8</v>
          </cell>
          <cell r="E3632">
            <v>4</v>
          </cell>
          <cell r="H3632" t="str">
            <v>SAFISCOR</v>
          </cell>
          <cell r="N3632">
            <v>1000</v>
          </cell>
          <cell r="Y3632">
            <v>46253</v>
          </cell>
          <cell r="Z3632">
            <v>2</v>
          </cell>
          <cell r="AA3632">
            <v>1000</v>
          </cell>
        </row>
        <row r="3633">
          <cell r="A3633">
            <v>46254</v>
          </cell>
          <cell r="D3633" t="str">
            <v>EASTERN CEBU</v>
          </cell>
          <cell r="E3633">
            <v>8</v>
          </cell>
          <cell r="H3633" t="str">
            <v>SAFISCOR</v>
          </cell>
          <cell r="N3633">
            <v>1000</v>
          </cell>
          <cell r="Y3633">
            <v>46254</v>
          </cell>
          <cell r="Z3633">
            <v>1</v>
          </cell>
          <cell r="AA3633">
            <v>1000</v>
          </cell>
        </row>
        <row r="3634">
          <cell r="A3634">
            <v>46254</v>
          </cell>
          <cell r="D3634" t="str">
            <v>EFG 7</v>
          </cell>
          <cell r="E3634">
            <v>4</v>
          </cell>
          <cell r="H3634" t="str">
            <v>LAPU-LAPU</v>
          </cell>
          <cell r="N3634">
            <v>1000</v>
          </cell>
          <cell r="Y3634">
            <v>46254</v>
          </cell>
          <cell r="Z3634">
            <v>1</v>
          </cell>
          <cell r="AA3634">
            <v>1000</v>
          </cell>
        </row>
        <row r="3635">
          <cell r="A3635">
            <v>46254</v>
          </cell>
          <cell r="D3635" t="str">
            <v>SF NAVIGATOR</v>
          </cell>
          <cell r="E3635">
            <v>1</v>
          </cell>
          <cell r="H3635" t="str">
            <v>SAFISCOR</v>
          </cell>
          <cell r="N3635">
            <v>1000</v>
          </cell>
          <cell r="Y3635">
            <v>46254</v>
          </cell>
          <cell r="Z3635">
            <v>1</v>
          </cell>
          <cell r="AA3635">
            <v>1000</v>
          </cell>
        </row>
        <row r="3636">
          <cell r="A3636">
            <v>46254</v>
          </cell>
          <cell r="D3636" t="str">
            <v>EASTERN CEBU</v>
          </cell>
          <cell r="E3636">
            <v>8</v>
          </cell>
          <cell r="H3636" t="str">
            <v>SAFISCOR</v>
          </cell>
          <cell r="N3636">
            <v>1000</v>
          </cell>
          <cell r="Y3636">
            <v>46254</v>
          </cell>
          <cell r="Z3636">
            <v>1</v>
          </cell>
          <cell r="AA3636">
            <v>1000</v>
          </cell>
        </row>
        <row r="3637">
          <cell r="A3637">
            <v>46254</v>
          </cell>
          <cell r="D3637" t="str">
            <v>SF NAVIGATOR</v>
          </cell>
          <cell r="E3637">
            <v>1</v>
          </cell>
          <cell r="H3637" t="str">
            <v>SAFISCOR</v>
          </cell>
          <cell r="N3637">
            <v>1000</v>
          </cell>
          <cell r="Y3637">
            <v>46254</v>
          </cell>
          <cell r="Z3637">
            <v>1</v>
          </cell>
          <cell r="AA3637">
            <v>1000</v>
          </cell>
        </row>
        <row r="3638">
          <cell r="A3638">
            <v>46254</v>
          </cell>
          <cell r="D3638" t="str">
            <v>SF NAVIGATOR</v>
          </cell>
          <cell r="E3638">
            <v>1</v>
          </cell>
          <cell r="H3638" t="str">
            <v>SAFISCOR</v>
          </cell>
          <cell r="N3638">
            <v>1000</v>
          </cell>
          <cell r="Y3638">
            <v>46254</v>
          </cell>
          <cell r="Z3638">
            <v>1</v>
          </cell>
          <cell r="AA3638">
            <v>1000</v>
          </cell>
        </row>
        <row r="3639">
          <cell r="A3639">
            <v>46254</v>
          </cell>
          <cell r="D3639" t="str">
            <v>EFG 7</v>
          </cell>
          <cell r="E3639">
            <v>4</v>
          </cell>
          <cell r="H3639" t="str">
            <v>FULACHE</v>
          </cell>
          <cell r="N3639">
            <v>1000</v>
          </cell>
          <cell r="Y3639">
            <v>46254</v>
          </cell>
          <cell r="Z3639">
            <v>1</v>
          </cell>
          <cell r="AA3639">
            <v>1000</v>
          </cell>
        </row>
        <row r="3640">
          <cell r="A3640">
            <v>46254</v>
          </cell>
          <cell r="D3640" t="str">
            <v>SF NAVIGATOR</v>
          </cell>
          <cell r="E3640">
            <v>1</v>
          </cell>
          <cell r="H3640" t="str">
            <v>GEO</v>
          </cell>
          <cell r="N3640">
            <v>1000</v>
          </cell>
          <cell r="Y3640">
            <v>46254</v>
          </cell>
          <cell r="Z3640">
            <v>1</v>
          </cell>
          <cell r="AA3640">
            <v>1000</v>
          </cell>
        </row>
        <row r="3641">
          <cell r="A3641">
            <v>46254</v>
          </cell>
          <cell r="D3641" t="str">
            <v>EFG 7</v>
          </cell>
          <cell r="E3641">
            <v>4</v>
          </cell>
          <cell r="H3641" t="str">
            <v>SAFISCOR</v>
          </cell>
          <cell r="N3641">
            <v>1000</v>
          </cell>
          <cell r="Y3641">
            <v>46254</v>
          </cell>
          <cell r="Z3641">
            <v>1</v>
          </cell>
          <cell r="AA3641">
            <v>1000</v>
          </cell>
        </row>
        <row r="3642">
          <cell r="A3642">
            <v>46254</v>
          </cell>
          <cell r="D3642" t="str">
            <v>EFG 8</v>
          </cell>
          <cell r="E3642">
            <v>4</v>
          </cell>
          <cell r="H3642" t="str">
            <v>SAFISCOR</v>
          </cell>
          <cell r="N3642">
            <v>1000</v>
          </cell>
          <cell r="Y3642">
            <v>46254</v>
          </cell>
          <cell r="Z3642">
            <v>2</v>
          </cell>
          <cell r="AA3642">
            <v>1000</v>
          </cell>
        </row>
        <row r="3643">
          <cell r="A3643">
            <v>46254</v>
          </cell>
          <cell r="D3643" t="str">
            <v>EFG 8</v>
          </cell>
          <cell r="E3643">
            <v>4</v>
          </cell>
          <cell r="H3643" t="str">
            <v>SAFISCOR</v>
          </cell>
          <cell r="N3643">
            <v>1000</v>
          </cell>
          <cell r="Y3643">
            <v>46254</v>
          </cell>
          <cell r="Z3643">
            <v>2</v>
          </cell>
          <cell r="AA3643">
            <v>1000</v>
          </cell>
        </row>
        <row r="3644">
          <cell r="A3644">
            <v>46254</v>
          </cell>
          <cell r="D3644" t="str">
            <v>EFG 8</v>
          </cell>
          <cell r="E3644">
            <v>4</v>
          </cell>
          <cell r="H3644" t="str">
            <v>SAFISCOR</v>
          </cell>
          <cell r="N3644">
            <v>1000</v>
          </cell>
          <cell r="Y3644">
            <v>46254</v>
          </cell>
          <cell r="Z3644">
            <v>2</v>
          </cell>
          <cell r="AA3644">
            <v>1000</v>
          </cell>
        </row>
        <row r="3645">
          <cell r="A3645">
            <v>46254</v>
          </cell>
          <cell r="D3645" t="str">
            <v>EFG 8</v>
          </cell>
          <cell r="E3645">
            <v>4</v>
          </cell>
          <cell r="H3645" t="str">
            <v>SAFISCOR</v>
          </cell>
          <cell r="N3645">
            <v>1000</v>
          </cell>
          <cell r="Y3645">
            <v>46254</v>
          </cell>
          <cell r="Z3645">
            <v>2</v>
          </cell>
          <cell r="AA3645">
            <v>1000</v>
          </cell>
        </row>
        <row r="3646">
          <cell r="A3646">
            <v>46254</v>
          </cell>
          <cell r="D3646" t="str">
            <v>EFG 8</v>
          </cell>
          <cell r="E3646">
            <v>4</v>
          </cell>
          <cell r="H3646" t="str">
            <v>SAFISCOR</v>
          </cell>
          <cell r="N3646">
            <v>1000</v>
          </cell>
          <cell r="Y3646">
            <v>46254</v>
          </cell>
          <cell r="Z3646">
            <v>2</v>
          </cell>
          <cell r="AA3646">
            <v>1000</v>
          </cell>
        </row>
        <row r="3647">
          <cell r="A3647">
            <v>46254</v>
          </cell>
          <cell r="D3647" t="str">
            <v>EFG 8</v>
          </cell>
          <cell r="E3647">
            <v>4</v>
          </cell>
          <cell r="H3647" t="str">
            <v>SAFISCOR</v>
          </cell>
          <cell r="N3647">
            <v>1000</v>
          </cell>
          <cell r="Y3647">
            <v>46254</v>
          </cell>
          <cell r="Z3647">
            <v>2</v>
          </cell>
          <cell r="AA3647">
            <v>1000</v>
          </cell>
        </row>
        <row r="3648">
          <cell r="A3648">
            <v>46254</v>
          </cell>
          <cell r="D3648" t="str">
            <v>EFG 8</v>
          </cell>
          <cell r="E3648">
            <v>4</v>
          </cell>
          <cell r="H3648" t="str">
            <v>SAFISCOR</v>
          </cell>
          <cell r="N3648">
            <v>1000</v>
          </cell>
          <cell r="Y3648">
            <v>46254</v>
          </cell>
          <cell r="Z3648">
            <v>2</v>
          </cell>
          <cell r="AA3648">
            <v>1000</v>
          </cell>
        </row>
        <row r="3649">
          <cell r="A3649">
            <v>46254</v>
          </cell>
          <cell r="D3649" t="str">
            <v>EFG 8</v>
          </cell>
          <cell r="E3649">
            <v>4</v>
          </cell>
          <cell r="H3649" t="str">
            <v>SAFISCOR</v>
          </cell>
          <cell r="N3649">
            <v>1000</v>
          </cell>
          <cell r="Y3649">
            <v>46254</v>
          </cell>
          <cell r="Z3649">
            <v>2</v>
          </cell>
          <cell r="AA3649">
            <v>1000</v>
          </cell>
        </row>
        <row r="3650">
          <cell r="A3650">
            <v>46254</v>
          </cell>
          <cell r="D3650" t="str">
            <v>EFG 8</v>
          </cell>
          <cell r="E3650">
            <v>4</v>
          </cell>
          <cell r="H3650" t="str">
            <v>SAFISCOR</v>
          </cell>
          <cell r="N3650">
            <v>1000</v>
          </cell>
          <cell r="Y3650">
            <v>46254</v>
          </cell>
          <cell r="Z3650">
            <v>1</v>
          </cell>
          <cell r="AA3650">
            <v>1000</v>
          </cell>
        </row>
        <row r="3651">
          <cell r="A3651">
            <v>46254</v>
          </cell>
          <cell r="D3651" t="str">
            <v>EFG 7</v>
          </cell>
          <cell r="E3651">
            <v>4</v>
          </cell>
          <cell r="H3651" t="str">
            <v>SAFISCOR</v>
          </cell>
          <cell r="N3651">
            <v>1000</v>
          </cell>
          <cell r="Y3651">
            <v>46254</v>
          </cell>
          <cell r="Z3651">
            <v>1</v>
          </cell>
          <cell r="AA3651">
            <v>1000</v>
          </cell>
        </row>
        <row r="3652">
          <cell r="A3652">
            <v>46254</v>
          </cell>
          <cell r="D3652" t="str">
            <v>EFG 7</v>
          </cell>
          <cell r="E3652">
            <v>4</v>
          </cell>
          <cell r="H3652" t="str">
            <v>SAFISCOR</v>
          </cell>
          <cell r="N3652">
            <v>1000</v>
          </cell>
          <cell r="Y3652">
            <v>46254</v>
          </cell>
          <cell r="Z3652">
            <v>2</v>
          </cell>
          <cell r="AA3652">
            <v>1000</v>
          </cell>
        </row>
        <row r="3653">
          <cell r="A3653">
            <v>46254</v>
          </cell>
          <cell r="D3653" t="str">
            <v>EFG 7</v>
          </cell>
          <cell r="E3653">
            <v>4</v>
          </cell>
          <cell r="H3653" t="str">
            <v>SAFISCOR</v>
          </cell>
          <cell r="N3653">
            <v>1000</v>
          </cell>
          <cell r="Y3653">
            <v>46254</v>
          </cell>
          <cell r="Z3653">
            <v>2</v>
          </cell>
          <cell r="AA3653">
            <v>1000</v>
          </cell>
        </row>
        <row r="3654">
          <cell r="A3654">
            <v>46254</v>
          </cell>
          <cell r="D3654" t="str">
            <v>EASTERN CEBU</v>
          </cell>
          <cell r="E3654">
            <v>8</v>
          </cell>
          <cell r="H3654" t="str">
            <v>GEO</v>
          </cell>
          <cell r="N3654">
            <v>1000</v>
          </cell>
          <cell r="Y3654">
            <v>46254</v>
          </cell>
          <cell r="Z3654">
            <v>1</v>
          </cell>
          <cell r="AA3654">
            <v>1000</v>
          </cell>
        </row>
        <row r="3655">
          <cell r="A3655">
            <v>46254</v>
          </cell>
          <cell r="D3655" t="str">
            <v>EASTERN CEBU</v>
          </cell>
          <cell r="E3655">
            <v>8</v>
          </cell>
          <cell r="H3655" t="str">
            <v>SAFISCOR</v>
          </cell>
          <cell r="N3655">
            <v>1000</v>
          </cell>
          <cell r="Y3655">
            <v>46254</v>
          </cell>
          <cell r="Z3655">
            <v>2</v>
          </cell>
          <cell r="AA3655">
            <v>1000</v>
          </cell>
        </row>
        <row r="3656">
          <cell r="A3656">
            <v>46254</v>
          </cell>
          <cell r="D3656" t="str">
            <v>SF NAVIGATOR</v>
          </cell>
          <cell r="E3656">
            <v>1</v>
          </cell>
          <cell r="H3656" t="str">
            <v>APLUS</v>
          </cell>
          <cell r="N3656">
            <v>1000</v>
          </cell>
          <cell r="Y3656">
            <v>46254</v>
          </cell>
          <cell r="Z3656">
            <v>1</v>
          </cell>
          <cell r="AA3656">
            <v>1000</v>
          </cell>
        </row>
        <row r="3657">
          <cell r="A3657">
            <v>46254</v>
          </cell>
          <cell r="D3657" t="str">
            <v>SF NAVIGATOR</v>
          </cell>
          <cell r="E3657">
            <v>1</v>
          </cell>
          <cell r="H3657" t="str">
            <v>SAFISCOR</v>
          </cell>
          <cell r="N3657">
            <v>1000</v>
          </cell>
          <cell r="Y3657">
            <v>46254</v>
          </cell>
          <cell r="Z3657">
            <v>1</v>
          </cell>
          <cell r="AA3657">
            <v>1000</v>
          </cell>
        </row>
        <row r="3658">
          <cell r="A3658">
            <v>46254</v>
          </cell>
          <cell r="D3658" t="str">
            <v>SF NAVIGATOR</v>
          </cell>
          <cell r="E3658">
            <v>1</v>
          </cell>
          <cell r="H3658" t="str">
            <v>GEO</v>
          </cell>
          <cell r="N3658">
            <v>1000</v>
          </cell>
          <cell r="Y3658">
            <v>46254</v>
          </cell>
          <cell r="Z3658">
            <v>2</v>
          </cell>
          <cell r="AA3658">
            <v>1000</v>
          </cell>
        </row>
        <row r="3659">
          <cell r="A3659">
            <v>46254</v>
          </cell>
          <cell r="D3659" t="str">
            <v>NAPOLI</v>
          </cell>
          <cell r="E3659">
            <v>7</v>
          </cell>
          <cell r="H3659" t="str">
            <v>SAFISCOR</v>
          </cell>
          <cell r="N3659">
            <v>1000</v>
          </cell>
          <cell r="Y3659">
            <v>46254</v>
          </cell>
          <cell r="Z3659">
            <v>2</v>
          </cell>
          <cell r="AA3659">
            <v>1000</v>
          </cell>
        </row>
        <row r="3660">
          <cell r="A3660">
            <v>46254</v>
          </cell>
          <cell r="D3660" t="str">
            <v>SF NAVIGATOR</v>
          </cell>
          <cell r="E3660">
            <v>1</v>
          </cell>
          <cell r="H3660" t="str">
            <v>SAFISCOR</v>
          </cell>
          <cell r="N3660">
            <v>1000</v>
          </cell>
          <cell r="Y3660">
            <v>46254</v>
          </cell>
          <cell r="Z3660">
            <v>1</v>
          </cell>
          <cell r="AA3660">
            <v>1000</v>
          </cell>
        </row>
        <row r="3661">
          <cell r="A3661">
            <v>46254</v>
          </cell>
          <cell r="D3661" t="str">
            <v>EFG 8</v>
          </cell>
          <cell r="E3661">
            <v>4</v>
          </cell>
          <cell r="H3661" t="str">
            <v>SAFISCOR</v>
          </cell>
          <cell r="N3661">
            <v>1000</v>
          </cell>
          <cell r="Y3661">
            <v>46254</v>
          </cell>
          <cell r="Z3661">
            <v>1</v>
          </cell>
          <cell r="AA3661">
            <v>1000</v>
          </cell>
        </row>
        <row r="3662">
          <cell r="A3662">
            <v>46254</v>
          </cell>
          <cell r="D3662" t="str">
            <v>EASTERN CEBU</v>
          </cell>
          <cell r="E3662">
            <v>8</v>
          </cell>
          <cell r="H3662" t="str">
            <v>LAPU-LAPU</v>
          </cell>
          <cell r="N3662">
            <v>1000</v>
          </cell>
          <cell r="Y3662">
            <v>46254</v>
          </cell>
          <cell r="Z3662">
            <v>1</v>
          </cell>
          <cell r="AA3662">
            <v>1000</v>
          </cell>
        </row>
        <row r="3663">
          <cell r="A3663">
            <v>46254</v>
          </cell>
          <cell r="D3663" t="str">
            <v>EFG 8</v>
          </cell>
          <cell r="E3663">
            <v>4</v>
          </cell>
          <cell r="H3663" t="str">
            <v>SAFISCOR</v>
          </cell>
          <cell r="N3663">
            <v>1000</v>
          </cell>
          <cell r="Y3663">
            <v>46254</v>
          </cell>
          <cell r="Z3663">
            <v>1</v>
          </cell>
          <cell r="AA3663">
            <v>1000</v>
          </cell>
        </row>
        <row r="3664">
          <cell r="A3664">
            <v>46254</v>
          </cell>
          <cell r="D3664" t="str">
            <v>EASTERN CEBU</v>
          </cell>
          <cell r="E3664">
            <v>8</v>
          </cell>
          <cell r="H3664" t="str">
            <v>LAPU-LAPU</v>
          </cell>
          <cell r="N3664">
            <v>200</v>
          </cell>
          <cell r="Y3664">
            <v>46254</v>
          </cell>
          <cell r="Z3664">
            <v>2</v>
          </cell>
          <cell r="AA3664">
            <v>200</v>
          </cell>
        </row>
        <row r="3665">
          <cell r="A3665">
            <v>46254</v>
          </cell>
          <cell r="D3665" t="str">
            <v>SF NAVIGATOR</v>
          </cell>
          <cell r="E3665">
            <v>1</v>
          </cell>
          <cell r="H3665" t="str">
            <v>LAPU-LAPU</v>
          </cell>
          <cell r="N3665">
            <v>800</v>
          </cell>
          <cell r="Y3665">
            <v>46254</v>
          </cell>
          <cell r="Z3665">
            <v>2</v>
          </cell>
          <cell r="AA3665">
            <v>800</v>
          </cell>
        </row>
        <row r="3666">
          <cell r="A3666">
            <v>46254</v>
          </cell>
          <cell r="D3666" t="str">
            <v>EFG 7</v>
          </cell>
          <cell r="E3666">
            <v>4</v>
          </cell>
          <cell r="H3666" t="str">
            <v>SAFISCOR</v>
          </cell>
          <cell r="N3666">
            <v>1000</v>
          </cell>
          <cell r="Y3666">
            <v>46254</v>
          </cell>
          <cell r="Z3666">
            <v>1</v>
          </cell>
          <cell r="AA3666">
            <v>1000</v>
          </cell>
        </row>
        <row r="3667">
          <cell r="A3667">
            <v>46254</v>
          </cell>
          <cell r="D3667" t="str">
            <v>NAPOLI</v>
          </cell>
          <cell r="E3667">
            <v>7</v>
          </cell>
          <cell r="H3667" t="str">
            <v>BADIE</v>
          </cell>
          <cell r="N3667">
            <v>1000</v>
          </cell>
          <cell r="Y3667">
            <v>46254</v>
          </cell>
          <cell r="Z3667">
            <v>1</v>
          </cell>
          <cell r="AA3667">
            <v>1000</v>
          </cell>
        </row>
        <row r="3668">
          <cell r="A3668">
            <v>46254</v>
          </cell>
          <cell r="D3668" t="str">
            <v>LADY OF DIVINE GRACE</v>
          </cell>
          <cell r="E3668">
            <v>6</v>
          </cell>
          <cell r="H3668" t="str">
            <v>SAFISCOR</v>
          </cell>
          <cell r="N3668">
            <v>1000</v>
          </cell>
          <cell r="Y3668">
            <v>46254</v>
          </cell>
          <cell r="Z3668">
            <v>2</v>
          </cell>
          <cell r="AA3668">
            <v>1000</v>
          </cell>
        </row>
        <row r="3669">
          <cell r="A3669">
            <v>46254</v>
          </cell>
          <cell r="D3669" t="str">
            <v>NAPOLI</v>
          </cell>
          <cell r="E3669">
            <v>7</v>
          </cell>
          <cell r="H3669" t="str">
            <v>SAFISCOR</v>
          </cell>
          <cell r="N3669">
            <v>1000</v>
          </cell>
          <cell r="Y3669">
            <v>46254</v>
          </cell>
          <cell r="Z3669">
            <v>2</v>
          </cell>
          <cell r="AA3669">
            <v>1000</v>
          </cell>
        </row>
        <row r="3670">
          <cell r="A3670">
            <v>46254</v>
          </cell>
          <cell r="D3670" t="str">
            <v>LADY OF DIVINE GRACE</v>
          </cell>
          <cell r="E3670">
            <v>6</v>
          </cell>
          <cell r="H3670" t="str">
            <v>SAFISCOR</v>
          </cell>
          <cell r="N3670">
            <v>1000</v>
          </cell>
          <cell r="Y3670">
            <v>46254</v>
          </cell>
          <cell r="Z3670">
            <v>2</v>
          </cell>
          <cell r="AA3670">
            <v>1000</v>
          </cell>
        </row>
        <row r="3671">
          <cell r="A3671">
            <v>46254</v>
          </cell>
          <cell r="D3671" t="str">
            <v>EFG 7</v>
          </cell>
          <cell r="E3671">
            <v>4</v>
          </cell>
          <cell r="H3671" t="str">
            <v>LAPU-LAPU</v>
          </cell>
          <cell r="N3671">
            <v>1000</v>
          </cell>
          <cell r="Y3671">
            <v>46254</v>
          </cell>
          <cell r="Z3671">
            <v>2</v>
          </cell>
          <cell r="AA3671">
            <v>1000</v>
          </cell>
        </row>
        <row r="3672">
          <cell r="A3672">
            <v>46254</v>
          </cell>
          <cell r="D3672" t="str">
            <v>EFG 8</v>
          </cell>
          <cell r="E3672">
            <v>4</v>
          </cell>
          <cell r="H3672" t="str">
            <v>SAFISCOR</v>
          </cell>
          <cell r="N3672">
            <v>200</v>
          </cell>
          <cell r="Y3672">
            <v>46254</v>
          </cell>
          <cell r="Z3672">
            <v>2</v>
          </cell>
          <cell r="AA3672">
            <v>200</v>
          </cell>
        </row>
        <row r="3673">
          <cell r="A3673">
            <v>46254</v>
          </cell>
          <cell r="D3673" t="str">
            <v>NIEVES</v>
          </cell>
          <cell r="E3673">
            <v>1</v>
          </cell>
          <cell r="H3673" t="str">
            <v>SAFISCOR</v>
          </cell>
          <cell r="N3673">
            <v>1000</v>
          </cell>
          <cell r="Y3673">
            <v>46254</v>
          </cell>
          <cell r="Z3673">
            <v>2</v>
          </cell>
          <cell r="AA3673">
            <v>1000</v>
          </cell>
        </row>
        <row r="3674">
          <cell r="A3674">
            <v>46254</v>
          </cell>
          <cell r="D3674" t="str">
            <v>NIEVES</v>
          </cell>
          <cell r="E3674">
            <v>1</v>
          </cell>
          <cell r="H3674" t="str">
            <v>GEO</v>
          </cell>
          <cell r="N3674">
            <v>1000</v>
          </cell>
          <cell r="Y3674">
            <v>46254</v>
          </cell>
          <cell r="Z3674">
            <v>2</v>
          </cell>
          <cell r="AA3674">
            <v>1000</v>
          </cell>
        </row>
        <row r="3675">
          <cell r="A3675">
            <v>46254</v>
          </cell>
          <cell r="D3675" t="str">
            <v>EFG 7</v>
          </cell>
          <cell r="E3675">
            <v>4</v>
          </cell>
          <cell r="H3675" t="str">
            <v>SAFISCOR</v>
          </cell>
          <cell r="N3675">
            <v>800</v>
          </cell>
          <cell r="Y3675">
            <v>46254</v>
          </cell>
          <cell r="Z3675">
            <v>1</v>
          </cell>
          <cell r="AA3675">
            <v>800</v>
          </cell>
        </row>
        <row r="3676">
          <cell r="A3676">
            <v>46254</v>
          </cell>
          <cell r="D3676" t="str">
            <v>SF NAVIGATOR</v>
          </cell>
          <cell r="E3676">
            <v>1</v>
          </cell>
          <cell r="H3676" t="str">
            <v>SAFISCOR</v>
          </cell>
          <cell r="N3676">
            <v>1000</v>
          </cell>
          <cell r="Y3676">
            <v>46254</v>
          </cell>
          <cell r="Z3676">
            <v>2</v>
          </cell>
          <cell r="AA3676">
            <v>1000</v>
          </cell>
        </row>
        <row r="3677">
          <cell r="A3677">
            <v>46254</v>
          </cell>
          <cell r="D3677" t="str">
            <v>SF NAVIGATOR</v>
          </cell>
          <cell r="E3677">
            <v>1</v>
          </cell>
          <cell r="H3677" t="str">
            <v>SAFISCOR</v>
          </cell>
          <cell r="N3677">
            <v>1000</v>
          </cell>
          <cell r="Y3677">
            <v>46254</v>
          </cell>
          <cell r="Z3677">
            <v>2</v>
          </cell>
          <cell r="AA3677">
            <v>1000</v>
          </cell>
        </row>
        <row r="3678">
          <cell r="A3678">
            <v>46254</v>
          </cell>
          <cell r="D3678" t="str">
            <v>EASTERN CEBU</v>
          </cell>
          <cell r="E3678">
            <v>8</v>
          </cell>
          <cell r="H3678" t="str">
            <v>SAFISCOR</v>
          </cell>
          <cell r="N3678">
            <v>1000</v>
          </cell>
          <cell r="Y3678">
            <v>46254</v>
          </cell>
          <cell r="Z3678">
            <v>2</v>
          </cell>
          <cell r="AA3678">
            <v>1000</v>
          </cell>
        </row>
        <row r="3679">
          <cell r="A3679">
            <v>46254</v>
          </cell>
          <cell r="D3679" t="str">
            <v>NAPOLI</v>
          </cell>
          <cell r="E3679">
            <v>7</v>
          </cell>
          <cell r="H3679" t="str">
            <v>LAPU-LAPU</v>
          </cell>
          <cell r="N3679">
            <v>1000</v>
          </cell>
          <cell r="Y3679">
            <v>46254</v>
          </cell>
          <cell r="Z3679">
            <v>2</v>
          </cell>
          <cell r="AA3679">
            <v>1000</v>
          </cell>
        </row>
        <row r="3680">
          <cell r="A3680">
            <v>46254</v>
          </cell>
          <cell r="D3680" t="str">
            <v>NIEVES</v>
          </cell>
          <cell r="E3680">
            <v>1</v>
          </cell>
          <cell r="H3680" t="str">
            <v>APLUS</v>
          </cell>
          <cell r="N3680">
            <v>1000</v>
          </cell>
          <cell r="Y3680">
            <v>46254</v>
          </cell>
          <cell r="Z3680">
            <v>2</v>
          </cell>
          <cell r="AA3680">
            <v>1000</v>
          </cell>
        </row>
        <row r="3681">
          <cell r="A3681">
            <v>46254</v>
          </cell>
          <cell r="D3681" t="str">
            <v>NIEVES</v>
          </cell>
          <cell r="E3681">
            <v>1</v>
          </cell>
          <cell r="H3681" t="str">
            <v>SAFISCOR</v>
          </cell>
          <cell r="N3681">
            <v>1000</v>
          </cell>
          <cell r="Y3681">
            <v>46254</v>
          </cell>
          <cell r="Z3681">
            <v>2</v>
          </cell>
          <cell r="AA3681">
            <v>1000</v>
          </cell>
        </row>
        <row r="3682">
          <cell r="A3682">
            <v>46254</v>
          </cell>
          <cell r="D3682" t="str">
            <v>NAPOLI</v>
          </cell>
          <cell r="E3682">
            <v>7</v>
          </cell>
          <cell r="H3682" t="str">
            <v>SAFISCOR</v>
          </cell>
          <cell r="N3682">
            <v>1000</v>
          </cell>
          <cell r="Y3682">
            <v>46254</v>
          </cell>
          <cell r="Z3682">
            <v>2</v>
          </cell>
          <cell r="AA3682">
            <v>1000</v>
          </cell>
        </row>
        <row r="3683">
          <cell r="A3683">
            <v>46254</v>
          </cell>
          <cell r="D3683" t="str">
            <v>NAPOLI</v>
          </cell>
          <cell r="E3683">
            <v>7</v>
          </cell>
          <cell r="H3683" t="str">
            <v>SAFISCOR</v>
          </cell>
          <cell r="N3683">
            <v>1000</v>
          </cell>
          <cell r="Y3683">
            <v>46254</v>
          </cell>
          <cell r="Z3683">
            <v>2</v>
          </cell>
          <cell r="AA3683">
            <v>1000</v>
          </cell>
        </row>
        <row r="3684">
          <cell r="A3684">
            <v>46254</v>
          </cell>
          <cell r="D3684" t="str">
            <v>NIEVES</v>
          </cell>
          <cell r="E3684">
            <v>1</v>
          </cell>
          <cell r="H3684" t="str">
            <v>SAFISCOR</v>
          </cell>
          <cell r="N3684">
            <v>1000</v>
          </cell>
          <cell r="Y3684">
            <v>46254</v>
          </cell>
          <cell r="Z3684">
            <v>2</v>
          </cell>
          <cell r="AA3684">
            <v>1000</v>
          </cell>
        </row>
        <row r="3685">
          <cell r="A3685">
            <v>46254</v>
          </cell>
          <cell r="D3685" t="str">
            <v>NIEVES</v>
          </cell>
          <cell r="E3685">
            <v>1</v>
          </cell>
          <cell r="H3685" t="str">
            <v>LAPU-LAPU</v>
          </cell>
          <cell r="N3685">
            <v>1000</v>
          </cell>
          <cell r="Y3685">
            <v>46254</v>
          </cell>
          <cell r="Z3685">
            <v>2</v>
          </cell>
          <cell r="AA3685">
            <v>1000</v>
          </cell>
        </row>
        <row r="3686">
          <cell r="A3686">
            <v>46254</v>
          </cell>
          <cell r="D3686" t="str">
            <v>LADY OF DIVINE GRACE</v>
          </cell>
          <cell r="E3686">
            <v>6</v>
          </cell>
          <cell r="H3686" t="str">
            <v>SAFISCOR</v>
          </cell>
          <cell r="N3686">
            <v>1000</v>
          </cell>
          <cell r="Y3686">
            <v>46254</v>
          </cell>
          <cell r="Z3686">
            <v>2</v>
          </cell>
          <cell r="AA3686">
            <v>1000</v>
          </cell>
        </row>
        <row r="3687">
          <cell r="A3687">
            <v>46254</v>
          </cell>
          <cell r="D3687" t="str">
            <v>NIEVES</v>
          </cell>
          <cell r="E3687">
            <v>1</v>
          </cell>
          <cell r="H3687" t="str">
            <v>LAPU-LAPU</v>
          </cell>
          <cell r="N3687">
            <v>1000</v>
          </cell>
          <cell r="Y3687">
            <v>46254</v>
          </cell>
          <cell r="Z3687">
            <v>2</v>
          </cell>
          <cell r="AA3687">
            <v>1000</v>
          </cell>
        </row>
        <row r="3688">
          <cell r="A3688">
            <v>46254</v>
          </cell>
          <cell r="D3688" t="str">
            <v>LADY OF DIVINE GRACE</v>
          </cell>
          <cell r="E3688">
            <v>6</v>
          </cell>
          <cell r="H3688" t="str">
            <v>SAFISCOR</v>
          </cell>
          <cell r="N3688">
            <v>1000</v>
          </cell>
          <cell r="Y3688">
            <v>46254</v>
          </cell>
          <cell r="Z3688">
            <v>2</v>
          </cell>
          <cell r="AA3688">
            <v>1000</v>
          </cell>
        </row>
        <row r="3689">
          <cell r="A3689">
            <v>46254</v>
          </cell>
          <cell r="D3689" t="str">
            <v>LADY OF DIVINE GRACE</v>
          </cell>
          <cell r="E3689">
            <v>6</v>
          </cell>
          <cell r="H3689" t="str">
            <v>SAFISCOR</v>
          </cell>
          <cell r="N3689">
            <v>1000</v>
          </cell>
          <cell r="Y3689">
            <v>46254</v>
          </cell>
          <cell r="Z3689">
            <v>2</v>
          </cell>
          <cell r="AA3689">
            <v>1000</v>
          </cell>
        </row>
        <row r="3690">
          <cell r="A3690">
            <v>46254</v>
          </cell>
          <cell r="D3690" t="str">
            <v>LADY OF DIVINE GRACE</v>
          </cell>
          <cell r="E3690">
            <v>6</v>
          </cell>
          <cell r="H3690" t="str">
            <v>SAFISCOR</v>
          </cell>
          <cell r="N3690">
            <v>1000</v>
          </cell>
          <cell r="Y3690">
            <v>46254</v>
          </cell>
          <cell r="Z3690">
            <v>2</v>
          </cell>
          <cell r="AA3690">
            <v>1000</v>
          </cell>
        </row>
        <row r="3691">
          <cell r="A3691">
            <v>46254</v>
          </cell>
          <cell r="D3691" t="str">
            <v>NAPOLI</v>
          </cell>
          <cell r="E3691">
            <v>7</v>
          </cell>
          <cell r="H3691" t="str">
            <v>SAFISCOR</v>
          </cell>
          <cell r="N3691">
            <v>1000</v>
          </cell>
          <cell r="Y3691">
            <v>46254</v>
          </cell>
          <cell r="Z3691">
            <v>2</v>
          </cell>
          <cell r="AA3691">
            <v>1000</v>
          </cell>
        </row>
        <row r="3692">
          <cell r="A3692">
            <v>46254</v>
          </cell>
          <cell r="D3692" t="str">
            <v>NAPOLI</v>
          </cell>
          <cell r="E3692">
            <v>7</v>
          </cell>
          <cell r="H3692" t="str">
            <v>SAFISCOR</v>
          </cell>
          <cell r="N3692">
            <v>1000</v>
          </cell>
          <cell r="Y3692">
            <v>46255</v>
          </cell>
          <cell r="Z3692">
            <v>1</v>
          </cell>
          <cell r="AA3692">
            <v>1000</v>
          </cell>
        </row>
        <row r="3693">
          <cell r="A3693">
            <v>46254</v>
          </cell>
          <cell r="D3693" t="str">
            <v>LADY OF DIVINE GRACE</v>
          </cell>
          <cell r="E3693">
            <v>6</v>
          </cell>
          <cell r="H3693" t="str">
            <v>SAFISCOR</v>
          </cell>
          <cell r="N3693">
            <v>1000</v>
          </cell>
          <cell r="Y3693">
            <v>46254</v>
          </cell>
          <cell r="Z3693">
            <v>2</v>
          </cell>
          <cell r="AA3693">
            <v>1000</v>
          </cell>
        </row>
        <row r="3694">
          <cell r="A3694">
            <v>46254</v>
          </cell>
          <cell r="D3694" t="str">
            <v>NAPOLI</v>
          </cell>
          <cell r="E3694">
            <v>7</v>
          </cell>
          <cell r="H3694" t="str">
            <v>GEO</v>
          </cell>
          <cell r="N3694">
            <v>1000</v>
          </cell>
          <cell r="Y3694">
            <v>46255</v>
          </cell>
          <cell r="Z3694">
            <v>1</v>
          </cell>
          <cell r="AA3694">
            <v>1000</v>
          </cell>
        </row>
        <row r="3695">
          <cell r="A3695">
            <v>46254</v>
          </cell>
          <cell r="D3695" t="str">
            <v>LADY OF DIVINE GRACE</v>
          </cell>
          <cell r="E3695">
            <v>6</v>
          </cell>
          <cell r="H3695" t="str">
            <v>SAFISCOR</v>
          </cell>
          <cell r="N3695">
            <v>1000</v>
          </cell>
          <cell r="Y3695">
            <v>46255</v>
          </cell>
          <cell r="Z3695">
            <v>1</v>
          </cell>
          <cell r="AA3695">
            <v>1000</v>
          </cell>
        </row>
        <row r="3696">
          <cell r="A3696">
            <v>46254</v>
          </cell>
          <cell r="D3696" t="str">
            <v>NIEVES</v>
          </cell>
          <cell r="E3696">
            <v>1</v>
          </cell>
          <cell r="H3696" t="str">
            <v>APLUS</v>
          </cell>
          <cell r="N3696">
            <v>1000</v>
          </cell>
          <cell r="Y3696">
            <v>46254</v>
          </cell>
          <cell r="Z3696">
            <v>2</v>
          </cell>
          <cell r="AA3696">
            <v>1000</v>
          </cell>
        </row>
        <row r="3697">
          <cell r="A3697">
            <v>46254</v>
          </cell>
          <cell r="D3697" t="str">
            <v>NIEVES</v>
          </cell>
          <cell r="E3697">
            <v>1</v>
          </cell>
          <cell r="H3697" t="str">
            <v>LAPU-LAPU</v>
          </cell>
          <cell r="N3697">
            <v>1000</v>
          </cell>
          <cell r="Y3697">
            <v>46254</v>
          </cell>
          <cell r="Z3697">
            <v>2</v>
          </cell>
          <cell r="AA3697">
            <v>1000</v>
          </cell>
        </row>
        <row r="3698">
          <cell r="A3698">
            <v>46254</v>
          </cell>
          <cell r="D3698" t="str">
            <v>EFG 7</v>
          </cell>
          <cell r="E3698">
            <v>4</v>
          </cell>
          <cell r="H3698" t="str">
            <v>BADIE</v>
          </cell>
          <cell r="N3698">
            <v>1000</v>
          </cell>
          <cell r="Y3698">
            <v>46254</v>
          </cell>
          <cell r="Z3698">
            <v>2</v>
          </cell>
          <cell r="AA3698">
            <v>1000</v>
          </cell>
        </row>
        <row r="3699">
          <cell r="A3699">
            <v>46254</v>
          </cell>
          <cell r="D3699" t="str">
            <v>EASTERN CEBU</v>
          </cell>
          <cell r="E3699">
            <v>8</v>
          </cell>
          <cell r="H3699" t="str">
            <v>SAFISCOR</v>
          </cell>
          <cell r="N3699">
            <v>1000</v>
          </cell>
          <cell r="Y3699">
            <v>46255</v>
          </cell>
          <cell r="Z3699">
            <v>1</v>
          </cell>
          <cell r="AA3699">
            <v>1000</v>
          </cell>
        </row>
        <row r="3700">
          <cell r="A3700">
            <v>46254</v>
          </cell>
          <cell r="D3700" t="str">
            <v>EASTERN CEBU</v>
          </cell>
          <cell r="E3700">
            <v>8</v>
          </cell>
          <cell r="H3700" t="str">
            <v>SAFISCOR</v>
          </cell>
          <cell r="N3700">
            <v>1000</v>
          </cell>
          <cell r="Y3700">
            <v>46255</v>
          </cell>
          <cell r="Z3700">
            <v>1</v>
          </cell>
          <cell r="AA3700">
            <v>1000</v>
          </cell>
        </row>
        <row r="3701">
          <cell r="A3701">
            <v>46254</v>
          </cell>
          <cell r="D3701" t="str">
            <v>EASTERN CEBU</v>
          </cell>
          <cell r="E3701">
            <v>8</v>
          </cell>
          <cell r="H3701" t="str">
            <v>LAPU-LAPU</v>
          </cell>
          <cell r="N3701">
            <v>1000</v>
          </cell>
        </row>
        <row r="3702">
          <cell r="A3702">
            <v>46254</v>
          </cell>
          <cell r="D3702" t="str">
            <v>NAPOLI</v>
          </cell>
          <cell r="E3702">
            <v>7</v>
          </cell>
          <cell r="H3702" t="str">
            <v>LAPU-LAPU</v>
          </cell>
          <cell r="N3702">
            <v>1000</v>
          </cell>
          <cell r="Y3702">
            <v>46255</v>
          </cell>
          <cell r="Z3702">
            <v>1</v>
          </cell>
          <cell r="AA3702">
            <v>1000</v>
          </cell>
        </row>
        <row r="3703">
          <cell r="A3703">
            <v>46254</v>
          </cell>
          <cell r="D3703" t="str">
            <v xml:space="preserve">STAR SOGOD </v>
          </cell>
          <cell r="E3703">
            <v>7</v>
          </cell>
          <cell r="H3703" t="str">
            <v>SAFISCOR</v>
          </cell>
          <cell r="N3703">
            <v>1000</v>
          </cell>
          <cell r="Y3703">
            <v>46255</v>
          </cell>
          <cell r="Z3703">
            <v>1</v>
          </cell>
          <cell r="AA3703">
            <v>1000</v>
          </cell>
        </row>
        <row r="3704">
          <cell r="A3704">
            <v>46254</v>
          </cell>
          <cell r="D3704" t="str">
            <v>NIEVES</v>
          </cell>
          <cell r="E3704">
            <v>1</v>
          </cell>
          <cell r="H3704" t="str">
            <v>SAFISCOR</v>
          </cell>
          <cell r="N3704">
            <v>1000</v>
          </cell>
          <cell r="Y3704">
            <v>46254</v>
          </cell>
          <cell r="Z3704">
            <v>2</v>
          </cell>
          <cell r="AA3704">
            <v>1000</v>
          </cell>
        </row>
        <row r="3705">
          <cell r="A3705">
            <v>46254</v>
          </cell>
          <cell r="D3705" t="str">
            <v>NAPOLI</v>
          </cell>
          <cell r="E3705">
            <v>7</v>
          </cell>
          <cell r="H3705" t="str">
            <v>LAPU-LAPU</v>
          </cell>
          <cell r="N3705">
            <v>1000</v>
          </cell>
          <cell r="Y3705">
            <v>46254</v>
          </cell>
          <cell r="Z3705">
            <v>2</v>
          </cell>
          <cell r="AA3705">
            <v>1000</v>
          </cell>
        </row>
        <row r="3706">
          <cell r="A3706">
            <v>46254</v>
          </cell>
          <cell r="D3706" t="str">
            <v>NAPOLI</v>
          </cell>
          <cell r="E3706">
            <v>7</v>
          </cell>
          <cell r="H3706" t="str">
            <v>BADIE</v>
          </cell>
          <cell r="N3706">
            <v>1000</v>
          </cell>
          <cell r="Y3706">
            <v>46254</v>
          </cell>
          <cell r="Z3706">
            <v>2</v>
          </cell>
          <cell r="AA3706">
            <v>1000</v>
          </cell>
        </row>
        <row r="3707">
          <cell r="A3707">
            <v>46254</v>
          </cell>
          <cell r="D3707" t="str">
            <v>NAPOLI</v>
          </cell>
          <cell r="E3707">
            <v>7</v>
          </cell>
          <cell r="H3707" t="str">
            <v>LAPU-LAPU</v>
          </cell>
          <cell r="N3707">
            <v>1000</v>
          </cell>
          <cell r="Y3707">
            <v>46254</v>
          </cell>
          <cell r="Z3707">
            <v>2</v>
          </cell>
          <cell r="AA3707">
            <v>1000</v>
          </cell>
        </row>
        <row r="3708">
          <cell r="A3708">
            <v>46254</v>
          </cell>
          <cell r="D3708" t="str">
            <v>LADY OF DIVINE GRACE</v>
          </cell>
          <cell r="E3708">
            <v>6</v>
          </cell>
          <cell r="H3708" t="str">
            <v>SAFISCOR</v>
          </cell>
          <cell r="N3708">
            <v>1000</v>
          </cell>
          <cell r="Y3708">
            <v>46254</v>
          </cell>
          <cell r="Z3708">
            <v>2</v>
          </cell>
          <cell r="AA3708">
            <v>1000</v>
          </cell>
        </row>
        <row r="3709">
          <cell r="A3709">
            <v>46254</v>
          </cell>
          <cell r="D3709" t="str">
            <v>LADY OF DIVINE GRACE</v>
          </cell>
          <cell r="E3709">
            <v>6</v>
          </cell>
          <cell r="H3709" t="str">
            <v>SAFISCOR</v>
          </cell>
          <cell r="N3709">
            <v>1000</v>
          </cell>
          <cell r="Y3709">
            <v>46254</v>
          </cell>
          <cell r="Z3709">
            <v>2</v>
          </cell>
          <cell r="AA3709">
            <v>1000</v>
          </cell>
        </row>
        <row r="3710">
          <cell r="A3710">
            <v>46254</v>
          </cell>
          <cell r="D3710" t="str">
            <v>SF NAVIGATOR</v>
          </cell>
          <cell r="E3710">
            <v>1</v>
          </cell>
          <cell r="H3710" t="str">
            <v>SAFISCOR</v>
          </cell>
          <cell r="N3710">
            <v>1000</v>
          </cell>
          <cell r="Y3710">
            <v>46254</v>
          </cell>
          <cell r="Z3710">
            <v>2</v>
          </cell>
          <cell r="AA3710">
            <v>1000</v>
          </cell>
        </row>
        <row r="3711">
          <cell r="A3711">
            <v>46255</v>
          </cell>
          <cell r="D3711" t="str">
            <v>EASTERN CEBU</v>
          </cell>
          <cell r="E3711">
            <v>8</v>
          </cell>
          <cell r="H3711" t="str">
            <v>SAFISCOR</v>
          </cell>
          <cell r="N3711">
            <v>1000</v>
          </cell>
          <cell r="Y3711">
            <v>46255</v>
          </cell>
          <cell r="Z3711">
            <v>1</v>
          </cell>
          <cell r="AA3711">
            <v>1000</v>
          </cell>
        </row>
        <row r="3712">
          <cell r="A3712">
            <v>46255</v>
          </cell>
          <cell r="D3712" t="str">
            <v>NIEVES</v>
          </cell>
          <cell r="E3712">
            <v>1</v>
          </cell>
          <cell r="H3712" t="str">
            <v>LAPU-LAPU</v>
          </cell>
          <cell r="N3712">
            <v>1000</v>
          </cell>
          <cell r="Y3712">
            <v>46255</v>
          </cell>
          <cell r="Z3712">
            <v>1</v>
          </cell>
          <cell r="AA3712">
            <v>1000</v>
          </cell>
        </row>
        <row r="3713">
          <cell r="A3713">
            <v>46255</v>
          </cell>
          <cell r="D3713" t="str">
            <v xml:space="preserve">STAR SOGOD </v>
          </cell>
          <cell r="E3713">
            <v>7</v>
          </cell>
          <cell r="H3713" t="str">
            <v>SAFISCOR</v>
          </cell>
          <cell r="N3713">
            <v>1000</v>
          </cell>
          <cell r="Y3713">
            <v>46255</v>
          </cell>
          <cell r="Z3713">
            <v>1</v>
          </cell>
          <cell r="AA3713">
            <v>1000</v>
          </cell>
        </row>
        <row r="3714">
          <cell r="A3714">
            <v>46255</v>
          </cell>
          <cell r="D3714" t="str">
            <v>SF NAVIGATOR</v>
          </cell>
          <cell r="E3714">
            <v>1</v>
          </cell>
          <cell r="H3714" t="str">
            <v>FULACHE</v>
          </cell>
          <cell r="N3714">
            <v>1000</v>
          </cell>
          <cell r="Y3714">
            <v>46255</v>
          </cell>
          <cell r="Z3714">
            <v>1</v>
          </cell>
          <cell r="AA3714">
            <v>1000</v>
          </cell>
        </row>
        <row r="3715">
          <cell r="A3715">
            <v>46255</v>
          </cell>
          <cell r="D3715" t="str">
            <v>NIEVES</v>
          </cell>
          <cell r="E3715">
            <v>1</v>
          </cell>
          <cell r="H3715" t="str">
            <v>SAFISCOR</v>
          </cell>
          <cell r="N3715">
            <v>1000</v>
          </cell>
          <cell r="Y3715">
            <v>46255</v>
          </cell>
          <cell r="Z3715">
            <v>1</v>
          </cell>
          <cell r="AA3715">
            <v>1000</v>
          </cell>
        </row>
        <row r="3716">
          <cell r="A3716">
            <v>46255</v>
          </cell>
          <cell r="D3716" t="str">
            <v>LADY OF DIVINE GRACE</v>
          </cell>
          <cell r="E3716">
            <v>6</v>
          </cell>
          <cell r="H3716" t="str">
            <v>SAFISCOR</v>
          </cell>
          <cell r="N3716">
            <v>1000</v>
          </cell>
          <cell r="Y3716">
            <v>46255</v>
          </cell>
          <cell r="Z3716">
            <v>1</v>
          </cell>
          <cell r="AA3716">
            <v>1000</v>
          </cell>
        </row>
        <row r="3717">
          <cell r="A3717">
            <v>46255</v>
          </cell>
          <cell r="D3717" t="str">
            <v xml:space="preserve">STAR SOGOD </v>
          </cell>
          <cell r="E3717">
            <v>7</v>
          </cell>
          <cell r="H3717" t="str">
            <v>LAPU-LAPU</v>
          </cell>
          <cell r="N3717">
            <v>1000</v>
          </cell>
          <cell r="Y3717">
            <v>46255</v>
          </cell>
          <cell r="Z3717">
            <v>1</v>
          </cell>
          <cell r="AA3717">
            <v>1000</v>
          </cell>
        </row>
        <row r="3718">
          <cell r="A3718">
            <v>46255</v>
          </cell>
          <cell r="D3718" t="str">
            <v>EFG 7</v>
          </cell>
          <cell r="E3718">
            <v>4</v>
          </cell>
          <cell r="H3718" t="str">
            <v>SAFISCOR</v>
          </cell>
          <cell r="N3718">
            <v>1000</v>
          </cell>
          <cell r="Y3718">
            <v>46255</v>
          </cell>
          <cell r="Z3718">
            <v>1</v>
          </cell>
          <cell r="AA3718">
            <v>1000</v>
          </cell>
        </row>
        <row r="3719">
          <cell r="A3719">
            <v>46255</v>
          </cell>
          <cell r="D3719" t="str">
            <v>NAPOLI</v>
          </cell>
          <cell r="E3719">
            <v>7</v>
          </cell>
          <cell r="H3719" t="str">
            <v>SAFISCOR</v>
          </cell>
          <cell r="N3719">
            <v>1000</v>
          </cell>
          <cell r="Y3719">
            <v>46255</v>
          </cell>
          <cell r="Z3719">
            <v>1</v>
          </cell>
          <cell r="AA3719">
            <v>1000</v>
          </cell>
        </row>
        <row r="3720">
          <cell r="A3720">
            <v>46255</v>
          </cell>
          <cell r="D3720" t="str">
            <v>EASTERN CEBU</v>
          </cell>
          <cell r="E3720">
            <v>8</v>
          </cell>
          <cell r="H3720" t="str">
            <v>SAFISCOR</v>
          </cell>
          <cell r="N3720">
            <v>1000</v>
          </cell>
          <cell r="Y3720">
            <v>46255</v>
          </cell>
          <cell r="Z3720">
            <v>1</v>
          </cell>
          <cell r="AA3720">
            <v>1000</v>
          </cell>
        </row>
        <row r="3721">
          <cell r="A3721">
            <v>46255</v>
          </cell>
          <cell r="D3721" t="str">
            <v>NIEVES</v>
          </cell>
          <cell r="E3721">
            <v>1</v>
          </cell>
          <cell r="H3721" t="str">
            <v>LAPU-LAPU</v>
          </cell>
          <cell r="N3721">
            <v>1000</v>
          </cell>
          <cell r="Y3721">
            <v>46255</v>
          </cell>
          <cell r="Z3721">
            <v>1</v>
          </cell>
          <cell r="AA3721">
            <v>1000</v>
          </cell>
        </row>
        <row r="3722">
          <cell r="A3722">
            <v>46255</v>
          </cell>
          <cell r="D3722" t="str">
            <v>EASTERN CEBU</v>
          </cell>
          <cell r="E3722">
            <v>8</v>
          </cell>
          <cell r="H3722" t="str">
            <v>LAPU-LAPU</v>
          </cell>
          <cell r="N3722">
            <v>1000</v>
          </cell>
          <cell r="Y3722">
            <v>46255</v>
          </cell>
          <cell r="Z3722">
            <v>1</v>
          </cell>
          <cell r="AA3722">
            <v>1000</v>
          </cell>
        </row>
        <row r="3723">
          <cell r="A3723">
            <v>46255</v>
          </cell>
          <cell r="D3723" t="str">
            <v>LADY OF DIVINE GRACE</v>
          </cell>
          <cell r="E3723">
            <v>6</v>
          </cell>
          <cell r="H3723" t="str">
            <v>SAFISCOR</v>
          </cell>
          <cell r="N3723">
            <v>1000</v>
          </cell>
          <cell r="Y3723">
            <v>46255</v>
          </cell>
          <cell r="Z3723">
            <v>1</v>
          </cell>
          <cell r="AA3723">
            <v>1000</v>
          </cell>
        </row>
        <row r="3724">
          <cell r="A3724">
            <v>46255</v>
          </cell>
          <cell r="D3724" t="str">
            <v>LADY OF DIVINE GRACE</v>
          </cell>
          <cell r="E3724">
            <v>6</v>
          </cell>
          <cell r="H3724" t="str">
            <v>SAFISCOR</v>
          </cell>
          <cell r="N3724">
            <v>1000</v>
          </cell>
          <cell r="Y3724">
            <v>46255</v>
          </cell>
          <cell r="Z3724">
            <v>1</v>
          </cell>
          <cell r="AA3724">
            <v>1000</v>
          </cell>
        </row>
        <row r="3725">
          <cell r="A3725">
            <v>46255</v>
          </cell>
          <cell r="D3725" t="str">
            <v>SF NAVIGATOR</v>
          </cell>
          <cell r="E3725">
            <v>1</v>
          </cell>
          <cell r="H3725" t="str">
            <v>GEO</v>
          </cell>
          <cell r="N3725">
            <v>1000</v>
          </cell>
          <cell r="Y3725">
            <v>46255</v>
          </cell>
          <cell r="Z3725">
            <v>1</v>
          </cell>
          <cell r="AA3725">
            <v>1000</v>
          </cell>
        </row>
        <row r="3726">
          <cell r="A3726">
            <v>46255</v>
          </cell>
          <cell r="D3726" t="str">
            <v>EFG 8</v>
          </cell>
          <cell r="E3726">
            <v>4</v>
          </cell>
          <cell r="H3726" t="str">
            <v>SAFISCOR</v>
          </cell>
          <cell r="N3726">
            <v>1000</v>
          </cell>
          <cell r="Y3726">
            <v>46255</v>
          </cell>
          <cell r="Z3726">
            <v>2</v>
          </cell>
          <cell r="AA3726">
            <v>1000</v>
          </cell>
        </row>
        <row r="3727">
          <cell r="A3727">
            <v>46255</v>
          </cell>
          <cell r="D3727" t="str">
            <v>EFG 7</v>
          </cell>
          <cell r="E3727">
            <v>4</v>
          </cell>
          <cell r="H3727" t="str">
            <v>SAFISCOR</v>
          </cell>
          <cell r="N3727">
            <v>1000</v>
          </cell>
          <cell r="Y3727">
            <v>46255</v>
          </cell>
          <cell r="Z3727">
            <v>1</v>
          </cell>
          <cell r="AA3727">
            <v>1000</v>
          </cell>
        </row>
        <row r="3728">
          <cell r="A3728">
            <v>46255</v>
          </cell>
          <cell r="D3728" t="str">
            <v xml:space="preserve">STAR SOGOD </v>
          </cell>
          <cell r="E3728">
            <v>7</v>
          </cell>
          <cell r="H3728" t="str">
            <v>SAFISCOR</v>
          </cell>
          <cell r="N3728">
            <v>1000</v>
          </cell>
          <cell r="Y3728">
            <v>46255</v>
          </cell>
          <cell r="Z3728">
            <v>1</v>
          </cell>
          <cell r="AA3728">
            <v>1000</v>
          </cell>
        </row>
        <row r="3729">
          <cell r="A3729">
            <v>46255</v>
          </cell>
          <cell r="D3729" t="str">
            <v>NAPOLI</v>
          </cell>
          <cell r="E3729">
            <v>7</v>
          </cell>
          <cell r="H3729" t="str">
            <v>SAFISCOR</v>
          </cell>
          <cell r="N3729">
            <v>1000</v>
          </cell>
          <cell r="Y3729">
            <v>46255</v>
          </cell>
          <cell r="Z3729">
            <v>1</v>
          </cell>
          <cell r="AA3729">
            <v>1000</v>
          </cell>
        </row>
        <row r="3730">
          <cell r="A3730">
            <v>46255</v>
          </cell>
          <cell r="D3730" t="str">
            <v>NAPOLI</v>
          </cell>
          <cell r="E3730">
            <v>7</v>
          </cell>
          <cell r="H3730" t="str">
            <v>GEO</v>
          </cell>
          <cell r="N3730">
            <v>1000</v>
          </cell>
          <cell r="Y3730">
            <v>46255</v>
          </cell>
          <cell r="Z3730">
            <v>1</v>
          </cell>
          <cell r="AA3730">
            <v>1000</v>
          </cell>
        </row>
        <row r="3731">
          <cell r="A3731">
            <v>46255</v>
          </cell>
          <cell r="D3731" t="str">
            <v>EASTERN CEBU</v>
          </cell>
          <cell r="E3731">
            <v>8</v>
          </cell>
          <cell r="H3731" t="str">
            <v>GEO</v>
          </cell>
          <cell r="N3731">
            <v>1000</v>
          </cell>
        </row>
        <row r="3732">
          <cell r="A3732">
            <v>46255</v>
          </cell>
          <cell r="D3732" t="str">
            <v>EASTERN CEBU</v>
          </cell>
          <cell r="E3732">
            <v>8</v>
          </cell>
          <cell r="H3732" t="str">
            <v>FULACHE</v>
          </cell>
          <cell r="N3732">
            <v>1000</v>
          </cell>
          <cell r="Y3732">
            <v>46255</v>
          </cell>
          <cell r="Z3732">
            <v>1</v>
          </cell>
          <cell r="AA3732">
            <v>1000</v>
          </cell>
        </row>
        <row r="3733">
          <cell r="A3733">
            <v>46255</v>
          </cell>
          <cell r="D3733" t="str">
            <v xml:space="preserve">STAR SOGOD </v>
          </cell>
          <cell r="E3733">
            <v>7</v>
          </cell>
          <cell r="H3733" t="str">
            <v>SAFISCOR</v>
          </cell>
          <cell r="N3733">
            <v>1000</v>
          </cell>
          <cell r="Y3733">
            <v>46255</v>
          </cell>
          <cell r="Z3733">
            <v>1</v>
          </cell>
          <cell r="AA3733">
            <v>1000</v>
          </cell>
        </row>
        <row r="3734">
          <cell r="A3734">
            <v>46255</v>
          </cell>
          <cell r="D3734" t="str">
            <v xml:space="preserve">STAR SOGOD </v>
          </cell>
          <cell r="E3734">
            <v>7</v>
          </cell>
          <cell r="H3734" t="str">
            <v>SAFISCOR</v>
          </cell>
          <cell r="N3734">
            <v>1000</v>
          </cell>
          <cell r="Y3734">
            <v>46255</v>
          </cell>
          <cell r="Z3734">
            <v>2</v>
          </cell>
          <cell r="AA3734">
            <v>1000</v>
          </cell>
        </row>
        <row r="3735">
          <cell r="A3735">
            <v>46255</v>
          </cell>
          <cell r="D3735" t="str">
            <v xml:space="preserve">LADY OF PROSPERITY </v>
          </cell>
          <cell r="E3735">
            <v>1</v>
          </cell>
          <cell r="H3735" t="str">
            <v>SAFISCOR</v>
          </cell>
          <cell r="N3735">
            <v>1000</v>
          </cell>
          <cell r="Y3735">
            <v>46255</v>
          </cell>
          <cell r="Z3735">
            <v>2</v>
          </cell>
          <cell r="AA3735">
            <v>1000</v>
          </cell>
        </row>
        <row r="3736">
          <cell r="A3736">
            <v>46255</v>
          </cell>
          <cell r="D3736" t="str">
            <v>SF NAVIGATOR</v>
          </cell>
          <cell r="E3736">
            <v>1</v>
          </cell>
          <cell r="H3736" t="str">
            <v>APLUS</v>
          </cell>
          <cell r="N3736">
            <v>1000</v>
          </cell>
          <cell r="Y3736">
            <v>46255</v>
          </cell>
          <cell r="Z3736">
            <v>1</v>
          </cell>
          <cell r="AA3736">
            <v>1000</v>
          </cell>
        </row>
        <row r="3737">
          <cell r="A3737">
            <v>46255</v>
          </cell>
          <cell r="D3737" t="str">
            <v xml:space="preserve">STAR SOGOD </v>
          </cell>
          <cell r="E3737">
            <v>7</v>
          </cell>
          <cell r="H3737" t="str">
            <v>FULACHE</v>
          </cell>
          <cell r="N3737">
            <v>1000</v>
          </cell>
          <cell r="Y3737">
            <v>46255</v>
          </cell>
          <cell r="Z3737">
            <v>1</v>
          </cell>
          <cell r="AA3737">
            <v>1000</v>
          </cell>
        </row>
        <row r="3738">
          <cell r="A3738">
            <v>46255</v>
          </cell>
          <cell r="D3738" t="str">
            <v>SF NAVIGATOR</v>
          </cell>
          <cell r="E3738">
            <v>1</v>
          </cell>
          <cell r="H3738" t="str">
            <v>SAFISCOR</v>
          </cell>
          <cell r="N3738">
            <v>1000</v>
          </cell>
          <cell r="Y3738">
            <v>46255</v>
          </cell>
          <cell r="Z3738">
            <v>2</v>
          </cell>
          <cell r="AA3738">
            <v>1000</v>
          </cell>
        </row>
        <row r="3739">
          <cell r="A3739">
            <v>46255</v>
          </cell>
          <cell r="D3739" t="str">
            <v>NIEVES</v>
          </cell>
          <cell r="E3739">
            <v>1</v>
          </cell>
          <cell r="H3739" t="str">
            <v>GEO</v>
          </cell>
          <cell r="N3739">
            <v>1000</v>
          </cell>
          <cell r="Y3739">
            <v>46255</v>
          </cell>
          <cell r="Z3739">
            <v>1</v>
          </cell>
          <cell r="AA3739">
            <v>1000</v>
          </cell>
        </row>
        <row r="3740">
          <cell r="A3740">
            <v>46255</v>
          </cell>
          <cell r="D3740" t="str">
            <v>SF NAVIGATOR</v>
          </cell>
          <cell r="E3740">
            <v>1</v>
          </cell>
          <cell r="H3740" t="str">
            <v>LAPU-LAPU</v>
          </cell>
          <cell r="N3740">
            <v>1000</v>
          </cell>
          <cell r="Y3740">
            <v>46255</v>
          </cell>
          <cell r="Z3740">
            <v>1</v>
          </cell>
          <cell r="AA3740">
            <v>1000</v>
          </cell>
        </row>
        <row r="3741">
          <cell r="A3741">
            <v>46255</v>
          </cell>
          <cell r="D3741" t="str">
            <v>EFG 8</v>
          </cell>
          <cell r="E3741">
            <v>4</v>
          </cell>
          <cell r="H3741" t="str">
            <v>LAPU-LAPU</v>
          </cell>
          <cell r="N3741">
            <v>1000</v>
          </cell>
          <cell r="Y3741">
            <v>46255</v>
          </cell>
          <cell r="Z3741">
            <v>1</v>
          </cell>
          <cell r="AA3741">
            <v>1000</v>
          </cell>
        </row>
        <row r="3742">
          <cell r="A3742">
            <v>46255</v>
          </cell>
          <cell r="D3742" t="str">
            <v>SF NAVIGATOR</v>
          </cell>
          <cell r="E3742">
            <v>1</v>
          </cell>
          <cell r="H3742" t="str">
            <v>SAFISCOR</v>
          </cell>
          <cell r="N3742">
            <v>1000</v>
          </cell>
          <cell r="Y3742">
            <v>46255</v>
          </cell>
          <cell r="Z3742">
            <v>2</v>
          </cell>
          <cell r="AA3742">
            <v>1000</v>
          </cell>
        </row>
        <row r="3743">
          <cell r="A3743">
            <v>46255</v>
          </cell>
          <cell r="D3743" t="str">
            <v>EFG 7</v>
          </cell>
          <cell r="E3743">
            <v>4</v>
          </cell>
          <cell r="H3743" t="str">
            <v>SAFISCOR</v>
          </cell>
          <cell r="N3743">
            <v>1000</v>
          </cell>
          <cell r="Y3743">
            <v>46255</v>
          </cell>
          <cell r="Z3743">
            <v>1</v>
          </cell>
          <cell r="AA3743">
            <v>1000</v>
          </cell>
        </row>
        <row r="3744">
          <cell r="A3744">
            <v>46255</v>
          </cell>
          <cell r="D3744" t="str">
            <v xml:space="preserve">LADY OF PROSPERITY </v>
          </cell>
          <cell r="E3744">
            <v>1</v>
          </cell>
          <cell r="H3744" t="str">
            <v>GEO</v>
          </cell>
          <cell r="N3744">
            <v>1000</v>
          </cell>
          <cell r="Y3744">
            <v>46255</v>
          </cell>
          <cell r="Z3744">
            <v>2</v>
          </cell>
          <cell r="AA3744">
            <v>1000</v>
          </cell>
        </row>
        <row r="3745">
          <cell r="A3745">
            <v>46255</v>
          </cell>
          <cell r="D3745" t="str">
            <v>LADY OF DIVINE GRACE</v>
          </cell>
          <cell r="E3745">
            <v>6</v>
          </cell>
          <cell r="H3745" t="str">
            <v>SAFISCOR</v>
          </cell>
          <cell r="N3745">
            <v>1000</v>
          </cell>
          <cell r="Y3745">
            <v>46255</v>
          </cell>
          <cell r="Z3745">
            <v>2</v>
          </cell>
          <cell r="AA3745">
            <v>1000</v>
          </cell>
        </row>
        <row r="3746">
          <cell r="A3746">
            <v>46255</v>
          </cell>
          <cell r="D3746" t="str">
            <v>LADY OF DIVINE GRACE</v>
          </cell>
          <cell r="E3746">
            <v>6</v>
          </cell>
          <cell r="H3746" t="str">
            <v>SAFISCOR</v>
          </cell>
          <cell r="N3746">
            <v>1000</v>
          </cell>
          <cell r="Y3746">
            <v>46255</v>
          </cell>
          <cell r="Z3746">
            <v>2</v>
          </cell>
          <cell r="AA3746">
            <v>1000</v>
          </cell>
        </row>
        <row r="3747">
          <cell r="A3747">
            <v>46255</v>
          </cell>
          <cell r="D3747" t="str">
            <v>EFG 8</v>
          </cell>
          <cell r="E3747">
            <v>4</v>
          </cell>
          <cell r="H3747" t="str">
            <v>LAPU-LAPU</v>
          </cell>
          <cell r="N3747">
            <v>1000</v>
          </cell>
          <cell r="Y3747">
            <v>46255</v>
          </cell>
          <cell r="Z3747">
            <v>2</v>
          </cell>
          <cell r="AA3747">
            <v>1000</v>
          </cell>
        </row>
        <row r="3748">
          <cell r="A3748">
            <v>46255</v>
          </cell>
          <cell r="D3748" t="str">
            <v>EASTERN CEBU</v>
          </cell>
          <cell r="E3748">
            <v>8</v>
          </cell>
          <cell r="H3748" t="str">
            <v>BADIE</v>
          </cell>
          <cell r="N3748">
            <v>1000</v>
          </cell>
          <cell r="Y3748">
            <v>46255</v>
          </cell>
          <cell r="Z3748">
            <v>1</v>
          </cell>
          <cell r="AA3748">
            <v>1000</v>
          </cell>
        </row>
        <row r="3749">
          <cell r="A3749">
            <v>46255</v>
          </cell>
          <cell r="D3749" t="str">
            <v>EASTERN CEBU</v>
          </cell>
          <cell r="E3749">
            <v>8</v>
          </cell>
          <cell r="H3749" t="str">
            <v>GEO</v>
          </cell>
          <cell r="N3749">
            <v>1000</v>
          </cell>
          <cell r="Y3749">
            <v>46255</v>
          </cell>
          <cell r="Z3749">
            <v>1</v>
          </cell>
          <cell r="AA3749">
            <v>1000</v>
          </cell>
        </row>
        <row r="3750">
          <cell r="A3750">
            <v>46255</v>
          </cell>
          <cell r="D3750" t="str">
            <v>EASTERN CEBU</v>
          </cell>
          <cell r="E3750">
            <v>8</v>
          </cell>
          <cell r="H3750" t="str">
            <v>SAFISCOR</v>
          </cell>
          <cell r="N3750">
            <v>1000</v>
          </cell>
          <cell r="Y3750">
            <v>46255</v>
          </cell>
          <cell r="Z3750">
            <v>1</v>
          </cell>
          <cell r="AA3750">
            <v>1000</v>
          </cell>
        </row>
        <row r="3751">
          <cell r="A3751">
            <v>46255</v>
          </cell>
          <cell r="D3751" t="str">
            <v>NAPOLI</v>
          </cell>
          <cell r="E3751">
            <v>7</v>
          </cell>
          <cell r="H3751" t="str">
            <v>GEO</v>
          </cell>
          <cell r="N3751">
            <v>1000</v>
          </cell>
          <cell r="Y3751">
            <v>46255</v>
          </cell>
          <cell r="Z3751">
            <v>1</v>
          </cell>
          <cell r="AA3751">
            <v>1000</v>
          </cell>
        </row>
        <row r="3752">
          <cell r="A3752">
            <v>46255</v>
          </cell>
          <cell r="D3752" t="str">
            <v>SF NAVIGATOR</v>
          </cell>
          <cell r="E3752">
            <v>1</v>
          </cell>
          <cell r="H3752" t="str">
            <v>SAFISCOR</v>
          </cell>
          <cell r="N3752">
            <v>1000</v>
          </cell>
          <cell r="Y3752">
            <v>46255</v>
          </cell>
          <cell r="Z3752">
            <v>2</v>
          </cell>
          <cell r="AA3752">
            <v>1000</v>
          </cell>
        </row>
        <row r="3753">
          <cell r="A3753">
            <v>46255</v>
          </cell>
          <cell r="D3753" t="str">
            <v>EFG 7</v>
          </cell>
          <cell r="E3753">
            <v>4</v>
          </cell>
          <cell r="H3753" t="str">
            <v>SAFISCOR</v>
          </cell>
          <cell r="N3753">
            <v>1000</v>
          </cell>
          <cell r="Y3753">
            <v>46255</v>
          </cell>
          <cell r="Z3753">
            <v>1</v>
          </cell>
          <cell r="AA3753">
            <v>1000</v>
          </cell>
        </row>
        <row r="3754">
          <cell r="A3754">
            <v>46255</v>
          </cell>
          <cell r="D3754" t="str">
            <v xml:space="preserve">LADY OF PROSPERITY </v>
          </cell>
          <cell r="E3754">
            <v>1</v>
          </cell>
          <cell r="H3754" t="str">
            <v>SAFISCOR</v>
          </cell>
          <cell r="N3754">
            <v>1000</v>
          </cell>
          <cell r="Y3754">
            <v>46255</v>
          </cell>
          <cell r="Z3754">
            <v>2</v>
          </cell>
          <cell r="AA3754">
            <v>1000</v>
          </cell>
        </row>
        <row r="3755">
          <cell r="A3755">
            <v>46255</v>
          </cell>
          <cell r="D3755" t="str">
            <v>NIEVES</v>
          </cell>
          <cell r="E3755">
            <v>1</v>
          </cell>
          <cell r="H3755" t="str">
            <v>APLUS</v>
          </cell>
          <cell r="N3755">
            <v>1000</v>
          </cell>
          <cell r="Y3755">
            <v>46255</v>
          </cell>
          <cell r="Z3755">
            <v>1</v>
          </cell>
          <cell r="AA3755">
            <v>1000</v>
          </cell>
        </row>
        <row r="3756">
          <cell r="A3756">
            <v>46255</v>
          </cell>
          <cell r="D3756" t="str">
            <v>EFG 8</v>
          </cell>
          <cell r="E3756">
            <v>4</v>
          </cell>
          <cell r="H3756" t="str">
            <v>SAFISCOR</v>
          </cell>
          <cell r="N3756">
            <v>1000</v>
          </cell>
          <cell r="Y3756">
            <v>46255</v>
          </cell>
          <cell r="Z3756">
            <v>2</v>
          </cell>
          <cell r="AA3756">
            <v>1000</v>
          </cell>
        </row>
        <row r="3757">
          <cell r="A3757">
            <v>46255</v>
          </cell>
          <cell r="D3757" t="str">
            <v>SF NAVIGATOR</v>
          </cell>
          <cell r="E3757">
            <v>1</v>
          </cell>
          <cell r="H3757" t="str">
            <v>LAPU-LAPU</v>
          </cell>
          <cell r="N3757">
            <v>1000</v>
          </cell>
          <cell r="Y3757">
            <v>46255</v>
          </cell>
          <cell r="Z3757">
            <v>2</v>
          </cell>
          <cell r="AA3757">
            <v>1000</v>
          </cell>
        </row>
        <row r="3758">
          <cell r="A3758">
            <v>46255</v>
          </cell>
          <cell r="D3758" t="str">
            <v>LADY OF DIVINE GRACE</v>
          </cell>
          <cell r="E3758">
            <v>6</v>
          </cell>
          <cell r="H3758" t="str">
            <v>SAFISCOR</v>
          </cell>
          <cell r="N3758">
            <v>500</v>
          </cell>
          <cell r="Y3758">
            <v>46255</v>
          </cell>
          <cell r="Z3758">
            <v>2</v>
          </cell>
          <cell r="AA3758">
            <v>500</v>
          </cell>
        </row>
        <row r="3759">
          <cell r="A3759">
            <v>46255</v>
          </cell>
          <cell r="D3759" t="str">
            <v>NAPOLI</v>
          </cell>
          <cell r="E3759">
            <v>7</v>
          </cell>
          <cell r="H3759" t="str">
            <v>LAPU-LAPU</v>
          </cell>
          <cell r="N3759">
            <v>1000</v>
          </cell>
          <cell r="Y3759">
            <v>46255</v>
          </cell>
          <cell r="Z3759">
            <v>2</v>
          </cell>
          <cell r="AA3759">
            <v>1000</v>
          </cell>
        </row>
        <row r="3760">
          <cell r="A3760">
            <v>46255</v>
          </cell>
          <cell r="D3760" t="str">
            <v xml:space="preserve">LADY OF PROSPERITY </v>
          </cell>
          <cell r="E3760">
            <v>1</v>
          </cell>
          <cell r="H3760" t="str">
            <v>SAFISCOR</v>
          </cell>
          <cell r="N3760">
            <v>1000</v>
          </cell>
          <cell r="Y3760">
            <v>46255</v>
          </cell>
          <cell r="Z3760">
            <v>2</v>
          </cell>
          <cell r="AA3760">
            <v>1000</v>
          </cell>
        </row>
        <row r="3761">
          <cell r="A3761">
            <v>46255</v>
          </cell>
          <cell r="D3761" t="str">
            <v xml:space="preserve">LADY OF PROSPERITY </v>
          </cell>
          <cell r="E3761">
            <v>1</v>
          </cell>
          <cell r="H3761" t="str">
            <v>SAFISCOR</v>
          </cell>
          <cell r="N3761">
            <v>500</v>
          </cell>
          <cell r="Y3761">
            <v>46255</v>
          </cell>
          <cell r="Z3761">
            <v>2</v>
          </cell>
          <cell r="AA3761">
            <v>500</v>
          </cell>
        </row>
        <row r="3762">
          <cell r="A3762">
            <v>46255</v>
          </cell>
          <cell r="D3762" t="str">
            <v>NIEVES</v>
          </cell>
          <cell r="E3762">
            <v>1</v>
          </cell>
          <cell r="H3762" t="str">
            <v>BADIE</v>
          </cell>
          <cell r="N3762">
            <v>1000</v>
          </cell>
          <cell r="Y3762">
            <v>46255</v>
          </cell>
          <cell r="Z3762">
            <v>2</v>
          </cell>
          <cell r="AA3762">
            <v>1000</v>
          </cell>
        </row>
        <row r="3763">
          <cell r="A3763">
            <v>46255</v>
          </cell>
          <cell r="D3763" t="str">
            <v>NIEVES</v>
          </cell>
          <cell r="E3763">
            <v>1</v>
          </cell>
          <cell r="H3763" t="str">
            <v>LAPU-LAPU</v>
          </cell>
          <cell r="N3763">
            <v>1000</v>
          </cell>
          <cell r="Y3763">
            <v>46255</v>
          </cell>
          <cell r="Z3763">
            <v>2</v>
          </cell>
          <cell r="AA3763">
            <v>1000</v>
          </cell>
        </row>
        <row r="3764">
          <cell r="A3764">
            <v>46255</v>
          </cell>
          <cell r="D3764" t="str">
            <v>NIEVES</v>
          </cell>
          <cell r="E3764">
            <v>1</v>
          </cell>
          <cell r="H3764" t="str">
            <v>LAPU-LAPU</v>
          </cell>
          <cell r="N3764">
            <v>1000</v>
          </cell>
          <cell r="Y3764">
            <v>46255</v>
          </cell>
          <cell r="Z3764">
            <v>2</v>
          </cell>
          <cell r="AA3764">
            <v>1000</v>
          </cell>
        </row>
        <row r="3765">
          <cell r="A3765">
            <v>46255</v>
          </cell>
          <cell r="D3765" t="str">
            <v>NAPOLI</v>
          </cell>
          <cell r="E3765">
            <v>7</v>
          </cell>
          <cell r="H3765" t="str">
            <v>SAFISCOR</v>
          </cell>
          <cell r="N3765">
            <v>1000</v>
          </cell>
          <cell r="Y3765">
            <v>46255</v>
          </cell>
          <cell r="Z3765">
            <v>2</v>
          </cell>
          <cell r="AA3765">
            <v>1000</v>
          </cell>
        </row>
        <row r="3766">
          <cell r="A3766">
            <v>46255</v>
          </cell>
          <cell r="D3766" t="str">
            <v>EFG 8</v>
          </cell>
          <cell r="E3766">
            <v>4</v>
          </cell>
          <cell r="H3766" t="str">
            <v>SAFISCOR</v>
          </cell>
          <cell r="N3766">
            <v>1000</v>
          </cell>
          <cell r="Y3766">
            <v>46255</v>
          </cell>
          <cell r="Z3766">
            <v>2</v>
          </cell>
          <cell r="AA3766">
            <v>1000</v>
          </cell>
        </row>
        <row r="3767">
          <cell r="A3767">
            <v>46255</v>
          </cell>
          <cell r="D3767" t="str">
            <v>NAPOLI</v>
          </cell>
          <cell r="E3767">
            <v>7</v>
          </cell>
          <cell r="H3767" t="str">
            <v>SAFISCOR</v>
          </cell>
          <cell r="N3767">
            <v>1000</v>
          </cell>
          <cell r="Y3767">
            <v>46255</v>
          </cell>
          <cell r="Z3767">
            <v>2</v>
          </cell>
          <cell r="AA3767">
            <v>1000</v>
          </cell>
        </row>
        <row r="3768">
          <cell r="A3768">
            <v>46255</v>
          </cell>
          <cell r="D3768" t="str">
            <v>NIEVES</v>
          </cell>
          <cell r="E3768">
            <v>1</v>
          </cell>
          <cell r="H3768" t="str">
            <v>APLUS</v>
          </cell>
          <cell r="N3768">
            <v>1000</v>
          </cell>
          <cell r="Y3768">
            <v>46255</v>
          </cell>
          <cell r="Z3768">
            <v>2</v>
          </cell>
          <cell r="AA3768">
            <v>1000</v>
          </cell>
        </row>
        <row r="3769">
          <cell r="A3769">
            <v>46255</v>
          </cell>
          <cell r="D3769" t="str">
            <v>EFG 7</v>
          </cell>
          <cell r="E3769">
            <v>4</v>
          </cell>
          <cell r="H3769" t="str">
            <v>LAPU-LAPU</v>
          </cell>
          <cell r="N3769">
            <v>1000</v>
          </cell>
          <cell r="Y3769">
            <v>46255</v>
          </cell>
          <cell r="Z3769">
            <v>2</v>
          </cell>
          <cell r="AA3769">
            <v>1000</v>
          </cell>
        </row>
        <row r="3770">
          <cell r="A3770">
            <v>46255</v>
          </cell>
          <cell r="D3770" t="str">
            <v>NAPOLI</v>
          </cell>
          <cell r="E3770">
            <v>7</v>
          </cell>
          <cell r="H3770" t="str">
            <v>SAFISCOR</v>
          </cell>
          <cell r="N3770">
            <v>1000</v>
          </cell>
          <cell r="Y3770">
            <v>46255</v>
          </cell>
          <cell r="Z3770">
            <v>2</v>
          </cell>
          <cell r="AA3770">
            <v>1000</v>
          </cell>
        </row>
        <row r="3771">
          <cell r="A3771">
            <v>46255</v>
          </cell>
          <cell r="D3771" t="str">
            <v>NAPOLI</v>
          </cell>
          <cell r="E3771">
            <v>7</v>
          </cell>
          <cell r="H3771" t="str">
            <v>LAPU-LAPU</v>
          </cell>
          <cell r="N3771">
            <v>1000</v>
          </cell>
          <cell r="Y3771">
            <v>46255</v>
          </cell>
          <cell r="Z3771">
            <v>2</v>
          </cell>
          <cell r="AA3771">
            <v>1000</v>
          </cell>
        </row>
        <row r="3772">
          <cell r="A3772">
            <v>46255</v>
          </cell>
          <cell r="D3772" t="str">
            <v>SF NAVIGATOR</v>
          </cell>
          <cell r="E3772">
            <v>1</v>
          </cell>
          <cell r="H3772" t="str">
            <v>SAFISCOR</v>
          </cell>
          <cell r="N3772">
            <v>1000</v>
          </cell>
          <cell r="Y3772">
            <v>46255</v>
          </cell>
          <cell r="Z3772">
            <v>2</v>
          </cell>
          <cell r="AA3772">
            <v>1000</v>
          </cell>
        </row>
        <row r="3773">
          <cell r="A3773">
            <v>46255</v>
          </cell>
          <cell r="D3773" t="str">
            <v>SF NAVIGATOR</v>
          </cell>
          <cell r="E3773">
            <v>1</v>
          </cell>
          <cell r="H3773" t="str">
            <v>SAFISCOR</v>
          </cell>
          <cell r="N3773">
            <v>1000</v>
          </cell>
          <cell r="Y3773">
            <v>46255</v>
          </cell>
          <cell r="Z3773">
            <v>2</v>
          </cell>
          <cell r="AA3773">
            <v>1000</v>
          </cell>
        </row>
        <row r="3774">
          <cell r="A3774">
            <v>46255</v>
          </cell>
          <cell r="D3774" t="str">
            <v xml:space="preserve">LADY OF PROSPERITY </v>
          </cell>
          <cell r="E3774">
            <v>1</v>
          </cell>
          <cell r="H3774" t="str">
            <v>SAFISCOR</v>
          </cell>
          <cell r="N3774">
            <v>1000</v>
          </cell>
          <cell r="Y3774">
            <v>46255</v>
          </cell>
          <cell r="Z3774">
            <v>2</v>
          </cell>
          <cell r="AA3774">
            <v>1000</v>
          </cell>
        </row>
        <row r="3775">
          <cell r="A3775">
            <v>46255</v>
          </cell>
          <cell r="D3775" t="str">
            <v>LADY OF DIVINE GRACE</v>
          </cell>
          <cell r="E3775">
            <v>6</v>
          </cell>
          <cell r="H3775" t="str">
            <v>SAFISCOR</v>
          </cell>
          <cell r="N3775">
            <v>1000</v>
          </cell>
          <cell r="Y3775">
            <v>46255</v>
          </cell>
          <cell r="Z3775">
            <v>2</v>
          </cell>
          <cell r="AA3775">
            <v>1000</v>
          </cell>
        </row>
        <row r="3776">
          <cell r="A3776">
            <v>46255</v>
          </cell>
          <cell r="D3776" t="str">
            <v>EFG 7</v>
          </cell>
          <cell r="E3776">
            <v>4</v>
          </cell>
          <cell r="H3776" t="str">
            <v>LAPU-LAPU</v>
          </cell>
          <cell r="N3776">
            <v>1000</v>
          </cell>
          <cell r="Y3776">
            <v>46255</v>
          </cell>
          <cell r="Z3776">
            <v>2</v>
          </cell>
          <cell r="AA3776">
            <v>1000</v>
          </cell>
        </row>
        <row r="3777">
          <cell r="A3777">
            <v>46255</v>
          </cell>
          <cell r="D3777" t="str">
            <v>EFG 7</v>
          </cell>
          <cell r="E3777">
            <v>4</v>
          </cell>
          <cell r="H3777" t="str">
            <v>LAPU-LAPU</v>
          </cell>
          <cell r="N3777">
            <v>1000</v>
          </cell>
          <cell r="Y3777">
            <v>46255</v>
          </cell>
          <cell r="Z3777">
            <v>2</v>
          </cell>
          <cell r="AA3777">
            <v>1000</v>
          </cell>
        </row>
        <row r="3778">
          <cell r="A3778">
            <v>46255</v>
          </cell>
          <cell r="D3778" t="str">
            <v>SF NAVIGATOR</v>
          </cell>
          <cell r="E3778">
            <v>1</v>
          </cell>
          <cell r="H3778" t="str">
            <v>GEO</v>
          </cell>
          <cell r="N3778">
            <v>1000</v>
          </cell>
          <cell r="Y3778">
            <v>46255</v>
          </cell>
          <cell r="Z3778">
            <v>2</v>
          </cell>
          <cell r="AA3778">
            <v>1000</v>
          </cell>
        </row>
        <row r="3779">
          <cell r="A3779">
            <v>46255</v>
          </cell>
          <cell r="D3779" t="str">
            <v>SF NAVIGATOR</v>
          </cell>
          <cell r="E3779">
            <v>1</v>
          </cell>
          <cell r="H3779" t="str">
            <v>SAFISCOR</v>
          </cell>
          <cell r="N3779">
            <v>1000</v>
          </cell>
          <cell r="Y3779">
            <v>46255</v>
          </cell>
          <cell r="Z3779">
            <v>2</v>
          </cell>
          <cell r="AA3779">
            <v>1000</v>
          </cell>
        </row>
        <row r="3780">
          <cell r="A3780">
            <v>46255</v>
          </cell>
          <cell r="D3780" t="str">
            <v>NIEVES</v>
          </cell>
          <cell r="E3780">
            <v>1</v>
          </cell>
          <cell r="H3780" t="str">
            <v>SAFISCOR</v>
          </cell>
          <cell r="N3780">
            <v>1000</v>
          </cell>
          <cell r="Y3780">
            <v>46255</v>
          </cell>
          <cell r="Z3780">
            <v>2</v>
          </cell>
          <cell r="AA3780">
            <v>1000</v>
          </cell>
        </row>
        <row r="3781">
          <cell r="A3781">
            <v>46255</v>
          </cell>
          <cell r="D3781" t="str">
            <v>NIEVES</v>
          </cell>
          <cell r="E3781">
            <v>1</v>
          </cell>
          <cell r="H3781" t="str">
            <v>SAFISCOR</v>
          </cell>
          <cell r="N3781">
            <v>1000</v>
          </cell>
          <cell r="Y3781">
            <v>46255</v>
          </cell>
          <cell r="Z3781">
            <v>2</v>
          </cell>
          <cell r="AA3781">
            <v>1000</v>
          </cell>
        </row>
        <row r="3782">
          <cell r="A3782">
            <v>46255</v>
          </cell>
          <cell r="D3782" t="str">
            <v>NIEVES</v>
          </cell>
          <cell r="E3782">
            <v>1</v>
          </cell>
          <cell r="H3782" t="str">
            <v>SAFISCOR</v>
          </cell>
          <cell r="N3782">
            <v>1000</v>
          </cell>
          <cell r="Y3782">
            <v>46255</v>
          </cell>
          <cell r="Z3782">
            <v>2</v>
          </cell>
          <cell r="AA3782">
            <v>1000</v>
          </cell>
        </row>
        <row r="3783">
          <cell r="A3783">
            <v>46255</v>
          </cell>
          <cell r="D3783" t="str">
            <v>NIEVES</v>
          </cell>
          <cell r="E3783">
            <v>1</v>
          </cell>
          <cell r="H3783" t="str">
            <v>SAFISCOR</v>
          </cell>
          <cell r="N3783">
            <v>1000</v>
          </cell>
          <cell r="Y3783">
            <v>46255</v>
          </cell>
          <cell r="Z3783">
            <v>2</v>
          </cell>
          <cell r="AA3783">
            <v>1000</v>
          </cell>
        </row>
        <row r="3784">
          <cell r="A3784">
            <v>46255</v>
          </cell>
          <cell r="D3784" t="str">
            <v>NIEVES</v>
          </cell>
          <cell r="E3784">
            <v>1</v>
          </cell>
          <cell r="H3784" t="str">
            <v>BADIE</v>
          </cell>
          <cell r="N3784">
            <v>1000</v>
          </cell>
          <cell r="Y3784">
            <v>46255</v>
          </cell>
          <cell r="Z3784">
            <v>2</v>
          </cell>
          <cell r="AA3784">
            <v>1000</v>
          </cell>
        </row>
        <row r="3785">
          <cell r="A3785">
            <v>46255</v>
          </cell>
          <cell r="D3785" t="str">
            <v>NAPOLI</v>
          </cell>
          <cell r="E3785">
            <v>7</v>
          </cell>
          <cell r="H3785" t="str">
            <v>SAFISCOR</v>
          </cell>
          <cell r="N3785">
            <v>1000</v>
          </cell>
          <cell r="Y3785">
            <v>46255</v>
          </cell>
          <cell r="Z3785">
            <v>2</v>
          </cell>
          <cell r="AA3785">
            <v>1000</v>
          </cell>
        </row>
        <row r="3786">
          <cell r="A3786">
            <v>46255</v>
          </cell>
          <cell r="D3786" t="str">
            <v>NAPOLI</v>
          </cell>
          <cell r="E3786">
            <v>7</v>
          </cell>
          <cell r="H3786" t="str">
            <v>SAFISCOR</v>
          </cell>
          <cell r="N3786">
            <v>1000</v>
          </cell>
          <cell r="Y3786">
            <v>46255</v>
          </cell>
          <cell r="Z3786">
            <v>2</v>
          </cell>
          <cell r="AA3786">
            <v>1000</v>
          </cell>
        </row>
        <row r="3787">
          <cell r="A3787">
            <v>46255</v>
          </cell>
          <cell r="D3787" t="str">
            <v>NAPOLI</v>
          </cell>
          <cell r="E3787">
            <v>7</v>
          </cell>
          <cell r="H3787" t="str">
            <v>SAFISCOR</v>
          </cell>
          <cell r="N3787">
            <v>1000</v>
          </cell>
          <cell r="Y3787">
            <v>46255</v>
          </cell>
          <cell r="Z3787">
            <v>2</v>
          </cell>
          <cell r="AA3787">
            <v>1000</v>
          </cell>
        </row>
        <row r="3788">
          <cell r="A3788">
            <v>46255</v>
          </cell>
          <cell r="D3788" t="str">
            <v>NAPOLI</v>
          </cell>
          <cell r="E3788">
            <v>7</v>
          </cell>
          <cell r="H3788" t="str">
            <v>SAFISCOR</v>
          </cell>
          <cell r="N3788">
            <v>1000</v>
          </cell>
          <cell r="Y3788">
            <v>46255</v>
          </cell>
          <cell r="Z3788">
            <v>2</v>
          </cell>
          <cell r="AA3788">
            <v>1000</v>
          </cell>
        </row>
        <row r="3789">
          <cell r="A3789">
            <v>46255</v>
          </cell>
          <cell r="D3789" t="str">
            <v>EFG 8</v>
          </cell>
          <cell r="E3789">
            <v>4</v>
          </cell>
          <cell r="H3789" t="str">
            <v>SAFISCOR</v>
          </cell>
          <cell r="N3789">
            <v>1000</v>
          </cell>
          <cell r="Y3789">
            <v>46255</v>
          </cell>
          <cell r="Z3789">
            <v>2</v>
          </cell>
          <cell r="AA3789">
            <v>1000</v>
          </cell>
        </row>
        <row r="3790">
          <cell r="A3790">
            <v>46255</v>
          </cell>
          <cell r="D3790" t="str">
            <v>NIEVES</v>
          </cell>
          <cell r="E3790">
            <v>1</v>
          </cell>
          <cell r="H3790" t="str">
            <v>SAFISCOR</v>
          </cell>
          <cell r="N3790">
            <v>1000</v>
          </cell>
          <cell r="Y3790">
            <v>46255</v>
          </cell>
          <cell r="Z3790">
            <v>2</v>
          </cell>
          <cell r="AA3790">
            <v>1000</v>
          </cell>
        </row>
        <row r="3791">
          <cell r="A3791">
            <v>46255</v>
          </cell>
          <cell r="D3791" t="str">
            <v>SF NAVIGATOR</v>
          </cell>
          <cell r="E3791">
            <v>1</v>
          </cell>
          <cell r="H3791" t="str">
            <v>LAPU-LAPU</v>
          </cell>
          <cell r="N3791">
            <v>1000</v>
          </cell>
          <cell r="Y3791">
            <v>46255</v>
          </cell>
          <cell r="Z3791">
            <v>2</v>
          </cell>
          <cell r="AA3791">
            <v>1000</v>
          </cell>
        </row>
        <row r="3792">
          <cell r="A3792">
            <v>46255</v>
          </cell>
          <cell r="D3792" t="str">
            <v>NIEVES</v>
          </cell>
          <cell r="E3792">
            <v>1</v>
          </cell>
          <cell r="H3792" t="str">
            <v>SAFISCOR</v>
          </cell>
          <cell r="N3792">
            <v>1000</v>
          </cell>
          <cell r="Y3792">
            <v>46255</v>
          </cell>
          <cell r="Z3792">
            <v>2</v>
          </cell>
          <cell r="AA3792">
            <v>1000</v>
          </cell>
        </row>
        <row r="3793">
          <cell r="A3793">
            <v>46255</v>
          </cell>
          <cell r="D3793" t="str">
            <v xml:space="preserve">LADY OF PROSPERITY </v>
          </cell>
          <cell r="E3793">
            <v>1</v>
          </cell>
          <cell r="H3793" t="str">
            <v>GEO</v>
          </cell>
          <cell r="N3793">
            <v>1000</v>
          </cell>
          <cell r="Y3793">
            <v>46255</v>
          </cell>
          <cell r="Z3793">
            <v>2</v>
          </cell>
          <cell r="AA3793">
            <v>1000</v>
          </cell>
        </row>
        <row r="3794">
          <cell r="A3794">
            <v>46255</v>
          </cell>
          <cell r="D3794" t="str">
            <v xml:space="preserve">LADY OF PROSPERITY </v>
          </cell>
          <cell r="E3794">
            <v>1</v>
          </cell>
          <cell r="H3794" t="str">
            <v>SAFISCOR</v>
          </cell>
          <cell r="N3794">
            <v>1000</v>
          </cell>
          <cell r="Y3794">
            <v>46255</v>
          </cell>
          <cell r="Z3794">
            <v>2</v>
          </cell>
          <cell r="AA3794">
            <v>1000</v>
          </cell>
        </row>
        <row r="3795">
          <cell r="A3795">
            <v>46255</v>
          </cell>
          <cell r="D3795" t="str">
            <v xml:space="preserve">LADY OF PROSPERITY </v>
          </cell>
          <cell r="E3795">
            <v>1</v>
          </cell>
          <cell r="H3795" t="str">
            <v>SAFISCOR</v>
          </cell>
          <cell r="N3795">
            <v>1000</v>
          </cell>
          <cell r="Y3795">
            <v>46255</v>
          </cell>
          <cell r="Z3795">
            <v>2</v>
          </cell>
          <cell r="AA3795">
            <v>1000</v>
          </cell>
        </row>
        <row r="3796">
          <cell r="A3796">
            <v>46255</v>
          </cell>
          <cell r="D3796" t="str">
            <v>SF NAVIGATOR</v>
          </cell>
          <cell r="E3796">
            <v>1</v>
          </cell>
          <cell r="H3796" t="str">
            <v>SAFISCOR</v>
          </cell>
          <cell r="N3796">
            <v>1025</v>
          </cell>
          <cell r="Y3796">
            <v>46255</v>
          </cell>
          <cell r="Z3796">
            <v>2</v>
          </cell>
          <cell r="AA3796">
            <v>1025</v>
          </cell>
        </row>
        <row r="3797">
          <cell r="A3797">
            <v>46256</v>
          </cell>
          <cell r="D3797" t="str">
            <v xml:space="preserve">LADY OF PROSPERITY </v>
          </cell>
          <cell r="E3797">
            <v>1</v>
          </cell>
          <cell r="H3797" t="str">
            <v>SAFISCOR</v>
          </cell>
          <cell r="N3797">
            <v>1000</v>
          </cell>
          <cell r="Y3797">
            <v>46256</v>
          </cell>
          <cell r="Z3797">
            <v>1</v>
          </cell>
          <cell r="AA3797">
            <v>1000</v>
          </cell>
        </row>
        <row r="3798">
          <cell r="A3798">
            <v>46256</v>
          </cell>
          <cell r="D3798" t="str">
            <v xml:space="preserve">LADY OF PROSPERITY </v>
          </cell>
          <cell r="E3798">
            <v>1</v>
          </cell>
          <cell r="H3798" t="str">
            <v>SAFISCOR</v>
          </cell>
          <cell r="N3798">
            <v>1000</v>
          </cell>
          <cell r="Y3798">
            <v>46256</v>
          </cell>
          <cell r="Z3798">
            <v>2</v>
          </cell>
          <cell r="AA3798">
            <v>1000</v>
          </cell>
        </row>
        <row r="3799">
          <cell r="A3799">
            <v>46256</v>
          </cell>
          <cell r="D3799" t="str">
            <v xml:space="preserve">LADY OF PROSPERITY </v>
          </cell>
          <cell r="E3799">
            <v>1</v>
          </cell>
          <cell r="H3799" t="str">
            <v>LAPU-LAPU</v>
          </cell>
          <cell r="N3799">
            <v>1000</v>
          </cell>
          <cell r="Y3799">
            <v>46256</v>
          </cell>
          <cell r="Z3799">
            <v>1</v>
          </cell>
          <cell r="AA3799">
            <v>1000</v>
          </cell>
        </row>
        <row r="3800">
          <cell r="A3800">
            <v>46256</v>
          </cell>
          <cell r="D3800" t="str">
            <v xml:space="preserve">LADY OF PROSPERITY </v>
          </cell>
          <cell r="E3800">
            <v>1</v>
          </cell>
          <cell r="H3800" t="str">
            <v>SAFISCOR</v>
          </cell>
          <cell r="N3800">
            <v>1000</v>
          </cell>
          <cell r="Y3800">
            <v>46256</v>
          </cell>
          <cell r="Z3800">
            <v>1</v>
          </cell>
          <cell r="AA3800">
            <v>1000</v>
          </cell>
        </row>
        <row r="3801">
          <cell r="A3801">
            <v>46256</v>
          </cell>
          <cell r="D3801" t="str">
            <v xml:space="preserve">LADY OF PROSPERITY </v>
          </cell>
          <cell r="E3801">
            <v>1</v>
          </cell>
          <cell r="H3801" t="str">
            <v>SAFISCOR</v>
          </cell>
          <cell r="N3801">
            <v>1000</v>
          </cell>
          <cell r="Y3801">
            <v>46256</v>
          </cell>
          <cell r="Z3801">
            <v>2</v>
          </cell>
          <cell r="AA3801">
            <v>1000</v>
          </cell>
        </row>
        <row r="3802">
          <cell r="A3802">
            <v>46256</v>
          </cell>
          <cell r="D3802" t="str">
            <v xml:space="preserve">LADY OF PROSPERITY </v>
          </cell>
          <cell r="E3802">
            <v>1</v>
          </cell>
          <cell r="H3802" t="str">
            <v>SAFISCOR</v>
          </cell>
          <cell r="N3802">
            <v>1000</v>
          </cell>
          <cell r="Y3802">
            <v>46256</v>
          </cell>
          <cell r="Z3802">
            <v>1</v>
          </cell>
          <cell r="AA3802">
            <v>1000</v>
          </cell>
        </row>
        <row r="3803">
          <cell r="A3803">
            <v>46256</v>
          </cell>
          <cell r="D3803" t="str">
            <v xml:space="preserve">LADY OF PROSPERITY </v>
          </cell>
          <cell r="E3803">
            <v>1</v>
          </cell>
          <cell r="H3803" t="str">
            <v>FULACHE</v>
          </cell>
          <cell r="N3803">
            <v>1000</v>
          </cell>
          <cell r="Y3803">
            <v>46256</v>
          </cell>
          <cell r="Z3803">
            <v>1</v>
          </cell>
          <cell r="AA3803">
            <v>1000</v>
          </cell>
        </row>
        <row r="3804">
          <cell r="A3804">
            <v>46256</v>
          </cell>
          <cell r="D3804" t="str">
            <v xml:space="preserve">LADY OF PROSPERITY </v>
          </cell>
          <cell r="E3804">
            <v>1</v>
          </cell>
          <cell r="H3804" t="str">
            <v>APLUS</v>
          </cell>
          <cell r="N3804">
            <v>1000</v>
          </cell>
          <cell r="Y3804">
            <v>46256</v>
          </cell>
          <cell r="Z3804">
            <v>1</v>
          </cell>
          <cell r="AA3804">
            <v>1000</v>
          </cell>
        </row>
        <row r="3805">
          <cell r="A3805">
            <v>46256</v>
          </cell>
          <cell r="D3805" t="str">
            <v>EFG 8</v>
          </cell>
          <cell r="E3805">
            <v>4</v>
          </cell>
          <cell r="H3805" t="str">
            <v>GEO</v>
          </cell>
          <cell r="N3805">
            <v>1000</v>
          </cell>
          <cell r="Y3805">
            <v>46256</v>
          </cell>
          <cell r="Z3805">
            <v>1</v>
          </cell>
          <cell r="AA3805">
            <v>1000</v>
          </cell>
        </row>
        <row r="3806">
          <cell r="A3806">
            <v>46256</v>
          </cell>
          <cell r="D3806" t="str">
            <v>EFG 7</v>
          </cell>
          <cell r="E3806">
            <v>4</v>
          </cell>
          <cell r="H3806" t="str">
            <v>SAFISCOR</v>
          </cell>
          <cell r="N3806">
            <v>1000</v>
          </cell>
          <cell r="Y3806">
            <v>46256</v>
          </cell>
          <cell r="Z3806">
            <v>1</v>
          </cell>
          <cell r="AA3806">
            <v>1000</v>
          </cell>
        </row>
        <row r="3807">
          <cell r="A3807">
            <v>46256</v>
          </cell>
          <cell r="D3807" t="str">
            <v>EFG 7</v>
          </cell>
          <cell r="E3807">
            <v>4</v>
          </cell>
          <cell r="H3807" t="str">
            <v>SAFISCOR</v>
          </cell>
          <cell r="N3807">
            <v>1000</v>
          </cell>
          <cell r="Y3807">
            <v>46256</v>
          </cell>
          <cell r="Z3807">
            <v>1</v>
          </cell>
          <cell r="AA3807">
            <v>1000</v>
          </cell>
        </row>
        <row r="3808">
          <cell r="A3808">
            <v>46256</v>
          </cell>
          <cell r="D3808" t="str">
            <v xml:space="preserve">LADY OF PROSPERITY </v>
          </cell>
          <cell r="E3808">
            <v>1</v>
          </cell>
          <cell r="H3808" t="str">
            <v>SAFISCOR</v>
          </cell>
          <cell r="N3808">
            <v>1000</v>
          </cell>
          <cell r="Y3808">
            <v>46256</v>
          </cell>
          <cell r="Z3808">
            <v>1</v>
          </cell>
          <cell r="AA3808">
            <v>1000</v>
          </cell>
        </row>
        <row r="3809">
          <cell r="A3809">
            <v>46256</v>
          </cell>
          <cell r="D3809" t="str">
            <v xml:space="preserve">LADY OF PROSPERITY </v>
          </cell>
          <cell r="E3809">
            <v>1</v>
          </cell>
          <cell r="H3809" t="str">
            <v>SAFISCOR</v>
          </cell>
          <cell r="N3809">
            <v>1000</v>
          </cell>
          <cell r="Y3809">
            <v>46256</v>
          </cell>
          <cell r="Z3809">
            <v>1</v>
          </cell>
          <cell r="AA3809">
            <v>1000</v>
          </cell>
        </row>
        <row r="3810">
          <cell r="A3810">
            <v>46256</v>
          </cell>
          <cell r="D3810" t="str">
            <v xml:space="preserve">LADY OF PROSPERITY </v>
          </cell>
          <cell r="E3810">
            <v>1</v>
          </cell>
          <cell r="H3810" t="str">
            <v>GEO</v>
          </cell>
          <cell r="N3810">
            <v>1000</v>
          </cell>
          <cell r="Y3810">
            <v>46256</v>
          </cell>
          <cell r="Z3810">
            <v>1</v>
          </cell>
          <cell r="AA3810">
            <v>1000</v>
          </cell>
        </row>
        <row r="3811">
          <cell r="A3811">
            <v>46256</v>
          </cell>
          <cell r="D3811" t="str">
            <v xml:space="preserve">LADY OF PROSPERITY </v>
          </cell>
          <cell r="E3811">
            <v>1</v>
          </cell>
          <cell r="H3811" t="str">
            <v>SAFISCOR</v>
          </cell>
          <cell r="N3811">
            <v>1000</v>
          </cell>
          <cell r="Y3811">
            <v>46256</v>
          </cell>
          <cell r="Z3811">
            <v>2</v>
          </cell>
          <cell r="AA3811">
            <v>1000</v>
          </cell>
        </row>
        <row r="3812">
          <cell r="A3812">
            <v>46256</v>
          </cell>
          <cell r="D3812" t="str">
            <v xml:space="preserve">STAR SOGOD </v>
          </cell>
          <cell r="E3812">
            <v>7</v>
          </cell>
          <cell r="H3812" t="str">
            <v>GEO</v>
          </cell>
          <cell r="N3812">
            <v>1000</v>
          </cell>
          <cell r="Y3812">
            <v>46256</v>
          </cell>
          <cell r="Z3812">
            <v>1</v>
          </cell>
          <cell r="AA3812">
            <v>1000</v>
          </cell>
        </row>
        <row r="3813">
          <cell r="A3813">
            <v>46256</v>
          </cell>
          <cell r="D3813" t="str">
            <v xml:space="preserve">LADY OF PROSPERITY </v>
          </cell>
          <cell r="E3813">
            <v>1</v>
          </cell>
          <cell r="H3813" t="str">
            <v>SAFISCOR</v>
          </cell>
          <cell r="N3813">
            <v>1000</v>
          </cell>
          <cell r="Y3813">
            <v>46256</v>
          </cell>
          <cell r="Z3813">
            <v>1</v>
          </cell>
          <cell r="AA3813">
            <v>1000</v>
          </cell>
        </row>
        <row r="3814">
          <cell r="A3814">
            <v>46256</v>
          </cell>
          <cell r="D3814" t="str">
            <v xml:space="preserve">LADY OF PROSPERITY </v>
          </cell>
          <cell r="E3814">
            <v>1</v>
          </cell>
          <cell r="H3814" t="str">
            <v>SAFISCOR</v>
          </cell>
          <cell r="N3814">
            <v>1000</v>
          </cell>
          <cell r="Y3814">
            <v>46256</v>
          </cell>
          <cell r="Z3814">
            <v>2</v>
          </cell>
          <cell r="AA3814">
            <v>1000</v>
          </cell>
        </row>
        <row r="3815">
          <cell r="A3815">
            <v>46256</v>
          </cell>
          <cell r="D3815" t="str">
            <v>EFG 8</v>
          </cell>
          <cell r="E3815">
            <v>4</v>
          </cell>
          <cell r="H3815" t="str">
            <v>LAPU-LAPU</v>
          </cell>
          <cell r="N3815">
            <v>1000</v>
          </cell>
          <cell r="Y3815">
            <v>46256</v>
          </cell>
          <cell r="Z3815">
            <v>1</v>
          </cell>
          <cell r="AA3815">
            <v>1000</v>
          </cell>
        </row>
        <row r="3816">
          <cell r="A3816">
            <v>46256</v>
          </cell>
          <cell r="D3816" t="str">
            <v>EFG 7</v>
          </cell>
          <cell r="E3816">
            <v>4</v>
          </cell>
          <cell r="H3816" t="str">
            <v>BADIE</v>
          </cell>
          <cell r="N3816">
            <v>1000</v>
          </cell>
          <cell r="Y3816">
            <v>46256</v>
          </cell>
          <cell r="Z3816">
            <v>1</v>
          </cell>
          <cell r="AA3816">
            <v>1000</v>
          </cell>
        </row>
        <row r="3817">
          <cell r="A3817">
            <v>46256</v>
          </cell>
          <cell r="D3817" t="str">
            <v>NIEVES</v>
          </cell>
          <cell r="E3817">
            <v>1</v>
          </cell>
          <cell r="H3817" t="str">
            <v>SAFISCOR</v>
          </cell>
          <cell r="N3817">
            <v>1000</v>
          </cell>
          <cell r="Y3817">
            <v>46256</v>
          </cell>
          <cell r="Z3817">
            <v>1</v>
          </cell>
          <cell r="AA3817">
            <v>1000</v>
          </cell>
        </row>
        <row r="3818">
          <cell r="A3818">
            <v>46256</v>
          </cell>
          <cell r="D3818" t="str">
            <v xml:space="preserve">LADY OF PROSPERITY </v>
          </cell>
          <cell r="E3818">
            <v>1</v>
          </cell>
          <cell r="H3818" t="str">
            <v>FULACHE</v>
          </cell>
          <cell r="N3818">
            <v>1000</v>
          </cell>
          <cell r="Y3818">
            <v>46256</v>
          </cell>
          <cell r="Z3818">
            <v>1</v>
          </cell>
          <cell r="AA3818">
            <v>1000</v>
          </cell>
        </row>
        <row r="3819">
          <cell r="A3819">
            <v>46256</v>
          </cell>
          <cell r="D3819" t="str">
            <v xml:space="preserve">STAR SOGOD </v>
          </cell>
          <cell r="E3819">
            <v>7</v>
          </cell>
          <cell r="H3819" t="str">
            <v>SAFISCOR</v>
          </cell>
          <cell r="N3819">
            <v>1000</v>
          </cell>
          <cell r="Y3819">
            <v>46256</v>
          </cell>
          <cell r="Z3819">
            <v>1</v>
          </cell>
          <cell r="AA3819">
            <v>1000</v>
          </cell>
        </row>
        <row r="3820">
          <cell r="A3820">
            <v>46256</v>
          </cell>
          <cell r="D3820" t="str">
            <v xml:space="preserve">LADY OF PROSPERITY </v>
          </cell>
          <cell r="E3820">
            <v>1</v>
          </cell>
          <cell r="H3820" t="str">
            <v>SAFISCOR</v>
          </cell>
          <cell r="N3820">
            <v>1000</v>
          </cell>
          <cell r="Y3820">
            <v>46256</v>
          </cell>
          <cell r="Z3820">
            <v>2</v>
          </cell>
          <cell r="AA3820">
            <v>1000</v>
          </cell>
        </row>
        <row r="3821">
          <cell r="A3821">
            <v>46256</v>
          </cell>
          <cell r="D3821" t="str">
            <v xml:space="preserve">LADY OF PROSPERITY </v>
          </cell>
          <cell r="E3821">
            <v>1</v>
          </cell>
          <cell r="H3821" t="str">
            <v>SAFISCOR</v>
          </cell>
          <cell r="N3821">
            <v>1000</v>
          </cell>
          <cell r="Y3821">
            <v>46256</v>
          </cell>
          <cell r="Z3821">
            <v>2</v>
          </cell>
          <cell r="AA3821">
            <v>1000</v>
          </cell>
        </row>
        <row r="3822">
          <cell r="A3822">
            <v>46256</v>
          </cell>
          <cell r="D3822" t="str">
            <v xml:space="preserve">LADY OF PROSPERITY </v>
          </cell>
          <cell r="E3822">
            <v>1</v>
          </cell>
          <cell r="H3822" t="str">
            <v>SAFISCOR</v>
          </cell>
          <cell r="N3822">
            <v>1000</v>
          </cell>
          <cell r="Y3822">
            <v>46256</v>
          </cell>
          <cell r="Z3822">
            <v>2</v>
          </cell>
          <cell r="AA3822">
            <v>1000</v>
          </cell>
        </row>
        <row r="3823">
          <cell r="A3823">
            <v>46256</v>
          </cell>
          <cell r="D3823" t="str">
            <v>EFG 8</v>
          </cell>
          <cell r="E3823">
            <v>4</v>
          </cell>
          <cell r="H3823" t="str">
            <v>APLUS</v>
          </cell>
          <cell r="N3823">
            <v>1000</v>
          </cell>
          <cell r="Y3823">
            <v>46256</v>
          </cell>
          <cell r="Z3823">
            <v>1</v>
          </cell>
          <cell r="AA3823">
            <v>1000</v>
          </cell>
        </row>
        <row r="3824">
          <cell r="A3824">
            <v>46256</v>
          </cell>
          <cell r="D3824" t="str">
            <v xml:space="preserve">STAR SOGOD </v>
          </cell>
          <cell r="E3824">
            <v>7</v>
          </cell>
          <cell r="H3824" t="str">
            <v>SAFISCOR</v>
          </cell>
          <cell r="N3824">
            <v>1080</v>
          </cell>
          <cell r="Y3824">
            <v>46256</v>
          </cell>
          <cell r="Z3824">
            <v>1</v>
          </cell>
          <cell r="AA3824">
            <v>1080</v>
          </cell>
        </row>
        <row r="3825">
          <cell r="A3825">
            <v>46256</v>
          </cell>
          <cell r="D3825" t="str">
            <v xml:space="preserve">LADY OF PROSPERITY </v>
          </cell>
          <cell r="E3825">
            <v>1</v>
          </cell>
          <cell r="H3825" t="str">
            <v>SAFISCOR</v>
          </cell>
          <cell r="N3825">
            <v>1000</v>
          </cell>
          <cell r="Y3825">
            <v>46256</v>
          </cell>
          <cell r="Z3825">
            <v>2</v>
          </cell>
          <cell r="AA3825">
            <v>1000</v>
          </cell>
        </row>
        <row r="3826">
          <cell r="A3826">
            <v>46256</v>
          </cell>
          <cell r="D3826" t="str">
            <v xml:space="preserve">STAR SOGOD </v>
          </cell>
          <cell r="E3826">
            <v>7</v>
          </cell>
          <cell r="H3826" t="str">
            <v>SAFISCOR</v>
          </cell>
          <cell r="N3826">
            <v>1000</v>
          </cell>
          <cell r="Y3826">
            <v>46256</v>
          </cell>
          <cell r="Z3826">
            <v>2</v>
          </cell>
          <cell r="AA3826">
            <v>1000</v>
          </cell>
        </row>
        <row r="3827">
          <cell r="A3827">
            <v>46256</v>
          </cell>
          <cell r="D3827" t="str">
            <v>EFG 7</v>
          </cell>
          <cell r="E3827">
            <v>4</v>
          </cell>
          <cell r="H3827" t="str">
            <v>SAFISCOR</v>
          </cell>
          <cell r="N3827">
            <v>1000</v>
          </cell>
          <cell r="Y3827">
            <v>46256</v>
          </cell>
          <cell r="Z3827">
            <v>1</v>
          </cell>
          <cell r="AA3827">
            <v>1000</v>
          </cell>
        </row>
        <row r="3828">
          <cell r="A3828">
            <v>46256</v>
          </cell>
          <cell r="D3828" t="str">
            <v>NIEVES</v>
          </cell>
          <cell r="E3828">
            <v>1</v>
          </cell>
          <cell r="H3828" t="str">
            <v>SAFISCOR</v>
          </cell>
          <cell r="N3828">
            <v>1000</v>
          </cell>
          <cell r="Y3828">
            <v>46256</v>
          </cell>
          <cell r="Z3828">
            <v>1</v>
          </cell>
          <cell r="AA3828">
            <v>1000</v>
          </cell>
        </row>
        <row r="3829">
          <cell r="A3829">
            <v>46256</v>
          </cell>
          <cell r="D3829" t="str">
            <v xml:space="preserve">STAR SOGOD </v>
          </cell>
          <cell r="E3829">
            <v>7</v>
          </cell>
          <cell r="H3829" t="str">
            <v>SAFISCOR</v>
          </cell>
          <cell r="N3829">
            <v>1000</v>
          </cell>
          <cell r="Y3829">
            <v>46256</v>
          </cell>
          <cell r="Z3829">
            <v>2</v>
          </cell>
          <cell r="AA3829">
            <v>1000</v>
          </cell>
        </row>
        <row r="3830">
          <cell r="A3830">
            <v>46256</v>
          </cell>
          <cell r="D3830" t="str">
            <v xml:space="preserve">STAR SOGOD </v>
          </cell>
          <cell r="E3830">
            <v>7</v>
          </cell>
          <cell r="H3830" t="str">
            <v>SAFISCOR</v>
          </cell>
          <cell r="N3830">
            <v>1000</v>
          </cell>
          <cell r="Y3830">
            <v>46256</v>
          </cell>
          <cell r="Z3830">
            <v>1</v>
          </cell>
          <cell r="AA3830">
            <v>1000</v>
          </cell>
        </row>
        <row r="3831">
          <cell r="A3831">
            <v>46256</v>
          </cell>
          <cell r="D3831" t="str">
            <v xml:space="preserve">LADY OF PROSPERITY </v>
          </cell>
          <cell r="E3831">
            <v>1</v>
          </cell>
          <cell r="H3831" t="str">
            <v>SAFISCOR</v>
          </cell>
          <cell r="N3831">
            <v>1000</v>
          </cell>
          <cell r="Y3831">
            <v>46256</v>
          </cell>
          <cell r="Z3831">
            <v>1</v>
          </cell>
          <cell r="AA3831">
            <v>1000</v>
          </cell>
        </row>
        <row r="3832">
          <cell r="A3832">
            <v>46256</v>
          </cell>
          <cell r="D3832" t="str">
            <v>EFG 8</v>
          </cell>
          <cell r="E3832">
            <v>4</v>
          </cell>
          <cell r="H3832" t="str">
            <v>SAFISCOR</v>
          </cell>
          <cell r="N3832">
            <v>1000</v>
          </cell>
          <cell r="Y3832">
            <v>46256</v>
          </cell>
          <cell r="Z3832">
            <v>1</v>
          </cell>
          <cell r="AA3832">
            <v>1000</v>
          </cell>
        </row>
        <row r="3833">
          <cell r="A3833">
            <v>46256</v>
          </cell>
          <cell r="D3833" t="str">
            <v>LADY OF DIVINE GRACE</v>
          </cell>
          <cell r="E3833">
            <v>6</v>
          </cell>
          <cell r="H3833" t="str">
            <v>LAPU-LAPU</v>
          </cell>
          <cell r="N3833">
            <v>1000</v>
          </cell>
          <cell r="Y3833">
            <v>46256</v>
          </cell>
          <cell r="Z3833">
            <v>1</v>
          </cell>
          <cell r="AA3833">
            <v>1000</v>
          </cell>
        </row>
        <row r="3834">
          <cell r="A3834">
            <v>46256</v>
          </cell>
          <cell r="D3834" t="str">
            <v xml:space="preserve">LADY OF PROSPERITY </v>
          </cell>
          <cell r="E3834">
            <v>1</v>
          </cell>
          <cell r="H3834" t="str">
            <v>SAFISCOR</v>
          </cell>
          <cell r="N3834">
            <v>300</v>
          </cell>
          <cell r="Y3834">
            <v>46256</v>
          </cell>
          <cell r="Z3834">
            <v>2</v>
          </cell>
          <cell r="AA3834">
            <v>300</v>
          </cell>
        </row>
        <row r="3835">
          <cell r="A3835">
            <v>46256</v>
          </cell>
          <cell r="D3835" t="str">
            <v>EFG 7</v>
          </cell>
          <cell r="E3835">
            <v>4</v>
          </cell>
          <cell r="H3835" t="str">
            <v>SAFISCOR</v>
          </cell>
          <cell r="N3835">
            <v>700</v>
          </cell>
          <cell r="Y3835">
            <v>46256</v>
          </cell>
          <cell r="Z3835">
            <v>1</v>
          </cell>
          <cell r="AA3835">
            <v>700</v>
          </cell>
        </row>
        <row r="3836">
          <cell r="A3836">
            <v>46256</v>
          </cell>
          <cell r="D3836" t="str">
            <v xml:space="preserve">STAR SOGOD </v>
          </cell>
          <cell r="E3836">
            <v>7</v>
          </cell>
          <cell r="H3836" t="str">
            <v>GEO</v>
          </cell>
          <cell r="N3836">
            <v>1000</v>
          </cell>
          <cell r="Y3836">
            <v>46256</v>
          </cell>
          <cell r="Z3836">
            <v>1</v>
          </cell>
          <cell r="AA3836">
            <v>1000</v>
          </cell>
        </row>
        <row r="3837">
          <cell r="A3837">
            <v>46256</v>
          </cell>
          <cell r="D3837" t="str">
            <v xml:space="preserve">LADY OF PROSPERITY </v>
          </cell>
          <cell r="E3837">
            <v>1</v>
          </cell>
          <cell r="H3837" t="str">
            <v>SAFISCOR</v>
          </cell>
          <cell r="N3837">
            <v>1000</v>
          </cell>
          <cell r="Y3837">
            <v>46256</v>
          </cell>
          <cell r="Z3837">
            <v>1</v>
          </cell>
          <cell r="AA3837">
            <v>1000</v>
          </cell>
        </row>
        <row r="3838">
          <cell r="A3838">
            <v>46256</v>
          </cell>
          <cell r="D3838" t="str">
            <v xml:space="preserve">STAR SOGOD </v>
          </cell>
          <cell r="E3838">
            <v>7</v>
          </cell>
          <cell r="H3838" t="str">
            <v>GEO</v>
          </cell>
          <cell r="N3838">
            <v>1000</v>
          </cell>
          <cell r="Y3838">
            <v>46256</v>
          </cell>
          <cell r="Z3838">
            <v>2</v>
          </cell>
          <cell r="AA3838">
            <v>1000</v>
          </cell>
        </row>
        <row r="3839">
          <cell r="A3839">
            <v>46256</v>
          </cell>
          <cell r="D3839" t="str">
            <v xml:space="preserve">LADY OF PROSPERITY </v>
          </cell>
          <cell r="E3839">
            <v>1</v>
          </cell>
          <cell r="H3839" t="str">
            <v>SAFISCOR</v>
          </cell>
          <cell r="N3839">
            <v>200</v>
          </cell>
          <cell r="Y3839">
            <v>46256</v>
          </cell>
          <cell r="Z3839">
            <v>2</v>
          </cell>
          <cell r="AA3839">
            <v>200</v>
          </cell>
        </row>
        <row r="3840">
          <cell r="A3840">
            <v>46256</v>
          </cell>
          <cell r="D3840" t="str">
            <v xml:space="preserve">STAR SOGOD </v>
          </cell>
          <cell r="E3840">
            <v>7</v>
          </cell>
          <cell r="H3840" t="str">
            <v>SAFISCOR</v>
          </cell>
          <cell r="N3840">
            <v>500</v>
          </cell>
          <cell r="Y3840">
            <v>46256</v>
          </cell>
          <cell r="Z3840">
            <v>2</v>
          </cell>
          <cell r="AA3840">
            <v>500</v>
          </cell>
        </row>
        <row r="3841">
          <cell r="A3841">
            <v>46256</v>
          </cell>
          <cell r="D3841" t="str">
            <v>EFG 7</v>
          </cell>
          <cell r="E3841">
            <v>4</v>
          </cell>
          <cell r="H3841" t="str">
            <v>SAFISCOR</v>
          </cell>
          <cell r="N3841">
            <v>1000</v>
          </cell>
          <cell r="Y3841">
            <v>46256</v>
          </cell>
          <cell r="Z3841">
            <v>2</v>
          </cell>
          <cell r="AA3841">
            <v>1000</v>
          </cell>
        </row>
        <row r="3842">
          <cell r="A3842">
            <v>46256</v>
          </cell>
          <cell r="D3842" t="str">
            <v xml:space="preserve">STAR SOGOD </v>
          </cell>
          <cell r="E3842">
            <v>7</v>
          </cell>
          <cell r="H3842" t="str">
            <v>BADIE</v>
          </cell>
          <cell r="N3842">
            <v>1080</v>
          </cell>
          <cell r="Y3842">
            <v>46256</v>
          </cell>
          <cell r="Z3842">
            <v>2</v>
          </cell>
          <cell r="AA3842">
            <v>1080</v>
          </cell>
        </row>
        <row r="3843">
          <cell r="A3843">
            <v>46256</v>
          </cell>
          <cell r="D3843" t="str">
            <v xml:space="preserve">STAR SOGOD </v>
          </cell>
          <cell r="E3843">
            <v>7</v>
          </cell>
          <cell r="H3843" t="str">
            <v>SAFISCOR</v>
          </cell>
          <cell r="N3843">
            <v>1080</v>
          </cell>
          <cell r="Y3843">
            <v>46256</v>
          </cell>
          <cell r="Z3843">
            <v>2</v>
          </cell>
          <cell r="AA3843">
            <v>1080</v>
          </cell>
        </row>
        <row r="3844">
          <cell r="A3844">
            <v>46256</v>
          </cell>
          <cell r="D3844" t="str">
            <v xml:space="preserve">STAR SOGOD </v>
          </cell>
          <cell r="E3844">
            <v>7</v>
          </cell>
          <cell r="H3844" t="str">
            <v>SAFISCOR</v>
          </cell>
          <cell r="N3844">
            <v>1080</v>
          </cell>
          <cell r="Y3844">
            <v>46256</v>
          </cell>
          <cell r="Z3844">
            <v>2</v>
          </cell>
          <cell r="AA3844">
            <v>1080</v>
          </cell>
        </row>
        <row r="3845">
          <cell r="A3845">
            <v>46256</v>
          </cell>
          <cell r="D3845" t="str">
            <v xml:space="preserve">STAR SOGOD </v>
          </cell>
          <cell r="E3845">
            <v>7</v>
          </cell>
          <cell r="H3845" t="str">
            <v>SAFISCOR</v>
          </cell>
          <cell r="N3845">
            <v>1000</v>
          </cell>
          <cell r="Y3845">
            <v>46256</v>
          </cell>
          <cell r="Z3845">
            <v>2</v>
          </cell>
          <cell r="AA3845">
            <v>1000</v>
          </cell>
        </row>
        <row r="3846">
          <cell r="A3846">
            <v>46256</v>
          </cell>
          <cell r="D3846" t="str">
            <v>EFG 7</v>
          </cell>
          <cell r="E3846">
            <v>4</v>
          </cell>
          <cell r="H3846" t="str">
            <v>SAFISCOR</v>
          </cell>
          <cell r="N3846">
            <v>1000</v>
          </cell>
          <cell r="Y3846">
            <v>46256</v>
          </cell>
          <cell r="Z3846">
            <v>2</v>
          </cell>
          <cell r="AA3846">
            <v>1000</v>
          </cell>
        </row>
        <row r="3847">
          <cell r="A3847">
            <v>46256</v>
          </cell>
          <cell r="D3847" t="str">
            <v>EFG 7</v>
          </cell>
          <cell r="E3847">
            <v>4</v>
          </cell>
          <cell r="H3847" t="str">
            <v>SAFISCOR</v>
          </cell>
          <cell r="N3847">
            <v>950</v>
          </cell>
          <cell r="Y3847">
            <v>46256</v>
          </cell>
          <cell r="Z3847">
            <v>2</v>
          </cell>
          <cell r="AA3847">
            <v>950</v>
          </cell>
        </row>
        <row r="3848">
          <cell r="A3848">
            <v>46256</v>
          </cell>
          <cell r="D3848" t="str">
            <v>EFG 7</v>
          </cell>
          <cell r="E3848">
            <v>4</v>
          </cell>
          <cell r="H3848" t="str">
            <v>SAFISCOR</v>
          </cell>
          <cell r="N3848">
            <v>800</v>
          </cell>
          <cell r="Y3848">
            <v>46256</v>
          </cell>
          <cell r="Z3848">
            <v>2</v>
          </cell>
          <cell r="AA3848">
            <v>800</v>
          </cell>
        </row>
        <row r="3849">
          <cell r="A3849">
            <v>46256</v>
          </cell>
          <cell r="D3849" t="str">
            <v>EFG 8</v>
          </cell>
          <cell r="E3849">
            <v>4</v>
          </cell>
          <cell r="H3849" t="str">
            <v>SAFISCOR</v>
          </cell>
          <cell r="N3849">
            <v>1000</v>
          </cell>
          <cell r="Y3849">
            <v>46256</v>
          </cell>
          <cell r="Z3849">
            <v>2</v>
          </cell>
          <cell r="AA3849">
            <v>1000</v>
          </cell>
        </row>
        <row r="3850">
          <cell r="A3850">
            <v>46256</v>
          </cell>
          <cell r="D3850" t="str">
            <v xml:space="preserve">STAR SOGOD </v>
          </cell>
          <cell r="E3850">
            <v>7</v>
          </cell>
          <cell r="H3850" t="str">
            <v>SAFISCOR</v>
          </cell>
          <cell r="N3850">
            <v>180</v>
          </cell>
          <cell r="Y3850">
            <v>46256</v>
          </cell>
          <cell r="Z3850">
            <v>2</v>
          </cell>
          <cell r="AA3850">
            <v>180</v>
          </cell>
        </row>
        <row r="3851">
          <cell r="A3851">
            <v>46256</v>
          </cell>
          <cell r="D3851" t="str">
            <v>EFG 8</v>
          </cell>
          <cell r="E3851">
            <v>4</v>
          </cell>
          <cell r="H3851" t="str">
            <v>SAFISCOR</v>
          </cell>
          <cell r="N3851">
            <v>50</v>
          </cell>
          <cell r="Y3851">
            <v>46256</v>
          </cell>
          <cell r="Z3851">
            <v>2</v>
          </cell>
          <cell r="AA3851">
            <v>50</v>
          </cell>
        </row>
        <row r="3852">
          <cell r="A3852">
            <v>46256</v>
          </cell>
          <cell r="D3852" t="str">
            <v>EFG 8</v>
          </cell>
          <cell r="E3852">
            <v>4</v>
          </cell>
          <cell r="H3852" t="str">
            <v>GEO</v>
          </cell>
          <cell r="N3852">
            <v>1000</v>
          </cell>
          <cell r="Y3852">
            <v>46256</v>
          </cell>
          <cell r="Z3852">
            <v>2</v>
          </cell>
          <cell r="AA3852">
            <v>1000</v>
          </cell>
        </row>
        <row r="3853">
          <cell r="A3853">
            <v>46257</v>
          </cell>
          <cell r="D3853" t="str">
            <v>EFG 8</v>
          </cell>
          <cell r="E3853">
            <v>4</v>
          </cell>
          <cell r="H3853" t="str">
            <v>SAFISCOR</v>
          </cell>
          <cell r="N3853">
            <v>1000</v>
          </cell>
          <cell r="Y3853">
            <v>46257</v>
          </cell>
          <cell r="Z3853">
            <v>1</v>
          </cell>
          <cell r="AA3853">
            <v>1000</v>
          </cell>
        </row>
        <row r="3854">
          <cell r="A3854">
            <v>46257</v>
          </cell>
          <cell r="D3854" t="str">
            <v>LADY OF REMEDY</v>
          </cell>
          <cell r="E3854">
            <v>6</v>
          </cell>
          <cell r="H3854" t="str">
            <v>SAFISCOR</v>
          </cell>
          <cell r="N3854">
            <v>1000</v>
          </cell>
          <cell r="Y3854">
            <v>46257</v>
          </cell>
          <cell r="Z3854">
            <v>1</v>
          </cell>
          <cell r="AA3854">
            <v>1000</v>
          </cell>
        </row>
        <row r="3855">
          <cell r="A3855">
            <v>46257</v>
          </cell>
          <cell r="D3855" t="str">
            <v>LADY OF REMEDY</v>
          </cell>
          <cell r="E3855">
            <v>6</v>
          </cell>
          <cell r="H3855" t="str">
            <v>SAFISCOR</v>
          </cell>
          <cell r="N3855">
            <v>1000</v>
          </cell>
          <cell r="Y3855">
            <v>46257</v>
          </cell>
          <cell r="Z3855">
            <v>1</v>
          </cell>
          <cell r="AA3855">
            <v>1000</v>
          </cell>
        </row>
        <row r="3856">
          <cell r="A3856">
            <v>46257</v>
          </cell>
          <cell r="D3856" t="str">
            <v>EFG 8</v>
          </cell>
          <cell r="E3856">
            <v>4</v>
          </cell>
          <cell r="H3856" t="str">
            <v>SAFISCOR</v>
          </cell>
          <cell r="N3856">
            <v>1000</v>
          </cell>
          <cell r="Y3856">
            <v>46257</v>
          </cell>
          <cell r="Z3856">
            <v>1</v>
          </cell>
          <cell r="AA3856">
            <v>1000</v>
          </cell>
        </row>
        <row r="3857">
          <cell r="A3857">
            <v>46257</v>
          </cell>
          <cell r="D3857" t="str">
            <v>LADY OF REMEDY</v>
          </cell>
          <cell r="E3857">
            <v>6</v>
          </cell>
          <cell r="H3857" t="str">
            <v>FULACHE</v>
          </cell>
          <cell r="N3857">
            <v>1000</v>
          </cell>
          <cell r="Y3857">
            <v>46257</v>
          </cell>
          <cell r="Z3857">
            <v>1</v>
          </cell>
          <cell r="AA3857">
            <v>1000</v>
          </cell>
        </row>
        <row r="3858">
          <cell r="A3858">
            <v>46257</v>
          </cell>
          <cell r="D3858" t="str">
            <v>LADY OF REMEDY</v>
          </cell>
          <cell r="E3858">
            <v>6</v>
          </cell>
          <cell r="H3858" t="str">
            <v>SAFISCOR</v>
          </cell>
          <cell r="N3858">
            <v>1000</v>
          </cell>
          <cell r="Y3858">
            <v>46257</v>
          </cell>
          <cell r="Z3858">
            <v>1</v>
          </cell>
          <cell r="AA3858">
            <v>1000</v>
          </cell>
        </row>
        <row r="3859">
          <cell r="A3859">
            <v>46257</v>
          </cell>
          <cell r="D3859" t="str">
            <v>LADY OF REMEDY</v>
          </cell>
          <cell r="E3859">
            <v>6</v>
          </cell>
          <cell r="H3859" t="str">
            <v>SAFISCOR</v>
          </cell>
          <cell r="N3859">
            <v>1000</v>
          </cell>
          <cell r="Y3859">
            <v>46257</v>
          </cell>
          <cell r="Z3859">
            <v>1</v>
          </cell>
          <cell r="AA3859">
            <v>1000</v>
          </cell>
        </row>
        <row r="3860">
          <cell r="A3860">
            <v>46257</v>
          </cell>
          <cell r="D3860" t="str">
            <v>LADY OF REMEDY</v>
          </cell>
          <cell r="E3860">
            <v>6</v>
          </cell>
          <cell r="H3860" t="str">
            <v>LAPU-LAPU</v>
          </cell>
          <cell r="N3860">
            <v>1000</v>
          </cell>
          <cell r="Y3860">
            <v>46257</v>
          </cell>
          <cell r="Z3860">
            <v>1</v>
          </cell>
          <cell r="AA3860">
            <v>1000</v>
          </cell>
        </row>
        <row r="3861">
          <cell r="A3861">
            <v>46257</v>
          </cell>
          <cell r="D3861" t="str">
            <v>LADY OF REMEDY</v>
          </cell>
          <cell r="E3861">
            <v>6</v>
          </cell>
          <cell r="H3861" t="str">
            <v>SAFISCOR</v>
          </cell>
          <cell r="N3861">
            <v>1000</v>
          </cell>
          <cell r="Y3861">
            <v>46257</v>
          </cell>
          <cell r="Z3861">
            <v>1</v>
          </cell>
          <cell r="AA3861">
            <v>1000</v>
          </cell>
        </row>
        <row r="3862">
          <cell r="A3862">
            <v>46257</v>
          </cell>
          <cell r="D3862" t="str">
            <v>LADY OF REMEDY</v>
          </cell>
          <cell r="E3862">
            <v>6</v>
          </cell>
          <cell r="H3862" t="str">
            <v>GEO</v>
          </cell>
          <cell r="N3862">
            <v>1000</v>
          </cell>
          <cell r="Y3862">
            <v>46257</v>
          </cell>
          <cell r="Z3862">
            <v>1</v>
          </cell>
          <cell r="AA3862">
            <v>1000</v>
          </cell>
        </row>
        <row r="3863">
          <cell r="A3863">
            <v>46257</v>
          </cell>
          <cell r="D3863" t="str">
            <v>LADY OF REMEDY</v>
          </cell>
          <cell r="E3863">
            <v>6</v>
          </cell>
          <cell r="H3863" t="str">
            <v>GEO</v>
          </cell>
          <cell r="N3863">
            <v>1000</v>
          </cell>
          <cell r="Y3863">
            <v>46257</v>
          </cell>
          <cell r="Z3863">
            <v>1</v>
          </cell>
          <cell r="AA3863">
            <v>1000</v>
          </cell>
        </row>
        <row r="3864">
          <cell r="A3864">
            <v>46257</v>
          </cell>
          <cell r="D3864" t="str">
            <v>LADY OF REMEDY</v>
          </cell>
          <cell r="E3864">
            <v>6</v>
          </cell>
          <cell r="H3864" t="str">
            <v>GEO</v>
          </cell>
          <cell r="N3864">
            <v>1000</v>
          </cell>
          <cell r="Y3864">
            <v>46257</v>
          </cell>
          <cell r="Z3864">
            <v>1</v>
          </cell>
          <cell r="AA3864">
            <v>1000</v>
          </cell>
        </row>
        <row r="3865">
          <cell r="A3865">
            <v>46257</v>
          </cell>
          <cell r="D3865" t="str">
            <v>EFG 8</v>
          </cell>
          <cell r="E3865">
            <v>4</v>
          </cell>
          <cell r="H3865" t="str">
            <v>SAFISCOR</v>
          </cell>
          <cell r="N3865">
            <v>1000</v>
          </cell>
          <cell r="Y3865">
            <v>46257</v>
          </cell>
          <cell r="Z3865">
            <v>1</v>
          </cell>
          <cell r="AA3865">
            <v>1000</v>
          </cell>
        </row>
        <row r="3866">
          <cell r="A3866">
            <v>46257</v>
          </cell>
          <cell r="D3866" t="str">
            <v>LADY OF REMEDY</v>
          </cell>
          <cell r="E3866">
            <v>6</v>
          </cell>
          <cell r="H3866" t="str">
            <v>SAFISCOR</v>
          </cell>
          <cell r="N3866">
            <v>1000</v>
          </cell>
          <cell r="Y3866">
            <v>46257</v>
          </cell>
          <cell r="Z3866">
            <v>1</v>
          </cell>
          <cell r="AA3866">
            <v>1000</v>
          </cell>
        </row>
        <row r="3867">
          <cell r="A3867">
            <v>46257</v>
          </cell>
          <cell r="D3867" t="str">
            <v>LADY OF REMEDY</v>
          </cell>
          <cell r="E3867">
            <v>6</v>
          </cell>
          <cell r="H3867" t="str">
            <v>SAFISCOR</v>
          </cell>
          <cell r="N3867">
            <v>1000</v>
          </cell>
          <cell r="Y3867">
            <v>46257</v>
          </cell>
          <cell r="Z3867">
            <v>1</v>
          </cell>
          <cell r="AA3867">
            <v>1000</v>
          </cell>
        </row>
        <row r="3868">
          <cell r="A3868">
            <v>46257</v>
          </cell>
          <cell r="D3868" t="str">
            <v>LADY OF REMEDY</v>
          </cell>
          <cell r="E3868">
            <v>6</v>
          </cell>
          <cell r="H3868" t="str">
            <v>SAFISCOR</v>
          </cell>
          <cell r="N3868">
            <v>1000</v>
          </cell>
          <cell r="Y3868">
            <v>46257</v>
          </cell>
          <cell r="Z3868">
            <v>1</v>
          </cell>
          <cell r="AA3868">
            <v>1000</v>
          </cell>
        </row>
        <row r="3869">
          <cell r="A3869">
            <v>46257</v>
          </cell>
          <cell r="D3869" t="str">
            <v>LADY OF REMEDY</v>
          </cell>
          <cell r="E3869">
            <v>6</v>
          </cell>
          <cell r="H3869" t="str">
            <v>FULACHE</v>
          </cell>
          <cell r="N3869">
            <v>1000</v>
          </cell>
          <cell r="Y3869">
            <v>46257</v>
          </cell>
          <cell r="Z3869">
            <v>1</v>
          </cell>
          <cell r="AA3869">
            <v>1000</v>
          </cell>
        </row>
        <row r="3870">
          <cell r="A3870">
            <v>46257</v>
          </cell>
          <cell r="D3870" t="str">
            <v>LADY OF REMEDY</v>
          </cell>
          <cell r="E3870">
            <v>6</v>
          </cell>
          <cell r="H3870" t="str">
            <v>LAPU-LAPU</v>
          </cell>
          <cell r="N3870">
            <v>1000</v>
          </cell>
          <cell r="Y3870">
            <v>46257</v>
          </cell>
          <cell r="Z3870">
            <v>1</v>
          </cell>
          <cell r="AA3870">
            <v>1000</v>
          </cell>
        </row>
        <row r="3871">
          <cell r="A3871">
            <v>46257</v>
          </cell>
          <cell r="D3871" t="str">
            <v>LADY OF REMEDY</v>
          </cell>
          <cell r="E3871">
            <v>6</v>
          </cell>
          <cell r="H3871" t="str">
            <v>LAPU-LAPU</v>
          </cell>
          <cell r="N3871">
            <v>1000</v>
          </cell>
          <cell r="Y3871">
            <v>46257</v>
          </cell>
          <cell r="Z3871">
            <v>1</v>
          </cell>
          <cell r="AA3871">
            <v>1000</v>
          </cell>
        </row>
        <row r="3872">
          <cell r="A3872">
            <v>46257</v>
          </cell>
          <cell r="D3872" t="str">
            <v>EFG 8</v>
          </cell>
          <cell r="E3872">
            <v>4</v>
          </cell>
          <cell r="H3872" t="str">
            <v>SAFISCOR</v>
          </cell>
          <cell r="N3872">
            <v>950</v>
          </cell>
          <cell r="Y3872">
            <v>46257</v>
          </cell>
          <cell r="Z3872">
            <v>1</v>
          </cell>
          <cell r="AA3872">
            <v>950</v>
          </cell>
        </row>
        <row r="3873">
          <cell r="A3873">
            <v>46257</v>
          </cell>
          <cell r="D3873" t="str">
            <v>LADY OF REMEDY</v>
          </cell>
          <cell r="E3873">
            <v>6</v>
          </cell>
          <cell r="H3873" t="str">
            <v>SAFISCOR</v>
          </cell>
          <cell r="N3873">
            <v>1000</v>
          </cell>
          <cell r="Y3873">
            <v>46257</v>
          </cell>
          <cell r="Z3873">
            <v>1</v>
          </cell>
          <cell r="AA3873">
            <v>1000</v>
          </cell>
        </row>
        <row r="3874">
          <cell r="A3874">
            <v>46257</v>
          </cell>
          <cell r="D3874" t="str">
            <v>LADY OF REMEDY</v>
          </cell>
          <cell r="E3874">
            <v>6</v>
          </cell>
          <cell r="H3874" t="str">
            <v>SAFISCOR</v>
          </cell>
          <cell r="N3874">
            <v>1000</v>
          </cell>
          <cell r="Y3874">
            <v>46257</v>
          </cell>
          <cell r="Z3874">
            <v>1</v>
          </cell>
          <cell r="AA3874">
            <v>1000</v>
          </cell>
        </row>
        <row r="3875">
          <cell r="A3875">
            <v>46257</v>
          </cell>
          <cell r="D3875" t="str">
            <v>LADY OF REMEDY</v>
          </cell>
          <cell r="E3875">
            <v>6</v>
          </cell>
          <cell r="H3875" t="str">
            <v>SAFISCOR</v>
          </cell>
          <cell r="N3875">
            <v>1000</v>
          </cell>
          <cell r="Y3875">
            <v>46257</v>
          </cell>
          <cell r="Z3875">
            <v>1</v>
          </cell>
          <cell r="AA3875">
            <v>1000</v>
          </cell>
        </row>
        <row r="3876">
          <cell r="A3876">
            <v>46257</v>
          </cell>
          <cell r="D3876" t="str">
            <v>LADY OF REMEDY</v>
          </cell>
          <cell r="E3876">
            <v>6</v>
          </cell>
          <cell r="H3876" t="str">
            <v>SAFISCOR</v>
          </cell>
          <cell r="N3876">
            <v>1000</v>
          </cell>
          <cell r="Y3876">
            <v>46257</v>
          </cell>
          <cell r="Z3876">
            <v>1</v>
          </cell>
          <cell r="AA3876">
            <v>1000</v>
          </cell>
        </row>
        <row r="3877">
          <cell r="A3877">
            <v>46257</v>
          </cell>
          <cell r="D3877" t="str">
            <v>LADY OF REMEDY</v>
          </cell>
          <cell r="E3877">
            <v>6</v>
          </cell>
          <cell r="H3877" t="str">
            <v>SAFISCOR</v>
          </cell>
          <cell r="N3877">
            <v>1000</v>
          </cell>
          <cell r="Y3877">
            <v>46257</v>
          </cell>
          <cell r="Z3877">
            <v>1</v>
          </cell>
          <cell r="AA3877">
            <v>1000</v>
          </cell>
        </row>
        <row r="3878">
          <cell r="A3878">
            <v>46257</v>
          </cell>
          <cell r="D3878" t="str">
            <v>LADY OF REMEDY</v>
          </cell>
          <cell r="E3878">
            <v>6</v>
          </cell>
          <cell r="H3878" t="str">
            <v>SAFISCOR</v>
          </cell>
          <cell r="N3878">
            <v>1000</v>
          </cell>
          <cell r="Y3878">
            <v>46257</v>
          </cell>
          <cell r="Z3878">
            <v>1</v>
          </cell>
          <cell r="AA3878">
            <v>1000</v>
          </cell>
        </row>
        <row r="3879">
          <cell r="A3879">
            <v>46257</v>
          </cell>
          <cell r="D3879" t="str">
            <v>LADY OF REMEDY</v>
          </cell>
          <cell r="E3879">
            <v>6</v>
          </cell>
          <cell r="H3879" t="str">
            <v>SAFISCOR</v>
          </cell>
          <cell r="N3879">
            <v>1000</v>
          </cell>
          <cell r="Y3879">
            <v>46257</v>
          </cell>
          <cell r="Z3879">
            <v>1</v>
          </cell>
          <cell r="AA3879">
            <v>1000</v>
          </cell>
        </row>
        <row r="3880">
          <cell r="A3880">
            <v>46257</v>
          </cell>
          <cell r="D3880" t="str">
            <v>LADY OF REMEDY</v>
          </cell>
          <cell r="E3880">
            <v>6</v>
          </cell>
          <cell r="H3880" t="str">
            <v>LAPU-LAPU</v>
          </cell>
          <cell r="N3880">
            <v>1000</v>
          </cell>
          <cell r="Y3880">
            <v>46257</v>
          </cell>
          <cell r="Z3880">
            <v>1</v>
          </cell>
          <cell r="AA3880">
            <v>1000</v>
          </cell>
        </row>
        <row r="3881">
          <cell r="A3881">
            <v>46257</v>
          </cell>
          <cell r="D3881" t="str">
            <v>LADY OF COURAGE</v>
          </cell>
          <cell r="E3881">
            <v>6</v>
          </cell>
          <cell r="H3881" t="str">
            <v>GEO</v>
          </cell>
          <cell r="N3881">
            <v>1000</v>
          </cell>
          <cell r="Y3881">
            <v>46257</v>
          </cell>
          <cell r="Z3881">
            <v>1</v>
          </cell>
          <cell r="AA3881">
            <v>1000</v>
          </cell>
        </row>
        <row r="3882">
          <cell r="A3882">
            <v>46257</v>
          </cell>
          <cell r="D3882" t="str">
            <v>LADY OF REMEDY</v>
          </cell>
          <cell r="E3882">
            <v>6</v>
          </cell>
          <cell r="H3882" t="str">
            <v>GEO</v>
          </cell>
          <cell r="N3882">
            <v>1000</v>
          </cell>
          <cell r="Y3882">
            <v>46257</v>
          </cell>
          <cell r="Z3882">
            <v>1</v>
          </cell>
          <cell r="AA3882">
            <v>1000</v>
          </cell>
        </row>
        <row r="3883">
          <cell r="A3883">
            <v>46257</v>
          </cell>
          <cell r="D3883" t="str">
            <v>LADY OF COURAGE</v>
          </cell>
          <cell r="E3883">
            <v>6</v>
          </cell>
          <cell r="H3883" t="str">
            <v>SAFISCOR</v>
          </cell>
          <cell r="N3883">
            <v>1000</v>
          </cell>
          <cell r="Y3883">
            <v>46257</v>
          </cell>
          <cell r="Z3883">
            <v>1</v>
          </cell>
          <cell r="AA3883">
            <v>1000</v>
          </cell>
        </row>
        <row r="3884">
          <cell r="A3884">
            <v>46257</v>
          </cell>
          <cell r="D3884" t="str">
            <v>LADY OF COURAGE</v>
          </cell>
          <cell r="E3884">
            <v>6</v>
          </cell>
          <cell r="H3884" t="str">
            <v>SAFISCOR</v>
          </cell>
          <cell r="N3884">
            <v>1000</v>
          </cell>
          <cell r="Y3884">
            <v>46257</v>
          </cell>
          <cell r="Z3884">
            <v>1</v>
          </cell>
          <cell r="AA3884">
            <v>1000</v>
          </cell>
        </row>
        <row r="3885">
          <cell r="A3885">
            <v>46257</v>
          </cell>
          <cell r="D3885" t="str">
            <v>LADY OF COURAGE</v>
          </cell>
          <cell r="E3885">
            <v>6</v>
          </cell>
          <cell r="H3885" t="str">
            <v>SAFISCOR</v>
          </cell>
          <cell r="N3885">
            <v>1000</v>
          </cell>
          <cell r="Y3885">
            <v>46257</v>
          </cell>
          <cell r="Z3885">
            <v>1</v>
          </cell>
          <cell r="AA3885">
            <v>1000</v>
          </cell>
        </row>
        <row r="3886">
          <cell r="A3886">
            <v>46257</v>
          </cell>
          <cell r="D3886" t="str">
            <v>LADY OF COURAGE</v>
          </cell>
          <cell r="E3886">
            <v>6</v>
          </cell>
          <cell r="H3886" t="str">
            <v>SAFISCOR</v>
          </cell>
          <cell r="N3886">
            <v>1000</v>
          </cell>
          <cell r="Y3886">
            <v>46257</v>
          </cell>
          <cell r="Z3886">
            <v>1</v>
          </cell>
          <cell r="AA3886">
            <v>1000</v>
          </cell>
        </row>
        <row r="3887">
          <cell r="A3887">
            <v>46257</v>
          </cell>
          <cell r="D3887" t="str">
            <v>LADY OF COURAGE</v>
          </cell>
          <cell r="E3887">
            <v>6</v>
          </cell>
          <cell r="H3887" t="str">
            <v>SAFISCOR</v>
          </cell>
          <cell r="N3887">
            <v>1000</v>
          </cell>
          <cell r="Y3887">
            <v>46257</v>
          </cell>
          <cell r="Z3887">
            <v>1</v>
          </cell>
          <cell r="AA3887">
            <v>1000</v>
          </cell>
        </row>
        <row r="3888">
          <cell r="A3888">
            <v>46257</v>
          </cell>
          <cell r="D3888" t="str">
            <v>LADY OF COURAGE</v>
          </cell>
          <cell r="E3888">
            <v>6</v>
          </cell>
          <cell r="H3888" t="str">
            <v>SAFISCOR</v>
          </cell>
          <cell r="N3888">
            <v>1000</v>
          </cell>
          <cell r="Y3888">
            <v>46257</v>
          </cell>
          <cell r="Z3888">
            <v>1</v>
          </cell>
          <cell r="AA3888">
            <v>1000</v>
          </cell>
        </row>
        <row r="3889">
          <cell r="A3889">
            <v>46257</v>
          </cell>
          <cell r="D3889" t="str">
            <v>LADY OF COURAGE</v>
          </cell>
          <cell r="E3889">
            <v>6</v>
          </cell>
          <cell r="H3889" t="str">
            <v>SAFISCOR</v>
          </cell>
          <cell r="N3889">
            <v>1000</v>
          </cell>
          <cell r="Y3889">
            <v>46257</v>
          </cell>
          <cell r="Z3889">
            <v>1</v>
          </cell>
          <cell r="AA3889">
            <v>1000</v>
          </cell>
        </row>
        <row r="3890">
          <cell r="A3890">
            <v>46257</v>
          </cell>
          <cell r="D3890" t="str">
            <v>LADY OF COURAGE</v>
          </cell>
          <cell r="E3890">
            <v>6</v>
          </cell>
          <cell r="H3890" t="str">
            <v>SAFISCOR</v>
          </cell>
          <cell r="N3890">
            <v>1000</v>
          </cell>
          <cell r="Y3890">
            <v>46257</v>
          </cell>
          <cell r="Z3890">
            <v>1</v>
          </cell>
          <cell r="AA3890">
            <v>1000</v>
          </cell>
        </row>
        <row r="3891">
          <cell r="A3891">
            <v>46257</v>
          </cell>
          <cell r="D3891" t="str">
            <v>LADY OF COURAGE</v>
          </cell>
          <cell r="E3891">
            <v>6</v>
          </cell>
          <cell r="H3891" t="str">
            <v>SAFISCOR</v>
          </cell>
          <cell r="N3891">
            <v>1000</v>
          </cell>
          <cell r="Y3891">
            <v>46257</v>
          </cell>
          <cell r="Z3891">
            <v>1</v>
          </cell>
          <cell r="AA3891">
            <v>1000</v>
          </cell>
        </row>
        <row r="3892">
          <cell r="A3892">
            <v>46257</v>
          </cell>
          <cell r="D3892" t="str">
            <v>LADY OF COURAGE</v>
          </cell>
          <cell r="E3892">
            <v>6</v>
          </cell>
          <cell r="H3892" t="str">
            <v>SAFISCOR</v>
          </cell>
          <cell r="N3892">
            <v>1000</v>
          </cell>
          <cell r="Y3892">
            <v>46257</v>
          </cell>
          <cell r="Z3892">
            <v>1</v>
          </cell>
          <cell r="AA3892">
            <v>1000</v>
          </cell>
        </row>
        <row r="3893">
          <cell r="A3893">
            <v>46258</v>
          </cell>
          <cell r="D3893" t="str">
            <v>LADY OF COURAGE</v>
          </cell>
          <cell r="E3893">
            <v>6</v>
          </cell>
          <cell r="H3893" t="str">
            <v>SAFISCOR</v>
          </cell>
          <cell r="N3893">
            <v>300</v>
          </cell>
          <cell r="Y3893">
            <v>46258</v>
          </cell>
          <cell r="Z3893">
            <v>1</v>
          </cell>
          <cell r="AA3893">
            <v>300</v>
          </cell>
        </row>
        <row r="3894">
          <cell r="A3894">
            <v>46258</v>
          </cell>
          <cell r="D3894" t="str">
            <v>LADY OF COURAGE</v>
          </cell>
          <cell r="E3894">
            <v>6</v>
          </cell>
          <cell r="H3894" t="str">
            <v>LAPU-LAPU</v>
          </cell>
          <cell r="N3894">
            <v>1000</v>
          </cell>
          <cell r="Y3894">
            <v>46258</v>
          </cell>
          <cell r="Z3894">
            <v>1</v>
          </cell>
          <cell r="AA3894">
            <v>1000</v>
          </cell>
        </row>
        <row r="3895">
          <cell r="A3895">
            <v>46258</v>
          </cell>
          <cell r="D3895" t="str">
            <v>LADY OF COURAGE</v>
          </cell>
          <cell r="E3895">
            <v>6</v>
          </cell>
          <cell r="H3895" t="str">
            <v>SAFISCOR</v>
          </cell>
          <cell r="N3895">
            <v>1000</v>
          </cell>
          <cell r="Y3895">
            <v>46258</v>
          </cell>
          <cell r="Z3895">
            <v>1</v>
          </cell>
          <cell r="AA3895">
            <v>1000</v>
          </cell>
        </row>
        <row r="3896">
          <cell r="A3896">
            <v>46258</v>
          </cell>
          <cell r="D3896" t="str">
            <v>LADY OF COURAGE</v>
          </cell>
          <cell r="E3896">
            <v>6</v>
          </cell>
          <cell r="H3896" t="str">
            <v>SAFISCOR</v>
          </cell>
          <cell r="N3896">
            <v>1000</v>
          </cell>
          <cell r="Y3896">
            <v>46258</v>
          </cell>
          <cell r="Z3896">
            <v>1</v>
          </cell>
          <cell r="AA3896">
            <v>1000</v>
          </cell>
        </row>
        <row r="3897">
          <cell r="A3897">
            <v>46258</v>
          </cell>
          <cell r="D3897" t="str">
            <v>LADY OF COURAGE</v>
          </cell>
          <cell r="E3897">
            <v>6</v>
          </cell>
          <cell r="H3897" t="str">
            <v>GEO</v>
          </cell>
          <cell r="N3897">
            <v>1000</v>
          </cell>
          <cell r="Y3897">
            <v>46258</v>
          </cell>
          <cell r="Z3897">
            <v>1</v>
          </cell>
          <cell r="AA3897">
            <v>1000</v>
          </cell>
        </row>
        <row r="3898">
          <cell r="A3898">
            <v>46258</v>
          </cell>
          <cell r="D3898" t="str">
            <v>LADY OF COURAGE</v>
          </cell>
          <cell r="E3898">
            <v>6</v>
          </cell>
          <cell r="H3898" t="str">
            <v>GEO</v>
          </cell>
          <cell r="N3898">
            <v>1000</v>
          </cell>
          <cell r="Y3898">
            <v>46258</v>
          </cell>
          <cell r="Z3898">
            <v>1</v>
          </cell>
          <cell r="AA3898">
            <v>1000</v>
          </cell>
        </row>
        <row r="3899">
          <cell r="A3899">
            <v>46258</v>
          </cell>
          <cell r="D3899" t="str">
            <v>LADY OF COURAGE</v>
          </cell>
          <cell r="E3899">
            <v>6</v>
          </cell>
          <cell r="H3899" t="str">
            <v>GEO</v>
          </cell>
          <cell r="N3899">
            <v>1000</v>
          </cell>
          <cell r="Y3899">
            <v>46258</v>
          </cell>
          <cell r="Z3899">
            <v>1</v>
          </cell>
          <cell r="AA3899">
            <v>1000</v>
          </cell>
        </row>
        <row r="3900">
          <cell r="A3900">
            <v>46258</v>
          </cell>
          <cell r="D3900" t="str">
            <v>LADY OF COURAGE</v>
          </cell>
          <cell r="E3900">
            <v>6</v>
          </cell>
          <cell r="H3900" t="str">
            <v>SAFISCOR</v>
          </cell>
          <cell r="N3900">
            <v>1000</v>
          </cell>
          <cell r="Y3900">
            <v>46258</v>
          </cell>
          <cell r="Z3900">
            <v>1</v>
          </cell>
          <cell r="AA3900">
            <v>1000</v>
          </cell>
        </row>
        <row r="3901">
          <cell r="A3901">
            <v>46258</v>
          </cell>
          <cell r="D3901" t="str">
            <v>LADY OF COURAGE</v>
          </cell>
          <cell r="E3901">
            <v>6</v>
          </cell>
          <cell r="H3901" t="str">
            <v>SAFISCOR</v>
          </cell>
          <cell r="N3901">
            <v>1000</v>
          </cell>
          <cell r="Y3901">
            <v>46258</v>
          </cell>
          <cell r="Z3901">
            <v>1</v>
          </cell>
          <cell r="AA3901">
            <v>1000</v>
          </cell>
        </row>
        <row r="3902">
          <cell r="A3902">
            <v>46258</v>
          </cell>
          <cell r="D3902" t="str">
            <v>LADY OF COURAGE</v>
          </cell>
          <cell r="E3902">
            <v>6</v>
          </cell>
          <cell r="H3902" t="str">
            <v>SAFISCOR</v>
          </cell>
          <cell r="N3902">
            <v>1000</v>
          </cell>
          <cell r="Y3902">
            <v>46258</v>
          </cell>
          <cell r="Z3902">
            <v>1</v>
          </cell>
          <cell r="AA3902">
            <v>1000</v>
          </cell>
        </row>
        <row r="3903">
          <cell r="A3903">
            <v>46258</v>
          </cell>
          <cell r="D3903" t="str">
            <v>LADY OF COURAGE</v>
          </cell>
          <cell r="E3903">
            <v>6</v>
          </cell>
          <cell r="H3903" t="str">
            <v>SAFISCOR</v>
          </cell>
          <cell r="N3903">
            <v>1000</v>
          </cell>
          <cell r="Y3903">
            <v>46258</v>
          </cell>
          <cell r="Z3903">
            <v>1</v>
          </cell>
          <cell r="AA3903">
            <v>1000</v>
          </cell>
        </row>
        <row r="3904">
          <cell r="A3904">
            <v>46258</v>
          </cell>
          <cell r="D3904" t="str">
            <v>LADY OF COURAGE</v>
          </cell>
          <cell r="E3904">
            <v>6</v>
          </cell>
          <cell r="H3904" t="str">
            <v>LAPU-LAPU</v>
          </cell>
          <cell r="N3904">
            <v>1000</v>
          </cell>
          <cell r="Y3904">
            <v>46258</v>
          </cell>
          <cell r="Z3904">
            <v>1</v>
          </cell>
          <cell r="AA3904">
            <v>1000</v>
          </cell>
        </row>
        <row r="3905">
          <cell r="A3905">
            <v>46258</v>
          </cell>
          <cell r="D3905" t="str">
            <v>LADY OF COURAGE</v>
          </cell>
          <cell r="E3905">
            <v>6</v>
          </cell>
          <cell r="H3905" t="str">
            <v>LAPU-LAPU</v>
          </cell>
          <cell r="N3905">
            <v>1000</v>
          </cell>
          <cell r="Y3905">
            <v>46258</v>
          </cell>
          <cell r="Z3905">
            <v>2</v>
          </cell>
          <cell r="AA3905">
            <v>1000</v>
          </cell>
        </row>
        <row r="3906">
          <cell r="A3906">
            <v>46258</v>
          </cell>
          <cell r="D3906" t="str">
            <v>LADY OF COURAGE</v>
          </cell>
          <cell r="E3906">
            <v>6</v>
          </cell>
          <cell r="H3906" t="str">
            <v>LAPU-LAPU</v>
          </cell>
          <cell r="N3906">
            <v>1000</v>
          </cell>
          <cell r="Y3906">
            <v>46258</v>
          </cell>
          <cell r="Z3906">
            <v>2</v>
          </cell>
          <cell r="AA3906">
            <v>1000</v>
          </cell>
        </row>
        <row r="3907">
          <cell r="A3907">
            <v>46258</v>
          </cell>
          <cell r="D3907" t="str">
            <v>LADY OF COURAGE</v>
          </cell>
          <cell r="E3907">
            <v>6</v>
          </cell>
          <cell r="H3907" t="str">
            <v>SAFISCOR</v>
          </cell>
          <cell r="N3907">
            <v>200</v>
          </cell>
          <cell r="Y3907">
            <v>46258</v>
          </cell>
          <cell r="Z3907">
            <v>1</v>
          </cell>
          <cell r="AA3907">
            <v>200</v>
          </cell>
        </row>
        <row r="3908">
          <cell r="A3908">
            <v>46258</v>
          </cell>
          <cell r="D3908" t="str">
            <v>LADY OF COURAGE</v>
          </cell>
          <cell r="E3908">
            <v>6</v>
          </cell>
          <cell r="H3908" t="str">
            <v>SAFISCOR</v>
          </cell>
          <cell r="N3908">
            <v>500</v>
          </cell>
          <cell r="Y3908">
            <v>46258</v>
          </cell>
          <cell r="Z3908">
            <v>1</v>
          </cell>
          <cell r="AA3908">
            <v>500</v>
          </cell>
        </row>
        <row r="3909">
          <cell r="A3909">
            <v>46258</v>
          </cell>
          <cell r="D3909" t="str">
            <v>ADOLFO SR</v>
          </cell>
          <cell r="E3909">
            <v>8</v>
          </cell>
          <cell r="H3909" t="str">
            <v>LAPU-LAPU</v>
          </cell>
          <cell r="N3909">
            <v>1000</v>
          </cell>
          <cell r="Y3909">
            <v>46258</v>
          </cell>
          <cell r="Z3909">
            <v>2</v>
          </cell>
          <cell r="AA3909">
            <v>1000</v>
          </cell>
        </row>
        <row r="3910">
          <cell r="A3910">
            <v>46258</v>
          </cell>
          <cell r="D3910" t="str">
            <v>LADY ARMOR</v>
          </cell>
          <cell r="E3910">
            <v>4</v>
          </cell>
          <cell r="H3910" t="str">
            <v>SAFISCOR</v>
          </cell>
          <cell r="N3910">
            <v>1000</v>
          </cell>
          <cell r="Y3910">
            <v>46258</v>
          </cell>
          <cell r="Z3910">
            <v>2</v>
          </cell>
          <cell r="AA3910">
            <v>1000</v>
          </cell>
        </row>
        <row r="3911">
          <cell r="A3911">
            <v>46258</v>
          </cell>
          <cell r="D3911" t="str">
            <v>ADOLFO SR</v>
          </cell>
          <cell r="E3911">
            <v>8</v>
          </cell>
          <cell r="H3911" t="str">
            <v>LAPU-LAPU</v>
          </cell>
          <cell r="N3911">
            <v>500</v>
          </cell>
          <cell r="Y3911">
            <v>46258</v>
          </cell>
          <cell r="Z3911">
            <v>2</v>
          </cell>
          <cell r="AA3911">
            <v>500</v>
          </cell>
        </row>
        <row r="3912">
          <cell r="A3912">
            <v>46258</v>
          </cell>
          <cell r="D3912" t="str">
            <v>ADOLFO SR</v>
          </cell>
          <cell r="E3912">
            <v>8</v>
          </cell>
          <cell r="H3912" t="str">
            <v>LAPU-LAPU</v>
          </cell>
          <cell r="N3912">
            <v>500</v>
          </cell>
          <cell r="Y3912">
            <v>46258</v>
          </cell>
          <cell r="Z3912">
            <v>2</v>
          </cell>
          <cell r="AA3912">
            <v>500</v>
          </cell>
        </row>
        <row r="3913">
          <cell r="A3913">
            <v>46258</v>
          </cell>
          <cell r="D3913" t="str">
            <v>LADY ARMOR</v>
          </cell>
          <cell r="E3913">
            <v>4</v>
          </cell>
          <cell r="H3913" t="str">
            <v>LAPU-LAPU</v>
          </cell>
          <cell r="N3913">
            <v>1000</v>
          </cell>
          <cell r="Y3913">
            <v>46258</v>
          </cell>
          <cell r="Z3913">
            <v>2</v>
          </cell>
          <cell r="AA3913">
            <v>1000</v>
          </cell>
        </row>
        <row r="3914">
          <cell r="A3914">
            <v>46258</v>
          </cell>
          <cell r="D3914" t="str">
            <v>LADY ARMOR</v>
          </cell>
          <cell r="E3914">
            <v>4</v>
          </cell>
          <cell r="H3914" t="str">
            <v>SAFISCOR</v>
          </cell>
          <cell r="N3914">
            <v>1000</v>
          </cell>
          <cell r="Y3914">
            <v>46258</v>
          </cell>
          <cell r="Z3914">
            <v>2</v>
          </cell>
          <cell r="AA3914">
            <v>1000</v>
          </cell>
        </row>
        <row r="3915">
          <cell r="A3915">
            <v>46258</v>
          </cell>
          <cell r="D3915" t="str">
            <v>ADOLFO SR</v>
          </cell>
          <cell r="E3915">
            <v>8</v>
          </cell>
          <cell r="H3915" t="str">
            <v>SAFISCOR</v>
          </cell>
          <cell r="N3915">
            <v>1000</v>
          </cell>
          <cell r="Y3915">
            <v>46258</v>
          </cell>
          <cell r="Z3915">
            <v>2</v>
          </cell>
          <cell r="AA3915">
            <v>1000</v>
          </cell>
        </row>
        <row r="3916">
          <cell r="A3916">
            <v>46258</v>
          </cell>
          <cell r="D3916" t="str">
            <v>ADOLFO SR</v>
          </cell>
          <cell r="E3916">
            <v>8</v>
          </cell>
          <cell r="H3916" t="str">
            <v>SAFISCOR</v>
          </cell>
          <cell r="N3916">
            <v>1000</v>
          </cell>
          <cell r="Y3916">
            <v>46258</v>
          </cell>
          <cell r="Z3916">
            <v>2</v>
          </cell>
          <cell r="AA3916">
            <v>1000</v>
          </cell>
        </row>
        <row r="3917">
          <cell r="A3917">
            <v>46258</v>
          </cell>
          <cell r="D3917" t="str">
            <v>LADY ARMOR</v>
          </cell>
          <cell r="E3917">
            <v>4</v>
          </cell>
          <cell r="H3917" t="str">
            <v>SAFISCOR</v>
          </cell>
          <cell r="N3917">
            <v>1000</v>
          </cell>
          <cell r="Y3917">
            <v>46258</v>
          </cell>
          <cell r="Z3917">
            <v>2</v>
          </cell>
          <cell r="AA3917">
            <v>1000</v>
          </cell>
        </row>
        <row r="3918">
          <cell r="A3918">
            <v>46258</v>
          </cell>
          <cell r="D3918" t="str">
            <v>ADOLFO SR</v>
          </cell>
          <cell r="E3918">
            <v>8</v>
          </cell>
          <cell r="H3918" t="str">
            <v>LAPU-LAPU</v>
          </cell>
          <cell r="N3918">
            <v>1000</v>
          </cell>
          <cell r="Y3918">
            <v>46258</v>
          </cell>
          <cell r="Z3918">
            <v>2</v>
          </cell>
          <cell r="AA3918">
            <v>1000</v>
          </cell>
        </row>
        <row r="3919">
          <cell r="A3919">
            <v>46258</v>
          </cell>
          <cell r="D3919" t="str">
            <v>LADY ARMOR</v>
          </cell>
          <cell r="E3919">
            <v>4</v>
          </cell>
          <cell r="H3919" t="str">
            <v>SAFISCOR</v>
          </cell>
          <cell r="N3919">
            <v>1000</v>
          </cell>
          <cell r="Y3919">
            <v>46258</v>
          </cell>
          <cell r="Z3919">
            <v>2</v>
          </cell>
          <cell r="AA3919">
            <v>1000</v>
          </cell>
        </row>
        <row r="3920">
          <cell r="A3920">
            <v>46258</v>
          </cell>
          <cell r="D3920" t="str">
            <v>ADOLFO SR</v>
          </cell>
          <cell r="E3920">
            <v>8</v>
          </cell>
          <cell r="H3920" t="str">
            <v>LAPU-LAPU</v>
          </cell>
          <cell r="N3920">
            <v>200</v>
          </cell>
          <cell r="Y3920">
            <v>46259</v>
          </cell>
          <cell r="Z3920">
            <v>2</v>
          </cell>
          <cell r="AA3920">
            <v>200</v>
          </cell>
        </row>
        <row r="3921">
          <cell r="A3921">
            <v>46258</v>
          </cell>
          <cell r="D3921" t="str">
            <v>ADOLFO SR</v>
          </cell>
          <cell r="E3921">
            <v>8</v>
          </cell>
          <cell r="H3921" t="str">
            <v>LAPU-LAPU</v>
          </cell>
          <cell r="N3921">
            <v>800</v>
          </cell>
          <cell r="Y3921">
            <v>46259</v>
          </cell>
          <cell r="Z3921">
            <v>1</v>
          </cell>
          <cell r="AA3921">
            <v>800</v>
          </cell>
        </row>
        <row r="3922">
          <cell r="A3922">
            <v>46258</v>
          </cell>
          <cell r="D3922" t="str">
            <v>ADOLFO SR</v>
          </cell>
          <cell r="E3922">
            <v>8</v>
          </cell>
          <cell r="H3922" t="str">
            <v>SAFISCOR</v>
          </cell>
          <cell r="N3922">
            <v>1000</v>
          </cell>
          <cell r="Y3922">
            <v>46258</v>
          </cell>
          <cell r="Z3922">
            <v>2</v>
          </cell>
          <cell r="AA3922">
            <v>1000</v>
          </cell>
        </row>
        <row r="3923">
          <cell r="A3923">
            <v>46258</v>
          </cell>
          <cell r="D3923" t="str">
            <v>LADY ARMOR</v>
          </cell>
          <cell r="E3923">
            <v>4</v>
          </cell>
          <cell r="H3923" t="str">
            <v>SAFISCOR</v>
          </cell>
          <cell r="N3923">
            <v>1000</v>
          </cell>
          <cell r="Y3923">
            <v>46259</v>
          </cell>
          <cell r="Z3923">
            <v>1</v>
          </cell>
          <cell r="AA3923">
            <v>1000</v>
          </cell>
        </row>
        <row r="3924">
          <cell r="A3924">
            <v>46258</v>
          </cell>
          <cell r="D3924" t="str">
            <v>LADY ARMOR</v>
          </cell>
          <cell r="E3924">
            <v>4</v>
          </cell>
          <cell r="H3924" t="str">
            <v>LAPU-LAPU</v>
          </cell>
          <cell r="N3924">
            <v>1000</v>
          </cell>
          <cell r="Y3924">
            <v>46259</v>
          </cell>
          <cell r="Z3924">
            <v>1</v>
          </cell>
          <cell r="AA3924">
            <v>1000</v>
          </cell>
        </row>
        <row r="3925">
          <cell r="A3925">
            <v>46259</v>
          </cell>
          <cell r="D3925" t="str">
            <v>LADY ARMOR</v>
          </cell>
          <cell r="E3925">
            <v>4</v>
          </cell>
          <cell r="H3925" t="str">
            <v>SAFISCOR</v>
          </cell>
          <cell r="N3925">
            <v>1000</v>
          </cell>
          <cell r="Y3925">
            <v>46259</v>
          </cell>
          <cell r="Z3925">
            <v>1</v>
          </cell>
          <cell r="AA3925">
            <v>1000</v>
          </cell>
        </row>
        <row r="3926">
          <cell r="A3926">
            <v>46259</v>
          </cell>
          <cell r="D3926" t="str">
            <v>LADY ARMOR</v>
          </cell>
          <cell r="E3926">
            <v>4</v>
          </cell>
          <cell r="H3926" t="str">
            <v>SAFISCOR</v>
          </cell>
          <cell r="N3926">
            <v>1000</v>
          </cell>
          <cell r="Y3926">
            <v>46259</v>
          </cell>
          <cell r="Z3926">
            <v>1</v>
          </cell>
          <cell r="AA3926">
            <v>1000</v>
          </cell>
        </row>
        <row r="3927">
          <cell r="A3927">
            <v>46259</v>
          </cell>
          <cell r="D3927" t="str">
            <v>LADY ARMOR</v>
          </cell>
          <cell r="E3927">
            <v>4</v>
          </cell>
          <cell r="H3927" t="str">
            <v>GEO</v>
          </cell>
          <cell r="N3927">
            <v>1000</v>
          </cell>
          <cell r="Y3927">
            <v>46259</v>
          </cell>
          <cell r="Z3927">
            <v>1</v>
          </cell>
          <cell r="AA3927">
            <v>1000</v>
          </cell>
        </row>
        <row r="3928">
          <cell r="A3928">
            <v>46259</v>
          </cell>
          <cell r="D3928" t="str">
            <v>LADY ARMOR</v>
          </cell>
          <cell r="E3928">
            <v>4</v>
          </cell>
          <cell r="H3928" t="str">
            <v>SAFISCOR</v>
          </cell>
          <cell r="N3928">
            <v>1000</v>
          </cell>
          <cell r="Y3928">
            <v>46259</v>
          </cell>
          <cell r="Z3928">
            <v>1</v>
          </cell>
          <cell r="AA3928">
            <v>1000</v>
          </cell>
        </row>
        <row r="3929">
          <cell r="A3929">
            <v>46259</v>
          </cell>
          <cell r="D3929" t="str">
            <v>LADY ARMOR</v>
          </cell>
          <cell r="E3929">
            <v>4</v>
          </cell>
          <cell r="H3929" t="str">
            <v>SAFISCOR</v>
          </cell>
          <cell r="N3929">
            <v>1000</v>
          </cell>
          <cell r="Y3929">
            <v>46259</v>
          </cell>
          <cell r="Z3929">
            <v>1</v>
          </cell>
          <cell r="AA3929">
            <v>1000</v>
          </cell>
        </row>
        <row r="3930">
          <cell r="A3930">
            <v>46259</v>
          </cell>
          <cell r="D3930" t="str">
            <v>LADY ARMOR</v>
          </cell>
          <cell r="E3930">
            <v>4</v>
          </cell>
          <cell r="H3930" t="str">
            <v>SAFISCOR</v>
          </cell>
          <cell r="N3930">
            <v>1000</v>
          </cell>
          <cell r="Y3930">
            <v>46259</v>
          </cell>
          <cell r="Z3930">
            <v>1</v>
          </cell>
          <cell r="AA3930">
            <v>1000</v>
          </cell>
        </row>
        <row r="3931">
          <cell r="A3931">
            <v>46259</v>
          </cell>
          <cell r="D3931" t="str">
            <v>LADY ARMOR</v>
          </cell>
          <cell r="E3931">
            <v>4</v>
          </cell>
          <cell r="H3931" t="str">
            <v>SAFISCOR</v>
          </cell>
          <cell r="N3931">
            <v>1000</v>
          </cell>
          <cell r="Y3931">
            <v>46259</v>
          </cell>
          <cell r="Z3931">
            <v>1</v>
          </cell>
          <cell r="AA3931">
            <v>1000</v>
          </cell>
        </row>
        <row r="3932">
          <cell r="A3932">
            <v>46259</v>
          </cell>
          <cell r="D3932" t="str">
            <v>LADY ARMOR</v>
          </cell>
          <cell r="E3932">
            <v>4</v>
          </cell>
          <cell r="H3932" t="str">
            <v>SAFISCOR</v>
          </cell>
          <cell r="N3932">
            <v>1000</v>
          </cell>
          <cell r="Y3932">
            <v>46259</v>
          </cell>
          <cell r="Z3932">
            <v>1</v>
          </cell>
          <cell r="AA3932">
            <v>1000</v>
          </cell>
        </row>
        <row r="3933">
          <cell r="A3933">
            <v>46259</v>
          </cell>
          <cell r="D3933" t="str">
            <v>LADY ARMOR</v>
          </cell>
          <cell r="E3933">
            <v>4</v>
          </cell>
          <cell r="H3933" t="str">
            <v>LAPU-LAPU</v>
          </cell>
          <cell r="N3933">
            <v>1000</v>
          </cell>
          <cell r="Y3933">
            <v>46259</v>
          </cell>
          <cell r="Z3933">
            <v>1</v>
          </cell>
          <cell r="AA3933">
            <v>1000</v>
          </cell>
        </row>
        <row r="3934">
          <cell r="A3934">
            <v>46259</v>
          </cell>
          <cell r="D3934" t="str">
            <v>ADOLFO SR</v>
          </cell>
          <cell r="E3934">
            <v>8</v>
          </cell>
          <cell r="H3934" t="str">
            <v>LAPU-LAPU</v>
          </cell>
          <cell r="N3934">
            <v>1000</v>
          </cell>
          <cell r="Y3934">
            <v>46259</v>
          </cell>
          <cell r="Z3934">
            <v>1</v>
          </cell>
          <cell r="AA3934">
            <v>1000</v>
          </cell>
        </row>
        <row r="3935">
          <cell r="A3935">
            <v>46259</v>
          </cell>
          <cell r="D3935" t="str">
            <v>ADOLFO SR</v>
          </cell>
          <cell r="E3935">
            <v>8</v>
          </cell>
          <cell r="H3935" t="str">
            <v>LAPU-LAPU</v>
          </cell>
          <cell r="N3935">
            <v>1000</v>
          </cell>
          <cell r="Y3935">
            <v>46259</v>
          </cell>
          <cell r="Z3935">
            <v>1</v>
          </cell>
          <cell r="AA3935">
            <v>1000</v>
          </cell>
        </row>
        <row r="3936">
          <cell r="A3936">
            <v>46259</v>
          </cell>
          <cell r="D3936" t="str">
            <v>ADOLFO SR</v>
          </cell>
          <cell r="E3936">
            <v>8</v>
          </cell>
          <cell r="H3936" t="str">
            <v>SAFISCOR</v>
          </cell>
          <cell r="N3936">
            <v>1000</v>
          </cell>
          <cell r="Y3936">
            <v>46259</v>
          </cell>
          <cell r="Z3936">
            <v>2</v>
          </cell>
          <cell r="AA3936">
            <v>1000</v>
          </cell>
        </row>
        <row r="3937">
          <cell r="A3937">
            <v>46259</v>
          </cell>
          <cell r="D3937" t="str">
            <v>ADOLFO SR</v>
          </cell>
          <cell r="E3937">
            <v>8</v>
          </cell>
          <cell r="H3937" t="str">
            <v>LAPU-LAPU</v>
          </cell>
          <cell r="N3937">
            <v>1000</v>
          </cell>
          <cell r="Y3937">
            <v>46259</v>
          </cell>
          <cell r="Z3937">
            <v>2</v>
          </cell>
          <cell r="AA3937">
            <v>1000</v>
          </cell>
        </row>
        <row r="3938">
          <cell r="A3938">
            <v>46259</v>
          </cell>
          <cell r="D3938" t="str">
            <v>ADOLFO SR</v>
          </cell>
          <cell r="E3938">
            <v>8</v>
          </cell>
          <cell r="H3938" t="str">
            <v>LAPU-LAPU</v>
          </cell>
          <cell r="N3938">
            <v>500</v>
          </cell>
          <cell r="Y3938">
            <v>46260</v>
          </cell>
          <cell r="Z3938">
            <v>1</v>
          </cell>
          <cell r="AA3938">
            <v>500</v>
          </cell>
        </row>
        <row r="3939">
          <cell r="A3939">
            <v>46259</v>
          </cell>
          <cell r="D3939" t="str">
            <v>ADOLFO SR</v>
          </cell>
          <cell r="E3939">
            <v>8</v>
          </cell>
          <cell r="H3939" t="str">
            <v>SAFISCOR</v>
          </cell>
          <cell r="N3939">
            <v>500</v>
          </cell>
          <cell r="Y3939">
            <v>46259</v>
          </cell>
          <cell r="Z3939">
            <v>2</v>
          </cell>
          <cell r="AA3939">
            <v>500</v>
          </cell>
        </row>
        <row r="3940">
          <cell r="A3940">
            <v>46259</v>
          </cell>
          <cell r="D3940" t="str">
            <v>ADOLFO SR</v>
          </cell>
          <cell r="E3940">
            <v>8</v>
          </cell>
          <cell r="H3940" t="str">
            <v>SAFISCOR</v>
          </cell>
          <cell r="N3940">
            <v>500</v>
          </cell>
          <cell r="Y3940">
            <v>46259</v>
          </cell>
          <cell r="Z3940">
            <v>2</v>
          </cell>
          <cell r="AA3940">
            <v>500</v>
          </cell>
        </row>
        <row r="3941">
          <cell r="A3941">
            <v>46259</v>
          </cell>
          <cell r="D3941" t="str">
            <v>ADOLFO SR</v>
          </cell>
          <cell r="E3941">
            <v>8</v>
          </cell>
          <cell r="H3941" t="str">
            <v>SAFISCOR</v>
          </cell>
          <cell r="N3941">
            <v>1000</v>
          </cell>
          <cell r="Y3941">
            <v>46259</v>
          </cell>
          <cell r="Z3941">
            <v>2</v>
          </cell>
          <cell r="AA3941">
            <v>1000</v>
          </cell>
        </row>
        <row r="3942">
          <cell r="A3942">
            <v>46259</v>
          </cell>
          <cell r="D3942" t="str">
            <v>ADOLFO SR</v>
          </cell>
          <cell r="E3942">
            <v>8</v>
          </cell>
          <cell r="H3942" t="str">
            <v>APLUS</v>
          </cell>
          <cell r="N3942">
            <v>1000</v>
          </cell>
          <cell r="Y3942">
            <v>46259</v>
          </cell>
          <cell r="Z3942">
            <v>1</v>
          </cell>
          <cell r="AA3942">
            <v>1000</v>
          </cell>
        </row>
        <row r="3943">
          <cell r="A3943">
            <v>46259</v>
          </cell>
          <cell r="D3943" t="str">
            <v>ADOLFO SR</v>
          </cell>
          <cell r="E3943">
            <v>8</v>
          </cell>
          <cell r="H3943" t="str">
            <v>LAPU-LAPU</v>
          </cell>
          <cell r="N3943">
            <v>1000</v>
          </cell>
          <cell r="Y3943">
            <v>46259</v>
          </cell>
          <cell r="Z3943">
            <v>1</v>
          </cell>
          <cell r="AA3943">
            <v>1000</v>
          </cell>
        </row>
        <row r="3944">
          <cell r="A3944">
            <v>46259</v>
          </cell>
          <cell r="D3944" t="str">
            <v>LADY ARMOR</v>
          </cell>
          <cell r="E3944">
            <v>4</v>
          </cell>
          <cell r="H3944" t="str">
            <v>FULACHE</v>
          </cell>
          <cell r="N3944">
            <v>1000</v>
          </cell>
          <cell r="Y3944">
            <v>46259</v>
          </cell>
          <cell r="Z3944">
            <v>1</v>
          </cell>
          <cell r="AA3944">
            <v>1000</v>
          </cell>
        </row>
        <row r="3945">
          <cell r="A3945">
            <v>46259</v>
          </cell>
          <cell r="D3945" t="str">
            <v>ADOLFO SR</v>
          </cell>
          <cell r="E3945">
            <v>8</v>
          </cell>
          <cell r="H3945" t="str">
            <v>SAFISCOR</v>
          </cell>
          <cell r="N3945">
            <v>1000</v>
          </cell>
          <cell r="Y3945">
            <v>46259</v>
          </cell>
          <cell r="Z3945">
            <v>2</v>
          </cell>
          <cell r="AA3945">
            <v>1000</v>
          </cell>
        </row>
        <row r="3946">
          <cell r="A3946">
            <v>46259</v>
          </cell>
          <cell r="D3946" t="str">
            <v>ADOLFO SR</v>
          </cell>
          <cell r="E3946">
            <v>8</v>
          </cell>
          <cell r="H3946" t="str">
            <v>GEO</v>
          </cell>
          <cell r="N3946">
            <v>1000</v>
          </cell>
          <cell r="Y3946">
            <v>46259</v>
          </cell>
          <cell r="Z3946">
            <v>2</v>
          </cell>
          <cell r="AA3946">
            <v>1000</v>
          </cell>
        </row>
        <row r="3947">
          <cell r="A3947">
            <v>46259</v>
          </cell>
          <cell r="D3947" t="str">
            <v>ADOLFO SR</v>
          </cell>
          <cell r="E3947">
            <v>8</v>
          </cell>
          <cell r="H3947" t="str">
            <v>LAPU-LAPU</v>
          </cell>
          <cell r="N3947">
            <v>1000</v>
          </cell>
          <cell r="Y3947">
            <v>46259</v>
          </cell>
          <cell r="Z3947">
            <v>2</v>
          </cell>
          <cell r="AA3947">
            <v>1000</v>
          </cell>
        </row>
        <row r="3948">
          <cell r="A3948">
            <v>46259</v>
          </cell>
          <cell r="D3948" t="str">
            <v>ADOLFO SR</v>
          </cell>
          <cell r="E3948">
            <v>8</v>
          </cell>
          <cell r="H3948" t="str">
            <v>SAFISCOR</v>
          </cell>
          <cell r="N3948">
            <v>1000</v>
          </cell>
          <cell r="Y3948">
            <v>46259</v>
          </cell>
          <cell r="Z3948">
            <v>2</v>
          </cell>
          <cell r="AA3948">
            <v>1000</v>
          </cell>
        </row>
        <row r="3949">
          <cell r="A3949">
            <v>46259</v>
          </cell>
          <cell r="D3949" t="str">
            <v>ADOLFO SR</v>
          </cell>
          <cell r="E3949">
            <v>8</v>
          </cell>
          <cell r="H3949" t="str">
            <v>FULACHE</v>
          </cell>
          <cell r="N3949">
            <v>1000</v>
          </cell>
          <cell r="Y3949">
            <v>46259</v>
          </cell>
          <cell r="Z3949">
            <v>1</v>
          </cell>
          <cell r="AA3949">
            <v>1000</v>
          </cell>
        </row>
        <row r="3950">
          <cell r="A3950">
            <v>46259</v>
          </cell>
          <cell r="D3950" t="str">
            <v>ADOLFO SR</v>
          </cell>
          <cell r="E3950">
            <v>8</v>
          </cell>
          <cell r="H3950" t="str">
            <v>SAFISCOR</v>
          </cell>
          <cell r="N3950">
            <v>1000</v>
          </cell>
          <cell r="Y3950">
            <v>46259</v>
          </cell>
          <cell r="Z3950">
            <v>2</v>
          </cell>
          <cell r="AA3950">
            <v>1000</v>
          </cell>
        </row>
        <row r="3951">
          <cell r="A3951">
            <v>46259</v>
          </cell>
          <cell r="D3951" t="str">
            <v>ADOLFO SR</v>
          </cell>
          <cell r="E3951">
            <v>8</v>
          </cell>
          <cell r="H3951" t="str">
            <v>SAFISCOR</v>
          </cell>
          <cell r="N3951">
            <v>1000</v>
          </cell>
          <cell r="Y3951">
            <v>46259</v>
          </cell>
          <cell r="Z3951">
            <v>2</v>
          </cell>
          <cell r="AA3951">
            <v>1000</v>
          </cell>
        </row>
        <row r="3952">
          <cell r="A3952">
            <v>46259</v>
          </cell>
          <cell r="D3952" t="str">
            <v>ADOLFO SR</v>
          </cell>
          <cell r="E3952">
            <v>8</v>
          </cell>
          <cell r="H3952" t="str">
            <v>SAFISCOR</v>
          </cell>
          <cell r="N3952">
            <v>250</v>
          </cell>
          <cell r="Y3952">
            <v>46259</v>
          </cell>
          <cell r="Z3952">
            <v>2</v>
          </cell>
          <cell r="AA3952">
            <v>250</v>
          </cell>
        </row>
        <row r="3953">
          <cell r="A3953">
            <v>46259</v>
          </cell>
          <cell r="D3953" t="str">
            <v>ADOLFO SR</v>
          </cell>
          <cell r="E3953">
            <v>8</v>
          </cell>
          <cell r="H3953" t="str">
            <v>SAFISCOR</v>
          </cell>
          <cell r="N3953">
            <v>750</v>
          </cell>
          <cell r="Y3953">
            <v>46259</v>
          </cell>
          <cell r="Z3953">
            <v>2</v>
          </cell>
          <cell r="AA3953">
            <v>750</v>
          </cell>
        </row>
        <row r="3954">
          <cell r="A3954">
            <v>46259</v>
          </cell>
          <cell r="D3954" t="str">
            <v>ADOLFO SR</v>
          </cell>
          <cell r="E3954">
            <v>8</v>
          </cell>
          <cell r="H3954" t="str">
            <v>SAFISCOR</v>
          </cell>
          <cell r="N3954">
            <v>1000</v>
          </cell>
          <cell r="Y3954">
            <v>46259</v>
          </cell>
          <cell r="Z3954">
            <v>2</v>
          </cell>
          <cell r="AA3954">
            <v>1000</v>
          </cell>
        </row>
        <row r="3955">
          <cell r="A3955">
            <v>46259</v>
          </cell>
          <cell r="D3955" t="str">
            <v>ADOLFO SR</v>
          </cell>
          <cell r="E3955">
            <v>8</v>
          </cell>
          <cell r="H3955" t="str">
            <v>SAFISCOR</v>
          </cell>
          <cell r="N3955">
            <v>1000</v>
          </cell>
          <cell r="Y3955">
            <v>46259</v>
          </cell>
          <cell r="Z3955">
            <v>2</v>
          </cell>
          <cell r="AA3955">
            <v>1000</v>
          </cell>
        </row>
        <row r="3956">
          <cell r="A3956">
            <v>46259</v>
          </cell>
          <cell r="D3956" t="str">
            <v>ADOLFO SR</v>
          </cell>
          <cell r="E3956">
            <v>8</v>
          </cell>
          <cell r="H3956" t="str">
            <v>SAFISCOR</v>
          </cell>
          <cell r="N3956">
            <v>1000</v>
          </cell>
          <cell r="Y3956">
            <v>46260</v>
          </cell>
          <cell r="Z3956">
            <v>1</v>
          </cell>
          <cell r="AA3956">
            <v>1000</v>
          </cell>
        </row>
        <row r="3957">
          <cell r="A3957">
            <v>46259</v>
          </cell>
          <cell r="D3957" t="str">
            <v>ADOLFO SR</v>
          </cell>
          <cell r="E3957">
            <v>8</v>
          </cell>
          <cell r="H3957" t="str">
            <v>SAFISCOR</v>
          </cell>
          <cell r="N3957">
            <v>1000</v>
          </cell>
          <cell r="Y3957">
            <v>46259</v>
          </cell>
          <cell r="Z3957">
            <v>2</v>
          </cell>
          <cell r="AA3957">
            <v>1000</v>
          </cell>
        </row>
        <row r="3958">
          <cell r="A3958">
            <v>46260</v>
          </cell>
          <cell r="D3958" t="str">
            <v>CHRISTIAN EDWARD</v>
          </cell>
          <cell r="E3958">
            <v>1</v>
          </cell>
          <cell r="H3958" t="str">
            <v>SAFISCOR</v>
          </cell>
          <cell r="N3958">
            <v>1000</v>
          </cell>
          <cell r="Y3958">
            <v>46260</v>
          </cell>
          <cell r="Z3958">
            <v>1</v>
          </cell>
          <cell r="AA3958">
            <v>1000</v>
          </cell>
        </row>
        <row r="3959">
          <cell r="A3959">
            <v>46260</v>
          </cell>
          <cell r="D3959" t="str">
            <v>CHRISTIAN EDWARD</v>
          </cell>
          <cell r="E3959">
            <v>1</v>
          </cell>
          <cell r="H3959" t="str">
            <v>SAFISCOR</v>
          </cell>
          <cell r="N3959">
            <v>1000</v>
          </cell>
          <cell r="Y3959">
            <v>46260</v>
          </cell>
          <cell r="Z3959">
            <v>1</v>
          </cell>
          <cell r="AA3959">
            <v>1000</v>
          </cell>
        </row>
        <row r="3960">
          <cell r="A3960">
            <v>46260</v>
          </cell>
          <cell r="D3960" t="str">
            <v>CHRISTIAN EDWARD</v>
          </cell>
          <cell r="E3960">
            <v>1</v>
          </cell>
          <cell r="H3960" t="str">
            <v>SAFISCOR</v>
          </cell>
          <cell r="N3960">
            <v>1000</v>
          </cell>
          <cell r="Y3960">
            <v>46260</v>
          </cell>
          <cell r="Z3960">
            <v>2</v>
          </cell>
          <cell r="AA3960">
            <v>1000</v>
          </cell>
        </row>
        <row r="3961">
          <cell r="A3961">
            <v>46260</v>
          </cell>
          <cell r="D3961" t="str">
            <v>CHRISTIAN EDWARD</v>
          </cell>
          <cell r="E3961">
            <v>1</v>
          </cell>
          <cell r="H3961" t="str">
            <v>SAFISCOR</v>
          </cell>
          <cell r="N3961">
            <v>1000</v>
          </cell>
          <cell r="Y3961">
            <v>46260</v>
          </cell>
          <cell r="Z3961">
            <v>2</v>
          </cell>
          <cell r="AA3961">
            <v>1000</v>
          </cell>
        </row>
        <row r="3962">
          <cell r="A3962">
            <v>46260</v>
          </cell>
          <cell r="D3962" t="str">
            <v>CHRISTIAN EDWARD</v>
          </cell>
          <cell r="E3962">
            <v>1</v>
          </cell>
          <cell r="H3962" t="str">
            <v>LAPU-LAPU</v>
          </cell>
          <cell r="N3962">
            <v>1000</v>
          </cell>
          <cell r="Y3962">
            <v>46260</v>
          </cell>
          <cell r="Z3962">
            <v>1</v>
          </cell>
          <cell r="AA3962">
            <v>1000</v>
          </cell>
        </row>
        <row r="3963">
          <cell r="A3963">
            <v>46260</v>
          </cell>
          <cell r="D3963" t="str">
            <v>CHRISTIAN EDWARD</v>
          </cell>
          <cell r="E3963">
            <v>1</v>
          </cell>
          <cell r="H3963" t="str">
            <v>SAFISCOR</v>
          </cell>
          <cell r="N3963">
            <v>1000</v>
          </cell>
          <cell r="Y3963">
            <v>46260</v>
          </cell>
          <cell r="Z3963">
            <v>2</v>
          </cell>
          <cell r="AA3963">
            <v>1000</v>
          </cell>
        </row>
        <row r="3964">
          <cell r="A3964">
            <v>46260</v>
          </cell>
          <cell r="D3964" t="str">
            <v>CHRISTIAN EDWARD</v>
          </cell>
          <cell r="E3964">
            <v>1</v>
          </cell>
          <cell r="H3964" t="str">
            <v>LAPU-LAPU</v>
          </cell>
          <cell r="N3964">
            <v>1000</v>
          </cell>
          <cell r="Y3964">
            <v>46260</v>
          </cell>
          <cell r="Z3964">
            <v>2</v>
          </cell>
          <cell r="AA3964">
            <v>1000</v>
          </cell>
        </row>
        <row r="3965">
          <cell r="A3965">
            <v>46260</v>
          </cell>
          <cell r="D3965" t="str">
            <v>CHRISTIAN EDWARD</v>
          </cell>
          <cell r="E3965">
            <v>1</v>
          </cell>
          <cell r="H3965" t="str">
            <v>SAFISCOR</v>
          </cell>
          <cell r="N3965">
            <v>1000</v>
          </cell>
          <cell r="Y3965">
            <v>46260</v>
          </cell>
          <cell r="Z3965">
            <v>1</v>
          </cell>
          <cell r="AA3965">
            <v>1000</v>
          </cell>
        </row>
        <row r="3966">
          <cell r="A3966">
            <v>46260</v>
          </cell>
          <cell r="D3966" t="str">
            <v>QUEEN CAROLYN</v>
          </cell>
          <cell r="E3966">
            <v>7</v>
          </cell>
          <cell r="H3966" t="str">
            <v>SAFISCOR</v>
          </cell>
          <cell r="N3966">
            <v>1000</v>
          </cell>
          <cell r="Y3966">
            <v>46260</v>
          </cell>
          <cell r="Z3966">
            <v>2</v>
          </cell>
          <cell r="AA3966">
            <v>1000</v>
          </cell>
        </row>
        <row r="3967">
          <cell r="A3967">
            <v>46260</v>
          </cell>
          <cell r="D3967" t="str">
            <v>QUEEN CAROLYN</v>
          </cell>
          <cell r="E3967">
            <v>7</v>
          </cell>
          <cell r="H3967" t="str">
            <v>SAFISCOR</v>
          </cell>
          <cell r="N3967">
            <v>1000</v>
          </cell>
          <cell r="Y3967">
            <v>46260</v>
          </cell>
          <cell r="Z3967">
            <v>2</v>
          </cell>
          <cell r="AA3967">
            <v>1000</v>
          </cell>
        </row>
        <row r="3968">
          <cell r="A3968">
            <v>46260</v>
          </cell>
          <cell r="D3968" t="str">
            <v>QUEEN CAROLYN</v>
          </cell>
          <cell r="E3968">
            <v>7</v>
          </cell>
          <cell r="H3968" t="str">
            <v>SAFISCOR</v>
          </cell>
          <cell r="N3968">
            <v>1000</v>
          </cell>
          <cell r="Y3968">
            <v>46260</v>
          </cell>
          <cell r="Z3968">
            <v>2</v>
          </cell>
          <cell r="AA3968">
            <v>1000</v>
          </cell>
        </row>
        <row r="3969">
          <cell r="A3969">
            <v>46260</v>
          </cell>
          <cell r="D3969" t="str">
            <v>CHRISTIAN EDWARD</v>
          </cell>
          <cell r="E3969">
            <v>1</v>
          </cell>
          <cell r="H3969" t="str">
            <v>SAFISCOR</v>
          </cell>
          <cell r="N3969">
            <v>1000</v>
          </cell>
          <cell r="Y3969">
            <v>46260</v>
          </cell>
          <cell r="Z3969">
            <v>2</v>
          </cell>
          <cell r="AA3969">
            <v>1000</v>
          </cell>
        </row>
        <row r="3970">
          <cell r="A3970">
            <v>46260</v>
          </cell>
          <cell r="D3970" t="str">
            <v>CHRISTIAN EDWARD</v>
          </cell>
          <cell r="E3970">
            <v>1</v>
          </cell>
          <cell r="H3970" t="str">
            <v>LAPU-LAPU</v>
          </cell>
          <cell r="N3970">
            <v>1000</v>
          </cell>
          <cell r="Y3970">
            <v>46260</v>
          </cell>
          <cell r="Z3970">
            <v>2</v>
          </cell>
          <cell r="AA3970">
            <v>1000</v>
          </cell>
        </row>
        <row r="3971">
          <cell r="A3971">
            <v>46260</v>
          </cell>
          <cell r="D3971" t="str">
            <v>CHRISTIAN EDWARD</v>
          </cell>
          <cell r="E3971">
            <v>1</v>
          </cell>
          <cell r="H3971" t="str">
            <v>LAPU-LAPU</v>
          </cell>
          <cell r="N3971">
            <v>1000</v>
          </cell>
          <cell r="Y3971">
            <v>46260</v>
          </cell>
          <cell r="Z3971">
            <v>2</v>
          </cell>
          <cell r="AA3971">
            <v>1000</v>
          </cell>
        </row>
        <row r="3972">
          <cell r="A3972">
            <v>46260</v>
          </cell>
          <cell r="D3972" t="str">
            <v>CHRISTIAN EDWARD</v>
          </cell>
          <cell r="E3972">
            <v>1</v>
          </cell>
          <cell r="H3972" t="str">
            <v>SAFISCOR</v>
          </cell>
          <cell r="N3972">
            <v>1000</v>
          </cell>
          <cell r="Y3972">
            <v>46260</v>
          </cell>
          <cell r="Z3972">
            <v>2</v>
          </cell>
          <cell r="AA3972">
            <v>1000</v>
          </cell>
        </row>
        <row r="3973">
          <cell r="A3973">
            <v>46260</v>
          </cell>
          <cell r="D3973" t="str">
            <v>QUEEN CAROLYN</v>
          </cell>
          <cell r="E3973">
            <v>7</v>
          </cell>
          <cell r="H3973" t="str">
            <v>LAPU-LAPU</v>
          </cell>
          <cell r="N3973">
            <v>1000</v>
          </cell>
          <cell r="Y3973">
            <v>46260</v>
          </cell>
          <cell r="Z3973">
            <v>2</v>
          </cell>
          <cell r="AA3973">
            <v>1000</v>
          </cell>
        </row>
        <row r="3974">
          <cell r="A3974">
            <v>46260</v>
          </cell>
          <cell r="D3974" t="str">
            <v>QUEEN CAROLYN</v>
          </cell>
          <cell r="E3974">
            <v>7</v>
          </cell>
          <cell r="H3974" t="str">
            <v>SAFISCOR</v>
          </cell>
          <cell r="N3974">
            <v>1000</v>
          </cell>
          <cell r="Y3974">
            <v>46260</v>
          </cell>
          <cell r="Z3974">
            <v>2</v>
          </cell>
          <cell r="AA3974">
            <v>1000</v>
          </cell>
        </row>
        <row r="3975">
          <cell r="A3975">
            <v>46260</v>
          </cell>
          <cell r="D3975" t="str">
            <v>CHRISTIAN EDWARD</v>
          </cell>
          <cell r="E3975">
            <v>1</v>
          </cell>
          <cell r="H3975" t="str">
            <v>GEO</v>
          </cell>
          <cell r="N3975">
            <v>1000</v>
          </cell>
          <cell r="Y3975">
            <v>46260</v>
          </cell>
          <cell r="Z3975">
            <v>2</v>
          </cell>
          <cell r="AA3975">
            <v>1000</v>
          </cell>
        </row>
        <row r="3976">
          <cell r="A3976">
            <v>46260</v>
          </cell>
          <cell r="D3976" t="str">
            <v>QUEEN CAROLYN</v>
          </cell>
          <cell r="E3976">
            <v>7</v>
          </cell>
          <cell r="H3976" t="str">
            <v>SAFISCOR</v>
          </cell>
          <cell r="N3976">
            <v>1000</v>
          </cell>
          <cell r="Y3976">
            <v>46260</v>
          </cell>
          <cell r="Z3976">
            <v>2</v>
          </cell>
          <cell r="AA3976">
            <v>1000</v>
          </cell>
        </row>
        <row r="3977">
          <cell r="A3977">
            <v>46260</v>
          </cell>
          <cell r="D3977" t="str">
            <v>CHRISTIAN EDWARD</v>
          </cell>
          <cell r="E3977">
            <v>1</v>
          </cell>
          <cell r="H3977" t="str">
            <v>GEO</v>
          </cell>
          <cell r="N3977">
            <v>1000</v>
          </cell>
          <cell r="Y3977">
            <v>46260</v>
          </cell>
          <cell r="Z3977">
            <v>2</v>
          </cell>
          <cell r="AA3977">
            <v>1000</v>
          </cell>
        </row>
        <row r="3978">
          <cell r="A3978">
            <v>46260</v>
          </cell>
          <cell r="D3978" t="str">
            <v>QUEEN CAROLYN</v>
          </cell>
          <cell r="E3978">
            <v>7</v>
          </cell>
          <cell r="H3978" t="str">
            <v>SAFISCOR</v>
          </cell>
          <cell r="N3978">
            <v>1000</v>
          </cell>
          <cell r="Y3978">
            <v>46260</v>
          </cell>
          <cell r="Z3978">
            <v>2</v>
          </cell>
          <cell r="AA3978">
            <v>1000</v>
          </cell>
        </row>
        <row r="3979">
          <cell r="A3979">
            <v>46260</v>
          </cell>
          <cell r="D3979" t="str">
            <v>CHRISTIAN EDWARD</v>
          </cell>
          <cell r="E3979">
            <v>1</v>
          </cell>
          <cell r="H3979" t="str">
            <v>GEO</v>
          </cell>
          <cell r="N3979">
            <v>1000</v>
          </cell>
          <cell r="Y3979">
            <v>46260</v>
          </cell>
          <cell r="Z3979">
            <v>2</v>
          </cell>
          <cell r="AA3979">
            <v>1000</v>
          </cell>
        </row>
        <row r="3980">
          <cell r="A3980">
            <v>46260</v>
          </cell>
          <cell r="D3980" t="str">
            <v>QUEEN CAROLYN</v>
          </cell>
          <cell r="E3980">
            <v>7</v>
          </cell>
          <cell r="H3980" t="str">
            <v>SAFISCOR</v>
          </cell>
          <cell r="N3980">
            <v>1000</v>
          </cell>
          <cell r="Y3980">
            <v>46260</v>
          </cell>
          <cell r="Z3980">
            <v>2</v>
          </cell>
          <cell r="AA3980">
            <v>1000</v>
          </cell>
        </row>
        <row r="3981">
          <cell r="A3981">
            <v>46260</v>
          </cell>
          <cell r="D3981" t="str">
            <v>CHRISTIAN EDWARD</v>
          </cell>
          <cell r="E3981">
            <v>1</v>
          </cell>
          <cell r="H3981" t="str">
            <v>SAFISCOR</v>
          </cell>
          <cell r="N3981">
            <v>1000</v>
          </cell>
          <cell r="Y3981">
            <v>46260</v>
          </cell>
          <cell r="Z3981">
            <v>2</v>
          </cell>
          <cell r="AA3981">
            <v>1000</v>
          </cell>
        </row>
        <row r="3982">
          <cell r="A3982">
            <v>46260</v>
          </cell>
          <cell r="D3982" t="str">
            <v>QUEEN CAROLYN</v>
          </cell>
          <cell r="E3982">
            <v>7</v>
          </cell>
          <cell r="H3982" t="str">
            <v>LAPU-LAPU</v>
          </cell>
          <cell r="N3982">
            <v>1000</v>
          </cell>
          <cell r="Y3982">
            <v>46260</v>
          </cell>
          <cell r="Z3982">
            <v>2</v>
          </cell>
          <cell r="AA3982">
            <v>1000</v>
          </cell>
        </row>
        <row r="3983">
          <cell r="A3983">
            <v>46260</v>
          </cell>
          <cell r="D3983" t="str">
            <v>QUEEN CAROLYN</v>
          </cell>
          <cell r="E3983">
            <v>7</v>
          </cell>
          <cell r="H3983" t="str">
            <v>SAFISCOR</v>
          </cell>
          <cell r="N3983">
            <v>1000</v>
          </cell>
          <cell r="Y3983">
            <v>46260</v>
          </cell>
          <cell r="Z3983">
            <v>2</v>
          </cell>
          <cell r="AA3983">
            <v>1000</v>
          </cell>
        </row>
        <row r="3984">
          <cell r="A3984">
            <v>46260</v>
          </cell>
          <cell r="D3984" t="str">
            <v>QUEEN CAROLYN</v>
          </cell>
          <cell r="E3984">
            <v>7</v>
          </cell>
          <cell r="H3984" t="str">
            <v>LAPU-LAPU</v>
          </cell>
          <cell r="N3984">
            <v>1000</v>
          </cell>
          <cell r="Y3984">
            <v>46260</v>
          </cell>
          <cell r="Z3984">
            <v>2</v>
          </cell>
          <cell r="AA3984">
            <v>1000</v>
          </cell>
        </row>
        <row r="3985">
          <cell r="A3985">
            <v>46260</v>
          </cell>
          <cell r="D3985" t="str">
            <v>QUEEN CAROLYN</v>
          </cell>
          <cell r="E3985">
            <v>7</v>
          </cell>
          <cell r="H3985" t="str">
            <v>SAFISCOR</v>
          </cell>
          <cell r="N3985">
            <v>1000</v>
          </cell>
          <cell r="Y3985">
            <v>46260</v>
          </cell>
          <cell r="Z3985">
            <v>2</v>
          </cell>
          <cell r="AA3985">
            <v>1000</v>
          </cell>
        </row>
        <row r="3986">
          <cell r="A3986">
            <v>46260</v>
          </cell>
          <cell r="D3986" t="str">
            <v>QUEEN CAROLYN</v>
          </cell>
          <cell r="E3986">
            <v>7</v>
          </cell>
          <cell r="H3986" t="str">
            <v>SAFISCOR</v>
          </cell>
          <cell r="N3986">
            <v>1000</v>
          </cell>
          <cell r="Y3986">
            <v>46260</v>
          </cell>
          <cell r="Z3986">
            <v>2</v>
          </cell>
          <cell r="AA3986">
            <v>1000</v>
          </cell>
        </row>
        <row r="3987">
          <cell r="A3987">
            <v>46260</v>
          </cell>
          <cell r="D3987" t="str">
            <v>QUEEN CAROLYN</v>
          </cell>
          <cell r="E3987">
            <v>7</v>
          </cell>
          <cell r="H3987" t="str">
            <v>SAFISCOR</v>
          </cell>
          <cell r="N3987">
            <v>1000</v>
          </cell>
          <cell r="Y3987">
            <v>46260</v>
          </cell>
          <cell r="Z3987">
            <v>2</v>
          </cell>
          <cell r="AA3987">
            <v>1000</v>
          </cell>
        </row>
        <row r="3988">
          <cell r="A3988">
            <v>46260</v>
          </cell>
          <cell r="D3988" t="str">
            <v>QUEEN CAROLYN</v>
          </cell>
          <cell r="E3988">
            <v>7</v>
          </cell>
          <cell r="H3988" t="str">
            <v>SAFISCOR</v>
          </cell>
          <cell r="N3988">
            <v>1000</v>
          </cell>
          <cell r="Y3988">
            <v>46261</v>
          </cell>
          <cell r="Z3988">
            <v>1</v>
          </cell>
          <cell r="AA3988">
            <v>1000</v>
          </cell>
        </row>
        <row r="3989">
          <cell r="A3989">
            <v>46260</v>
          </cell>
          <cell r="D3989" t="str">
            <v>QUEEN CAROLYN</v>
          </cell>
          <cell r="E3989">
            <v>7</v>
          </cell>
          <cell r="H3989" t="str">
            <v>SAFISCOR</v>
          </cell>
          <cell r="N3989">
            <v>1000</v>
          </cell>
          <cell r="Y3989">
            <v>46260</v>
          </cell>
          <cell r="Z3989">
            <v>2</v>
          </cell>
          <cell r="AA3989">
            <v>1000</v>
          </cell>
        </row>
        <row r="3990">
          <cell r="A3990">
            <v>46261</v>
          </cell>
          <cell r="D3990" t="str">
            <v>QUEEN CAROLYN</v>
          </cell>
          <cell r="E3990">
            <v>7</v>
          </cell>
          <cell r="H3990" t="str">
            <v>SAFISCOR</v>
          </cell>
          <cell r="N3990">
            <v>1000</v>
          </cell>
          <cell r="Y3990">
            <v>46261</v>
          </cell>
          <cell r="Z3990">
            <v>1</v>
          </cell>
          <cell r="AA3990">
            <v>1000</v>
          </cell>
        </row>
        <row r="3991">
          <cell r="A3991">
            <v>46261</v>
          </cell>
          <cell r="D3991" t="str">
            <v>QUEEN CAROLYN</v>
          </cell>
          <cell r="E3991">
            <v>7</v>
          </cell>
          <cell r="H3991" t="str">
            <v>SAFISCOR</v>
          </cell>
          <cell r="N3991">
            <v>1000</v>
          </cell>
          <cell r="Y3991">
            <v>46261</v>
          </cell>
          <cell r="Z3991">
            <v>1</v>
          </cell>
          <cell r="AA3991">
            <v>1000</v>
          </cell>
        </row>
        <row r="3992">
          <cell r="A3992">
            <v>46261</v>
          </cell>
          <cell r="D3992" t="str">
            <v>QUEEN CAROLYN</v>
          </cell>
          <cell r="E3992">
            <v>7</v>
          </cell>
          <cell r="H3992" t="str">
            <v>LAPU-LAPU</v>
          </cell>
          <cell r="N3992">
            <v>1000</v>
          </cell>
          <cell r="Y3992">
            <v>46261</v>
          </cell>
          <cell r="Z3992">
            <v>1</v>
          </cell>
          <cell r="AA3992">
            <v>1000</v>
          </cell>
        </row>
        <row r="3993">
          <cell r="A3993">
            <v>46261</v>
          </cell>
          <cell r="D3993" t="str">
            <v>QUEEN CAROLYN</v>
          </cell>
          <cell r="E3993">
            <v>7</v>
          </cell>
          <cell r="H3993" t="str">
            <v>SAFISCOR</v>
          </cell>
          <cell r="N3993">
            <v>1000</v>
          </cell>
          <cell r="Y3993">
            <v>46261</v>
          </cell>
          <cell r="Z3993">
            <v>1</v>
          </cell>
          <cell r="AA3993">
            <v>1000</v>
          </cell>
        </row>
        <row r="3994">
          <cell r="A3994">
            <v>46261</v>
          </cell>
          <cell r="D3994" t="str">
            <v>STAR FREEDOM</v>
          </cell>
          <cell r="E3994">
            <v>9</v>
          </cell>
          <cell r="H3994" t="str">
            <v>GEO</v>
          </cell>
          <cell r="N3994">
            <v>1000</v>
          </cell>
          <cell r="Y3994">
            <v>46261</v>
          </cell>
          <cell r="Z3994">
            <v>1</v>
          </cell>
          <cell r="AA3994">
            <v>1000</v>
          </cell>
        </row>
        <row r="3995">
          <cell r="A3995">
            <v>46261</v>
          </cell>
          <cell r="D3995" t="str">
            <v>STAR FREEDOM</v>
          </cell>
          <cell r="E3995">
            <v>9</v>
          </cell>
          <cell r="H3995" t="str">
            <v>FULACHE</v>
          </cell>
          <cell r="N3995">
            <v>1000</v>
          </cell>
          <cell r="Y3995">
            <v>46261</v>
          </cell>
          <cell r="Z3995">
            <v>1</v>
          </cell>
          <cell r="AA3995">
            <v>1000</v>
          </cell>
        </row>
        <row r="3996">
          <cell r="A3996">
            <v>46261</v>
          </cell>
          <cell r="D3996" t="str">
            <v>STAR FREEDOM</v>
          </cell>
          <cell r="E3996">
            <v>9</v>
          </cell>
          <cell r="H3996" t="str">
            <v>BADIE</v>
          </cell>
          <cell r="N3996">
            <v>1000</v>
          </cell>
          <cell r="Y3996">
            <v>46261</v>
          </cell>
          <cell r="Z3996">
            <v>1</v>
          </cell>
          <cell r="AA3996">
            <v>1000</v>
          </cell>
        </row>
        <row r="3997">
          <cell r="A3997">
            <v>46261</v>
          </cell>
          <cell r="D3997" t="str">
            <v>QUEEN CAROLYN</v>
          </cell>
          <cell r="E3997">
            <v>7</v>
          </cell>
          <cell r="H3997" t="str">
            <v>GEO</v>
          </cell>
          <cell r="N3997">
            <v>1000</v>
          </cell>
          <cell r="Y3997">
            <v>46262</v>
          </cell>
          <cell r="Z3997">
            <v>1</v>
          </cell>
          <cell r="AA3997">
            <v>1000</v>
          </cell>
        </row>
        <row r="3998">
          <cell r="A3998">
            <v>46261</v>
          </cell>
          <cell r="D3998" t="str">
            <v>STAR FREEDOM</v>
          </cell>
          <cell r="E3998">
            <v>9</v>
          </cell>
          <cell r="H3998" t="str">
            <v>LAPU-LAPU</v>
          </cell>
          <cell r="N3998">
            <v>1000</v>
          </cell>
          <cell r="Y3998">
            <v>46261</v>
          </cell>
          <cell r="Z3998">
            <v>1</v>
          </cell>
          <cell r="AA3998">
            <v>1000</v>
          </cell>
        </row>
        <row r="3999">
          <cell r="A3999">
            <v>46261</v>
          </cell>
          <cell r="D3999" t="str">
            <v>QUEEN CAROLYN</v>
          </cell>
          <cell r="E3999">
            <v>7</v>
          </cell>
          <cell r="H3999" t="str">
            <v>SAFISCOR</v>
          </cell>
          <cell r="N3999">
            <v>1000</v>
          </cell>
          <cell r="Y3999">
            <v>46261</v>
          </cell>
          <cell r="Z3999">
            <v>1</v>
          </cell>
          <cell r="AA3999">
            <v>1000</v>
          </cell>
        </row>
        <row r="4000">
          <cell r="A4000">
            <v>46261</v>
          </cell>
          <cell r="D4000" t="str">
            <v>STAR FREEDOM</v>
          </cell>
          <cell r="E4000">
            <v>9</v>
          </cell>
          <cell r="H4000" t="str">
            <v>APLUS</v>
          </cell>
          <cell r="N4000">
            <v>1000</v>
          </cell>
          <cell r="Y4000">
            <v>46261</v>
          </cell>
          <cell r="Z4000">
            <v>1</v>
          </cell>
          <cell r="AA4000">
            <v>1000</v>
          </cell>
        </row>
        <row r="4001">
          <cell r="A4001">
            <v>46261</v>
          </cell>
          <cell r="D4001" t="str">
            <v>QUEEN CAROLYN</v>
          </cell>
          <cell r="E4001">
            <v>7</v>
          </cell>
          <cell r="H4001" t="str">
            <v>SAFISCOR</v>
          </cell>
          <cell r="N4001">
            <v>1000</v>
          </cell>
          <cell r="Y4001">
            <v>46261</v>
          </cell>
          <cell r="Z4001">
            <v>1</v>
          </cell>
          <cell r="AA4001">
            <v>1000</v>
          </cell>
        </row>
        <row r="4002">
          <cell r="A4002">
            <v>46261</v>
          </cell>
          <cell r="D4002" t="str">
            <v>QUEEN CAROLYN</v>
          </cell>
          <cell r="E4002">
            <v>7</v>
          </cell>
          <cell r="H4002" t="str">
            <v>SAFISCOR</v>
          </cell>
          <cell r="N4002">
            <v>1000</v>
          </cell>
          <cell r="Y4002">
            <v>46261</v>
          </cell>
          <cell r="Z4002">
            <v>1</v>
          </cell>
          <cell r="AA4002">
            <v>1000</v>
          </cell>
        </row>
        <row r="4003">
          <cell r="A4003">
            <v>46261</v>
          </cell>
          <cell r="D4003" t="str">
            <v>QUEEN CAROLYN</v>
          </cell>
          <cell r="E4003">
            <v>7</v>
          </cell>
          <cell r="H4003" t="str">
            <v>SAFISCOR</v>
          </cell>
          <cell r="N4003">
            <v>1000</v>
          </cell>
          <cell r="Y4003">
            <v>46261</v>
          </cell>
          <cell r="Z4003">
            <v>1</v>
          </cell>
          <cell r="AA4003">
            <v>1000</v>
          </cell>
        </row>
        <row r="4004">
          <cell r="A4004">
            <v>46261</v>
          </cell>
          <cell r="D4004" t="str">
            <v>QUEEN CAROLYN</v>
          </cell>
          <cell r="E4004">
            <v>7</v>
          </cell>
          <cell r="H4004" t="str">
            <v>SAFISCOR</v>
          </cell>
          <cell r="N4004">
            <v>1000</v>
          </cell>
          <cell r="Y4004">
            <v>46261</v>
          </cell>
          <cell r="Z4004">
            <v>1</v>
          </cell>
          <cell r="AA4004">
            <v>1000</v>
          </cell>
        </row>
        <row r="4005">
          <cell r="A4005">
            <v>46261</v>
          </cell>
          <cell r="D4005" t="str">
            <v>QUEEN CAROLYN</v>
          </cell>
          <cell r="E4005">
            <v>7</v>
          </cell>
          <cell r="H4005" t="str">
            <v>SAFISCOR</v>
          </cell>
          <cell r="N4005">
            <v>1000</v>
          </cell>
          <cell r="Y4005">
            <v>46261</v>
          </cell>
          <cell r="Z4005">
            <v>2</v>
          </cell>
          <cell r="AA4005">
            <v>1000</v>
          </cell>
        </row>
        <row r="4006">
          <cell r="A4006">
            <v>46261</v>
          </cell>
          <cell r="D4006" t="str">
            <v>LADY OF PEACE</v>
          </cell>
          <cell r="E4006">
            <v>6</v>
          </cell>
          <cell r="N4006">
            <v>1000</v>
          </cell>
          <cell r="Y4006">
            <v>46262</v>
          </cell>
          <cell r="Z4006">
            <v>2</v>
          </cell>
          <cell r="AA4006">
            <v>1000</v>
          </cell>
        </row>
        <row r="4007">
          <cell r="A4007">
            <v>46261</v>
          </cell>
          <cell r="D4007" t="str">
            <v>STAR ILIGAN</v>
          </cell>
          <cell r="E4007">
            <v>7</v>
          </cell>
          <cell r="H4007" t="str">
            <v>GEO</v>
          </cell>
          <cell r="N4007">
            <v>1000</v>
          </cell>
          <cell r="Y4007">
            <v>46262</v>
          </cell>
          <cell r="Z4007">
            <v>1</v>
          </cell>
          <cell r="AA4007">
            <v>1000</v>
          </cell>
        </row>
        <row r="4008">
          <cell r="A4008">
            <v>46261</v>
          </cell>
          <cell r="D4008" t="str">
            <v>STAR FREEDOM</v>
          </cell>
          <cell r="E4008">
            <v>9</v>
          </cell>
          <cell r="H4008" t="str">
            <v>SAFISCOR</v>
          </cell>
          <cell r="N4008">
            <v>1000</v>
          </cell>
          <cell r="Y4008">
            <v>46262</v>
          </cell>
          <cell r="Z4008">
            <v>1</v>
          </cell>
          <cell r="AA4008">
            <v>1000</v>
          </cell>
        </row>
        <row r="4009">
          <cell r="A4009">
            <v>46261</v>
          </cell>
          <cell r="D4009" t="str">
            <v>QUEEN CAROLYN</v>
          </cell>
          <cell r="E4009">
            <v>7</v>
          </cell>
          <cell r="H4009" t="str">
            <v>GEO</v>
          </cell>
          <cell r="N4009">
            <v>1000</v>
          </cell>
          <cell r="Y4009">
            <v>46261</v>
          </cell>
          <cell r="Z4009">
            <v>2</v>
          </cell>
          <cell r="AA4009">
            <v>1000</v>
          </cell>
        </row>
        <row r="4010">
          <cell r="A4010">
            <v>46261</v>
          </cell>
          <cell r="D4010" t="str">
            <v>QUEEN CAROLYN</v>
          </cell>
          <cell r="E4010">
            <v>7</v>
          </cell>
          <cell r="H4010" t="str">
            <v>SAFISCOR</v>
          </cell>
          <cell r="N4010">
            <v>1000</v>
          </cell>
          <cell r="Y4010">
            <v>46262</v>
          </cell>
          <cell r="Z4010">
            <v>1</v>
          </cell>
          <cell r="AA4010">
            <v>1000</v>
          </cell>
        </row>
        <row r="4011">
          <cell r="A4011">
            <v>46261</v>
          </cell>
          <cell r="D4011" t="str">
            <v>STAR ILIGAN</v>
          </cell>
          <cell r="E4011">
            <v>7</v>
          </cell>
          <cell r="H4011" t="str">
            <v>SAFISCOR</v>
          </cell>
          <cell r="N4011">
            <v>1000</v>
          </cell>
          <cell r="Y4011">
            <v>46262</v>
          </cell>
          <cell r="Z4011">
            <v>1</v>
          </cell>
          <cell r="AA4011">
            <v>1000</v>
          </cell>
        </row>
        <row r="4012">
          <cell r="A4012">
            <v>46261</v>
          </cell>
          <cell r="D4012" t="str">
            <v>QUEEN CAROLYN</v>
          </cell>
          <cell r="E4012">
            <v>7</v>
          </cell>
          <cell r="H4012" t="str">
            <v>LAPU-LAPU</v>
          </cell>
          <cell r="N4012">
            <v>1000</v>
          </cell>
          <cell r="Y4012">
            <v>46262</v>
          </cell>
          <cell r="Z4012">
            <v>1</v>
          </cell>
          <cell r="AA4012">
            <v>1000</v>
          </cell>
        </row>
        <row r="4013">
          <cell r="A4013">
            <v>46261</v>
          </cell>
          <cell r="D4013" t="str">
            <v>QUEEN CAROLYN</v>
          </cell>
          <cell r="E4013">
            <v>7</v>
          </cell>
          <cell r="H4013" t="str">
            <v>BADIE</v>
          </cell>
          <cell r="N4013">
            <v>1000</v>
          </cell>
          <cell r="Y4013">
            <v>46262</v>
          </cell>
          <cell r="Z4013">
            <v>1</v>
          </cell>
          <cell r="AA4013">
            <v>1000</v>
          </cell>
        </row>
        <row r="4014">
          <cell r="A4014">
            <v>46261</v>
          </cell>
          <cell r="D4014" t="str">
            <v>QUEEN CAROLYN</v>
          </cell>
          <cell r="E4014">
            <v>7</v>
          </cell>
          <cell r="H4014" t="str">
            <v>SAFISCOR</v>
          </cell>
          <cell r="N4014">
            <v>1000</v>
          </cell>
          <cell r="Y4014">
            <v>46262</v>
          </cell>
          <cell r="Z4014">
            <v>1</v>
          </cell>
          <cell r="AA4014">
            <v>1000</v>
          </cell>
        </row>
        <row r="4015">
          <cell r="A4015">
            <v>46261</v>
          </cell>
          <cell r="D4015" t="str">
            <v>STAR FREEDOM</v>
          </cell>
          <cell r="E4015">
            <v>9</v>
          </cell>
          <cell r="H4015" t="str">
            <v>LAPU-LAPU</v>
          </cell>
          <cell r="N4015">
            <v>1000</v>
          </cell>
          <cell r="Y4015">
            <v>46262</v>
          </cell>
          <cell r="Z4015">
            <v>1</v>
          </cell>
          <cell r="AA4015">
            <v>1000</v>
          </cell>
        </row>
        <row r="4016">
          <cell r="A4016">
            <v>46261</v>
          </cell>
          <cell r="D4016" t="str">
            <v>STAR ILIGAN</v>
          </cell>
          <cell r="E4016">
            <v>7</v>
          </cell>
          <cell r="H4016" t="str">
            <v>SAFISCOR</v>
          </cell>
          <cell r="N4016">
            <v>1000</v>
          </cell>
          <cell r="Y4016">
            <v>46262</v>
          </cell>
          <cell r="Z4016">
            <v>1</v>
          </cell>
          <cell r="AA4016">
            <v>1000</v>
          </cell>
        </row>
        <row r="4017">
          <cell r="A4017">
            <v>46262</v>
          </cell>
          <cell r="D4017" t="str">
            <v>QUEEN CAROLYN</v>
          </cell>
          <cell r="E4017">
            <v>7</v>
          </cell>
          <cell r="H4017" t="str">
            <v>SAFISCOR</v>
          </cell>
          <cell r="N4017">
            <v>1000</v>
          </cell>
          <cell r="Y4017">
            <v>46262</v>
          </cell>
          <cell r="Z4017">
            <v>1</v>
          </cell>
          <cell r="AA4017">
            <v>1000</v>
          </cell>
        </row>
        <row r="4018">
          <cell r="A4018">
            <v>46262</v>
          </cell>
          <cell r="D4018" t="str">
            <v>STAR ILIGAN</v>
          </cell>
          <cell r="E4018">
            <v>7</v>
          </cell>
          <cell r="H4018" t="str">
            <v>SAFISCOR</v>
          </cell>
          <cell r="N4018">
            <v>1000</v>
          </cell>
          <cell r="Y4018">
            <v>46262</v>
          </cell>
          <cell r="Z4018">
            <v>2</v>
          </cell>
          <cell r="AA4018">
            <v>1000</v>
          </cell>
        </row>
        <row r="4019">
          <cell r="A4019">
            <v>46262</v>
          </cell>
          <cell r="D4019" t="str">
            <v>STAR FREEDOM</v>
          </cell>
          <cell r="E4019">
            <v>9</v>
          </cell>
          <cell r="H4019" t="str">
            <v>SAFISCOR</v>
          </cell>
          <cell r="N4019">
            <v>1000</v>
          </cell>
          <cell r="Y4019">
            <v>46262</v>
          </cell>
          <cell r="Z4019">
            <v>1</v>
          </cell>
          <cell r="AA4019">
            <v>1000</v>
          </cell>
        </row>
        <row r="4020">
          <cell r="A4020">
            <v>46262</v>
          </cell>
          <cell r="D4020" t="str">
            <v>QUEEN CAROLYN</v>
          </cell>
          <cell r="E4020">
            <v>7</v>
          </cell>
          <cell r="H4020" t="str">
            <v>SAFISCOR</v>
          </cell>
          <cell r="N4020">
            <v>1000</v>
          </cell>
          <cell r="Y4020">
            <v>46262</v>
          </cell>
          <cell r="Z4020">
            <v>1</v>
          </cell>
          <cell r="AA4020">
            <v>1000</v>
          </cell>
        </row>
        <row r="4021">
          <cell r="A4021">
            <v>46262</v>
          </cell>
          <cell r="D4021" t="str">
            <v>QUEEN CAROLYN</v>
          </cell>
          <cell r="E4021">
            <v>7</v>
          </cell>
          <cell r="H4021" t="str">
            <v>LAPU-LAPU</v>
          </cell>
          <cell r="N4021">
            <v>1000</v>
          </cell>
          <cell r="Y4021">
            <v>46262</v>
          </cell>
          <cell r="Z4021">
            <v>1</v>
          </cell>
          <cell r="AA4021">
            <v>1000</v>
          </cell>
        </row>
        <row r="4022">
          <cell r="A4022">
            <v>46262</v>
          </cell>
          <cell r="D4022" t="str">
            <v>STAR DINAGAT</v>
          </cell>
          <cell r="E4022">
            <v>2</v>
          </cell>
          <cell r="H4022" t="str">
            <v>FULACHE</v>
          </cell>
          <cell r="N4022">
            <v>1000</v>
          </cell>
          <cell r="Y4022">
            <v>46262</v>
          </cell>
          <cell r="Z4022">
            <v>1</v>
          </cell>
          <cell r="AA4022">
            <v>1000</v>
          </cell>
        </row>
        <row r="4023">
          <cell r="A4023">
            <v>46262</v>
          </cell>
          <cell r="D4023" t="str">
            <v>STAR FREEDOM</v>
          </cell>
          <cell r="E4023">
            <v>9</v>
          </cell>
          <cell r="H4023" t="str">
            <v>LAPU-LAPU</v>
          </cell>
          <cell r="N4023">
            <v>1000</v>
          </cell>
          <cell r="Y4023">
            <v>46262</v>
          </cell>
          <cell r="Z4023">
            <v>1</v>
          </cell>
          <cell r="AA4023">
            <v>1000</v>
          </cell>
        </row>
        <row r="4024">
          <cell r="A4024">
            <v>46262</v>
          </cell>
          <cell r="D4024" t="str">
            <v xml:space="preserve">STAR SOGOD </v>
          </cell>
          <cell r="E4024">
            <v>8</v>
          </cell>
          <cell r="H4024" t="str">
            <v>GEO</v>
          </cell>
          <cell r="N4024">
            <v>1000</v>
          </cell>
          <cell r="Y4024">
            <v>46262</v>
          </cell>
          <cell r="Z4024">
            <v>2</v>
          </cell>
          <cell r="AA4024">
            <v>1000</v>
          </cell>
        </row>
        <row r="4025">
          <cell r="A4025">
            <v>46262</v>
          </cell>
          <cell r="D4025" t="str">
            <v>STAR DINAGAT</v>
          </cell>
          <cell r="E4025">
            <v>2</v>
          </cell>
          <cell r="H4025" t="str">
            <v>SAFISCOR</v>
          </cell>
          <cell r="N4025">
            <v>1000</v>
          </cell>
          <cell r="Y4025">
            <v>46262</v>
          </cell>
          <cell r="Z4025">
            <v>1</v>
          </cell>
          <cell r="AA4025">
            <v>1000</v>
          </cell>
        </row>
        <row r="4026">
          <cell r="A4026">
            <v>46262</v>
          </cell>
          <cell r="D4026" t="str">
            <v>STAR DINAGAT</v>
          </cell>
          <cell r="E4026">
            <v>2</v>
          </cell>
          <cell r="H4026" t="str">
            <v>SAFISCOR</v>
          </cell>
          <cell r="N4026">
            <v>1000</v>
          </cell>
          <cell r="Y4026">
            <v>46262</v>
          </cell>
          <cell r="Z4026">
            <v>2</v>
          </cell>
          <cell r="AA4026">
            <v>1000</v>
          </cell>
        </row>
        <row r="4027">
          <cell r="A4027">
            <v>46262</v>
          </cell>
          <cell r="D4027" t="str">
            <v>STAR DINAGAT</v>
          </cell>
          <cell r="E4027">
            <v>2</v>
          </cell>
          <cell r="H4027" t="str">
            <v>SAFISCOR</v>
          </cell>
          <cell r="N4027">
            <v>1000</v>
          </cell>
          <cell r="Y4027">
            <v>46262</v>
          </cell>
          <cell r="Z4027">
            <v>2</v>
          </cell>
          <cell r="AA4027">
            <v>1000</v>
          </cell>
        </row>
        <row r="4028">
          <cell r="A4028">
            <v>46262</v>
          </cell>
          <cell r="D4028" t="str">
            <v xml:space="preserve">STAR SOGOD </v>
          </cell>
          <cell r="E4028">
            <v>8</v>
          </cell>
          <cell r="H4028" t="str">
            <v>SAFISCOR</v>
          </cell>
          <cell r="N4028">
            <v>1000</v>
          </cell>
          <cell r="Y4028">
            <v>46262</v>
          </cell>
          <cell r="Z4028">
            <v>2</v>
          </cell>
          <cell r="AA4028">
            <v>1000</v>
          </cell>
        </row>
        <row r="4029">
          <cell r="A4029">
            <v>46262</v>
          </cell>
          <cell r="D4029" t="str">
            <v>STAR DINAGAT</v>
          </cell>
          <cell r="E4029">
            <v>2</v>
          </cell>
          <cell r="H4029" t="str">
            <v>SAFISCOR</v>
          </cell>
          <cell r="N4029">
            <v>1000</v>
          </cell>
          <cell r="Y4029">
            <v>46262</v>
          </cell>
          <cell r="Z4029">
            <v>1</v>
          </cell>
          <cell r="AA4029">
            <v>1000</v>
          </cell>
        </row>
        <row r="4030">
          <cell r="A4030">
            <v>46262</v>
          </cell>
          <cell r="D4030" t="str">
            <v>STAR DINAGAT</v>
          </cell>
          <cell r="E4030">
            <v>2</v>
          </cell>
          <cell r="H4030" t="str">
            <v>LAPU-LAPU</v>
          </cell>
          <cell r="N4030">
            <v>1000</v>
          </cell>
          <cell r="Y4030">
            <v>46262</v>
          </cell>
          <cell r="Z4030">
            <v>1</v>
          </cell>
          <cell r="AA4030">
            <v>1000</v>
          </cell>
        </row>
        <row r="4031">
          <cell r="A4031">
            <v>46262</v>
          </cell>
          <cell r="D4031" t="str">
            <v xml:space="preserve">STAR SOGOD </v>
          </cell>
          <cell r="E4031">
            <v>8</v>
          </cell>
          <cell r="H4031" t="str">
            <v>LAPU-LAPU</v>
          </cell>
          <cell r="N4031">
            <v>1000</v>
          </cell>
          <cell r="Y4031">
            <v>46262</v>
          </cell>
          <cell r="Z4031">
            <v>2</v>
          </cell>
          <cell r="AA4031">
            <v>1000</v>
          </cell>
        </row>
        <row r="4032">
          <cell r="A4032">
            <v>46262</v>
          </cell>
          <cell r="D4032" t="str">
            <v xml:space="preserve">STAR SOGOD </v>
          </cell>
          <cell r="E4032">
            <v>8</v>
          </cell>
          <cell r="H4032" t="str">
            <v>APLUS</v>
          </cell>
          <cell r="N4032">
            <v>1000</v>
          </cell>
          <cell r="Y4032">
            <v>46262</v>
          </cell>
          <cell r="Z4032">
            <v>2</v>
          </cell>
          <cell r="AA4032">
            <v>1000</v>
          </cell>
        </row>
        <row r="4034">
          <cell r="A4034">
            <v>46262</v>
          </cell>
          <cell r="D4034" t="str">
            <v>LADY OF PEACE</v>
          </cell>
          <cell r="E4034">
            <v>6</v>
          </cell>
          <cell r="H4034" t="str">
            <v>SAFISCOR</v>
          </cell>
          <cell r="N4034">
            <v>1000</v>
          </cell>
          <cell r="Y4034">
            <v>46264</v>
          </cell>
          <cell r="Z4034">
            <v>2</v>
          </cell>
          <cell r="AA4034">
            <v>1000</v>
          </cell>
        </row>
        <row r="4035">
          <cell r="A4035">
            <v>46262</v>
          </cell>
          <cell r="D4035" t="str">
            <v>STAR DINAGAT</v>
          </cell>
          <cell r="E4035">
            <v>2</v>
          </cell>
          <cell r="H4035" t="str">
            <v>BADIE</v>
          </cell>
          <cell r="N4035">
            <v>1000</v>
          </cell>
          <cell r="Y4035">
            <v>46262</v>
          </cell>
          <cell r="Z4035">
            <v>2</v>
          </cell>
          <cell r="AA4035">
            <v>1000</v>
          </cell>
        </row>
        <row r="4036">
          <cell r="A4036">
            <v>46262</v>
          </cell>
          <cell r="D4036" t="str">
            <v>STAR DINAGAT</v>
          </cell>
          <cell r="E4036">
            <v>2</v>
          </cell>
          <cell r="H4036" t="str">
            <v>APLUS</v>
          </cell>
          <cell r="N4036">
            <v>1000</v>
          </cell>
          <cell r="Y4036">
            <v>46262</v>
          </cell>
          <cell r="Z4036">
            <v>1</v>
          </cell>
          <cell r="AA4036">
            <v>1000</v>
          </cell>
        </row>
        <row r="4037">
          <cell r="A4037">
            <v>46262</v>
          </cell>
          <cell r="D4037" t="str">
            <v xml:space="preserve">STAR SOGOD </v>
          </cell>
          <cell r="E4037">
            <v>8</v>
          </cell>
          <cell r="H4037" t="str">
            <v>SAFISCOR</v>
          </cell>
          <cell r="N4037">
            <v>1000</v>
          </cell>
          <cell r="Y4037">
            <v>46262</v>
          </cell>
          <cell r="Z4037">
            <v>2</v>
          </cell>
          <cell r="AA4037">
            <v>1000</v>
          </cell>
        </row>
        <row r="4038">
          <cell r="A4038">
            <v>46262</v>
          </cell>
          <cell r="D4038" t="str">
            <v xml:space="preserve">STAR SOGOD </v>
          </cell>
          <cell r="E4038">
            <v>8</v>
          </cell>
          <cell r="H4038" t="str">
            <v>SAFISCOR</v>
          </cell>
          <cell r="N4038">
            <v>1000</v>
          </cell>
          <cell r="Y4038">
            <v>46262</v>
          </cell>
          <cell r="Z4038">
            <v>2</v>
          </cell>
          <cell r="AA4038">
            <v>1000</v>
          </cell>
        </row>
        <row r="4039">
          <cell r="A4039">
            <v>46262</v>
          </cell>
          <cell r="D4039" t="str">
            <v>STAR DINAGAT</v>
          </cell>
          <cell r="E4039">
            <v>2</v>
          </cell>
          <cell r="H4039" t="str">
            <v>SAFISCOR</v>
          </cell>
          <cell r="N4039">
            <v>1000</v>
          </cell>
          <cell r="Y4039">
            <v>46262</v>
          </cell>
          <cell r="Z4039">
            <v>2</v>
          </cell>
          <cell r="AA4039">
            <v>1000</v>
          </cell>
        </row>
        <row r="4040">
          <cell r="A4040">
            <v>46262</v>
          </cell>
          <cell r="D4040" t="str">
            <v>STAR DINAGAT</v>
          </cell>
          <cell r="E4040">
            <v>2</v>
          </cell>
          <cell r="H4040" t="str">
            <v>SAFISCOR</v>
          </cell>
          <cell r="N4040">
            <v>1000</v>
          </cell>
          <cell r="Y4040">
            <v>46262</v>
          </cell>
          <cell r="Z4040">
            <v>2</v>
          </cell>
          <cell r="AA4040">
            <v>1000</v>
          </cell>
        </row>
        <row r="4041">
          <cell r="A4041">
            <v>46262</v>
          </cell>
          <cell r="D4041" t="str">
            <v>STAR DINAGAT</v>
          </cell>
          <cell r="E4041">
            <v>2</v>
          </cell>
          <cell r="H4041" t="str">
            <v>GEO</v>
          </cell>
          <cell r="N4041">
            <v>1000</v>
          </cell>
          <cell r="Y4041">
            <v>46262</v>
          </cell>
          <cell r="Z4041">
            <v>1</v>
          </cell>
          <cell r="AA4041">
            <v>1000</v>
          </cell>
        </row>
        <row r="4042">
          <cell r="A4042">
            <v>46262</v>
          </cell>
          <cell r="D4042" t="str">
            <v>QUEEN CAROLYN</v>
          </cell>
          <cell r="E4042">
            <v>7</v>
          </cell>
          <cell r="H4042" t="str">
            <v>FULACHE</v>
          </cell>
          <cell r="N4042">
            <v>1000</v>
          </cell>
          <cell r="Y4042">
            <v>46262</v>
          </cell>
          <cell r="Z4042">
            <v>1</v>
          </cell>
          <cell r="AA4042">
            <v>1000</v>
          </cell>
        </row>
        <row r="4043">
          <cell r="A4043">
            <v>46262</v>
          </cell>
          <cell r="D4043" t="str">
            <v>STAR DINAGAT</v>
          </cell>
          <cell r="E4043">
            <v>2</v>
          </cell>
          <cell r="H4043" t="str">
            <v>LAPU-LAPU</v>
          </cell>
          <cell r="N4043">
            <v>1000</v>
          </cell>
          <cell r="Y4043">
            <v>46262</v>
          </cell>
          <cell r="Z4043">
            <v>2</v>
          </cell>
          <cell r="AA4043">
            <v>1000</v>
          </cell>
        </row>
        <row r="4044">
          <cell r="A4044">
            <v>46262</v>
          </cell>
          <cell r="D4044" t="str">
            <v>STAR DINAGAT</v>
          </cell>
          <cell r="E4044">
            <v>2</v>
          </cell>
          <cell r="H4044" t="str">
            <v>LAPU-LAPU</v>
          </cell>
          <cell r="N4044">
            <v>1000</v>
          </cell>
          <cell r="Y4044">
            <v>46262</v>
          </cell>
          <cell r="Z4044">
            <v>1</v>
          </cell>
          <cell r="AA4044">
            <v>1000</v>
          </cell>
        </row>
        <row r="4045">
          <cell r="A4045">
            <v>46262</v>
          </cell>
          <cell r="D4045" t="str">
            <v>QUEEN CAROLYN</v>
          </cell>
          <cell r="E4045">
            <v>7</v>
          </cell>
          <cell r="H4045" t="str">
            <v>SAFISCOR</v>
          </cell>
          <cell r="N4045">
            <v>1000</v>
          </cell>
          <cell r="Y4045">
            <v>46262</v>
          </cell>
          <cell r="Z4045">
            <v>1</v>
          </cell>
          <cell r="AA4045">
            <v>1000</v>
          </cell>
        </row>
        <row r="4046">
          <cell r="A4046">
            <v>46262</v>
          </cell>
          <cell r="D4046" t="str">
            <v>QUEEN CAROLYN</v>
          </cell>
          <cell r="E4046">
            <v>7</v>
          </cell>
          <cell r="H4046" t="str">
            <v>SAFISCOR</v>
          </cell>
          <cell r="N4046">
            <v>1000</v>
          </cell>
          <cell r="Y4046">
            <v>46262</v>
          </cell>
          <cell r="Z4046">
            <v>1</v>
          </cell>
          <cell r="AA4046">
            <v>1000</v>
          </cell>
        </row>
        <row r="4047">
          <cell r="A4047">
            <v>46262</v>
          </cell>
          <cell r="D4047" t="str">
            <v>STAR DINAGAT</v>
          </cell>
          <cell r="E4047">
            <v>2</v>
          </cell>
          <cell r="H4047" t="str">
            <v>FULACHE</v>
          </cell>
          <cell r="N4047">
            <v>1000</v>
          </cell>
          <cell r="Y4047">
            <v>46262</v>
          </cell>
          <cell r="Z4047">
            <v>1</v>
          </cell>
          <cell r="AA4047">
            <v>1000</v>
          </cell>
        </row>
        <row r="4048">
          <cell r="A4048">
            <v>46262</v>
          </cell>
          <cell r="D4048" t="str">
            <v>QUEEN CAROLYN</v>
          </cell>
          <cell r="E4048">
            <v>7</v>
          </cell>
          <cell r="H4048" t="str">
            <v>SAFISCOR</v>
          </cell>
          <cell r="N4048">
            <v>500</v>
          </cell>
          <cell r="Y4048">
            <v>46262</v>
          </cell>
          <cell r="Z4048">
            <v>1</v>
          </cell>
          <cell r="AA4048">
            <v>500</v>
          </cell>
        </row>
        <row r="4049">
          <cell r="A4049">
            <v>46262</v>
          </cell>
          <cell r="D4049" t="str">
            <v xml:space="preserve">STAR SOGOD </v>
          </cell>
          <cell r="E4049">
            <v>8</v>
          </cell>
          <cell r="H4049" t="str">
            <v>SAFISCOR</v>
          </cell>
          <cell r="N4049">
            <v>500</v>
          </cell>
          <cell r="Y4049">
            <v>46263</v>
          </cell>
          <cell r="Z4049">
            <v>1</v>
          </cell>
          <cell r="AA4049">
            <v>500</v>
          </cell>
        </row>
        <row r="4050">
          <cell r="A4050">
            <v>46262</v>
          </cell>
          <cell r="D4050" t="str">
            <v>STAR FREEDOM</v>
          </cell>
          <cell r="E4050">
            <v>9</v>
          </cell>
          <cell r="H4050" t="str">
            <v>LAPU-LAPU</v>
          </cell>
          <cell r="N4050">
            <v>1000</v>
          </cell>
          <cell r="Y4050">
            <v>46262</v>
          </cell>
          <cell r="Z4050">
            <v>1</v>
          </cell>
          <cell r="AA4050">
            <v>1000</v>
          </cell>
        </row>
        <row r="4051">
          <cell r="A4051">
            <v>46262</v>
          </cell>
          <cell r="D4051" t="str">
            <v>QUEEN CAROLYN</v>
          </cell>
          <cell r="E4051">
            <v>7</v>
          </cell>
          <cell r="H4051" t="str">
            <v>SAFISCOR</v>
          </cell>
          <cell r="N4051">
            <v>1000</v>
          </cell>
          <cell r="Y4051">
            <v>46262</v>
          </cell>
          <cell r="Z4051">
            <v>1</v>
          </cell>
          <cell r="AA4051">
            <v>1000</v>
          </cell>
        </row>
        <row r="4052">
          <cell r="A4052">
            <v>46262</v>
          </cell>
          <cell r="D4052" t="str">
            <v>QUEEN CAROLYN</v>
          </cell>
          <cell r="E4052">
            <v>7</v>
          </cell>
          <cell r="H4052" t="str">
            <v>LAPU-LAPU</v>
          </cell>
          <cell r="N4052">
            <v>500</v>
          </cell>
          <cell r="Y4052">
            <v>46262</v>
          </cell>
          <cell r="Z4052">
            <v>1</v>
          </cell>
          <cell r="AA4052">
            <v>500</v>
          </cell>
        </row>
        <row r="4053">
          <cell r="A4053">
            <v>46262</v>
          </cell>
          <cell r="D4053" t="str">
            <v xml:space="preserve">STAR SOGOD </v>
          </cell>
          <cell r="E4053">
            <v>8</v>
          </cell>
          <cell r="H4053" t="str">
            <v>SAFISCOR</v>
          </cell>
          <cell r="N4053">
            <v>1000</v>
          </cell>
          <cell r="Y4053">
            <v>46263</v>
          </cell>
          <cell r="Z4053">
            <v>1</v>
          </cell>
          <cell r="AA4053">
            <v>1000</v>
          </cell>
        </row>
        <row r="4054">
          <cell r="A4054">
            <v>46262</v>
          </cell>
          <cell r="D4054" t="str">
            <v xml:space="preserve">STAR SOGOD </v>
          </cell>
          <cell r="E4054">
            <v>8</v>
          </cell>
          <cell r="H4054" t="str">
            <v>SAFISCOR</v>
          </cell>
          <cell r="N4054">
            <v>1000</v>
          </cell>
          <cell r="Y4054">
            <v>46262</v>
          </cell>
          <cell r="Z4054">
            <v>2</v>
          </cell>
          <cell r="AA4054">
            <v>1000</v>
          </cell>
        </row>
        <row r="4055">
          <cell r="A4055">
            <v>46262</v>
          </cell>
          <cell r="D4055" t="str">
            <v xml:space="preserve">STAR SOGOD </v>
          </cell>
          <cell r="E4055">
            <v>8</v>
          </cell>
          <cell r="H4055" t="str">
            <v>SAFISCOR</v>
          </cell>
          <cell r="N4055">
            <v>1000</v>
          </cell>
          <cell r="Y4055">
            <v>46262</v>
          </cell>
          <cell r="Z4055">
            <v>2</v>
          </cell>
          <cell r="AA4055">
            <v>1000</v>
          </cell>
        </row>
        <row r="4056">
          <cell r="A4056">
            <v>46262</v>
          </cell>
          <cell r="D4056" t="str">
            <v xml:space="preserve">STAR SOGOD </v>
          </cell>
          <cell r="E4056">
            <v>8</v>
          </cell>
          <cell r="H4056" t="str">
            <v>APLUS</v>
          </cell>
          <cell r="N4056">
            <v>1000</v>
          </cell>
          <cell r="Y4056">
            <v>46262</v>
          </cell>
          <cell r="Z4056">
            <v>2</v>
          </cell>
          <cell r="AA4056">
            <v>1000</v>
          </cell>
        </row>
        <row r="4057">
          <cell r="A4057">
            <v>46262</v>
          </cell>
          <cell r="D4057" t="str">
            <v xml:space="preserve">STAR SOGOD </v>
          </cell>
          <cell r="E4057">
            <v>8</v>
          </cell>
          <cell r="H4057" t="str">
            <v>GEO</v>
          </cell>
          <cell r="N4057">
            <v>1000</v>
          </cell>
          <cell r="Y4057">
            <v>46262</v>
          </cell>
          <cell r="Z4057">
            <v>2</v>
          </cell>
          <cell r="AA4057">
            <v>1000</v>
          </cell>
        </row>
        <row r="4058">
          <cell r="A4058">
            <v>46262</v>
          </cell>
          <cell r="D4058" t="str">
            <v xml:space="preserve">STAR SOGOD </v>
          </cell>
          <cell r="E4058">
            <v>8</v>
          </cell>
          <cell r="H4058" t="str">
            <v>GEO</v>
          </cell>
          <cell r="N4058">
            <v>1000</v>
          </cell>
          <cell r="Y4058">
            <v>46263</v>
          </cell>
          <cell r="Z4058">
            <v>1</v>
          </cell>
          <cell r="AA4058">
            <v>1000</v>
          </cell>
        </row>
        <row r="4059">
          <cell r="A4059">
            <v>46262</v>
          </cell>
          <cell r="D4059" t="str">
            <v xml:space="preserve">STAR SOGOD </v>
          </cell>
          <cell r="E4059">
            <v>8</v>
          </cell>
          <cell r="H4059" t="str">
            <v>LAPU-LAPU</v>
          </cell>
          <cell r="N4059">
            <v>1000</v>
          </cell>
          <cell r="Y4059">
            <v>46262</v>
          </cell>
          <cell r="Z4059">
            <v>2</v>
          </cell>
          <cell r="AA4059">
            <v>1000</v>
          </cell>
        </row>
        <row r="4060">
          <cell r="A4060">
            <v>46262</v>
          </cell>
          <cell r="D4060" t="str">
            <v xml:space="preserve">STAR SOGOD </v>
          </cell>
          <cell r="E4060">
            <v>8</v>
          </cell>
          <cell r="H4060" t="str">
            <v>LAPU-LAPU</v>
          </cell>
          <cell r="N4060">
            <v>1000</v>
          </cell>
          <cell r="Y4060">
            <v>46262</v>
          </cell>
          <cell r="Z4060">
            <v>2</v>
          </cell>
          <cell r="AA4060">
            <v>1000</v>
          </cell>
        </row>
        <row r="4061">
          <cell r="A4061">
            <v>46262</v>
          </cell>
          <cell r="D4061" t="str">
            <v xml:space="preserve">STAR SOGOD </v>
          </cell>
          <cell r="E4061">
            <v>8</v>
          </cell>
          <cell r="H4061" t="str">
            <v>SAFISCOR</v>
          </cell>
          <cell r="N4061">
            <v>1000</v>
          </cell>
          <cell r="Y4061">
            <v>46263</v>
          </cell>
          <cell r="Z4061">
            <v>1</v>
          </cell>
          <cell r="AA4061">
            <v>1000</v>
          </cell>
        </row>
        <row r="4062">
          <cell r="A4062">
            <v>46262</v>
          </cell>
          <cell r="D4062" t="str">
            <v>STAR ILIGAN</v>
          </cell>
          <cell r="E4062">
            <v>7</v>
          </cell>
          <cell r="H4062" t="str">
            <v>SAFISCOR</v>
          </cell>
          <cell r="N4062">
            <v>1000</v>
          </cell>
          <cell r="Y4062">
            <v>46262</v>
          </cell>
          <cell r="Z4062">
            <v>2</v>
          </cell>
          <cell r="AA4062">
            <v>1000</v>
          </cell>
        </row>
        <row r="4063">
          <cell r="A4063">
            <v>46262</v>
          </cell>
          <cell r="D4063" t="str">
            <v>STAR FREEDOM</v>
          </cell>
          <cell r="E4063">
            <v>9</v>
          </cell>
          <cell r="H4063" t="str">
            <v>SAFISCOR</v>
          </cell>
          <cell r="N4063">
            <v>1000</v>
          </cell>
          <cell r="Y4063">
            <v>46262</v>
          </cell>
          <cell r="Z4063">
            <v>2</v>
          </cell>
          <cell r="AA4063">
            <v>1000</v>
          </cell>
        </row>
        <row r="4064">
          <cell r="A4064">
            <v>46262</v>
          </cell>
          <cell r="D4064" t="str">
            <v xml:space="preserve">STAR SOGOD </v>
          </cell>
          <cell r="E4064">
            <v>8</v>
          </cell>
          <cell r="H4064" t="str">
            <v>SAFISCOR</v>
          </cell>
          <cell r="N4064">
            <v>1000</v>
          </cell>
          <cell r="Y4064">
            <v>46263</v>
          </cell>
          <cell r="Z4064">
            <v>1</v>
          </cell>
          <cell r="AA4064">
            <v>1000</v>
          </cell>
        </row>
        <row r="4065">
          <cell r="A4065">
            <v>46262</v>
          </cell>
          <cell r="D4065" t="str">
            <v>STAR DINAGAT</v>
          </cell>
          <cell r="E4065">
            <v>2</v>
          </cell>
          <cell r="H4065" t="str">
            <v>SAFISCOR</v>
          </cell>
          <cell r="N4065">
            <v>1000</v>
          </cell>
          <cell r="Y4065">
            <v>46262</v>
          </cell>
          <cell r="Z4065">
            <v>2</v>
          </cell>
          <cell r="AA4065">
            <v>1000</v>
          </cell>
        </row>
        <row r="4066">
          <cell r="A4066">
            <v>46262</v>
          </cell>
          <cell r="D4066" t="str">
            <v xml:space="preserve">STAR SOGOD </v>
          </cell>
          <cell r="E4066">
            <v>8</v>
          </cell>
          <cell r="H4066" t="str">
            <v>GEO</v>
          </cell>
          <cell r="N4066">
            <v>1000</v>
          </cell>
          <cell r="Y4066">
            <v>46262</v>
          </cell>
          <cell r="Z4066">
            <v>2</v>
          </cell>
          <cell r="AA4066">
            <v>1000</v>
          </cell>
        </row>
        <row r="4067">
          <cell r="A4067">
            <v>46262</v>
          </cell>
          <cell r="D4067" t="str">
            <v xml:space="preserve">STAR SOGOD </v>
          </cell>
          <cell r="E4067">
            <v>8</v>
          </cell>
          <cell r="H4067" t="str">
            <v>GEO</v>
          </cell>
          <cell r="N4067">
            <v>1000</v>
          </cell>
          <cell r="Y4067">
            <v>46263</v>
          </cell>
          <cell r="Z4067">
            <v>1</v>
          </cell>
          <cell r="AA4067">
            <v>1000</v>
          </cell>
        </row>
        <row r="4068">
          <cell r="A4068">
            <v>46262</v>
          </cell>
          <cell r="D4068" t="str">
            <v>STAR ILIGAN</v>
          </cell>
          <cell r="E4068">
            <v>7</v>
          </cell>
          <cell r="H4068" t="str">
            <v>SAFISCOR</v>
          </cell>
          <cell r="N4068">
            <v>1000</v>
          </cell>
          <cell r="Y4068">
            <v>46262</v>
          </cell>
          <cell r="Z4068">
            <v>2</v>
          </cell>
          <cell r="AA4068">
            <v>1000</v>
          </cell>
        </row>
        <row r="4069">
          <cell r="A4069">
            <v>46262</v>
          </cell>
          <cell r="D4069" t="str">
            <v>STAR DINAGAT</v>
          </cell>
          <cell r="E4069">
            <v>2</v>
          </cell>
          <cell r="H4069" t="str">
            <v>SAFISCOR</v>
          </cell>
          <cell r="N4069">
            <v>1000</v>
          </cell>
          <cell r="Y4069">
            <v>46262</v>
          </cell>
          <cell r="Z4069">
            <v>2</v>
          </cell>
          <cell r="AA4069">
            <v>1000</v>
          </cell>
        </row>
        <row r="4070">
          <cell r="A4070">
            <v>46262</v>
          </cell>
          <cell r="D4070" t="str">
            <v>STAR DINAGAT</v>
          </cell>
          <cell r="E4070">
            <v>2</v>
          </cell>
          <cell r="H4070" t="str">
            <v>SAFISCOR</v>
          </cell>
          <cell r="N4070">
            <v>1000</v>
          </cell>
          <cell r="Y4070">
            <v>46262</v>
          </cell>
          <cell r="Z4070">
            <v>2</v>
          </cell>
          <cell r="AA4070">
            <v>1000</v>
          </cell>
        </row>
        <row r="4071">
          <cell r="A4071">
            <v>46262</v>
          </cell>
          <cell r="D4071" t="str">
            <v>STAR FREEDOM</v>
          </cell>
          <cell r="E4071">
            <v>9</v>
          </cell>
          <cell r="H4071" t="str">
            <v>SAFISCOR</v>
          </cell>
          <cell r="N4071">
            <v>1000</v>
          </cell>
          <cell r="Y4071">
            <v>46262</v>
          </cell>
          <cell r="Z4071">
            <v>2</v>
          </cell>
          <cell r="AA4071">
            <v>1000</v>
          </cell>
        </row>
        <row r="4072">
          <cell r="A4072">
            <v>46262</v>
          </cell>
          <cell r="D4072" t="str">
            <v>STAR DINAGAT</v>
          </cell>
          <cell r="E4072">
            <v>2</v>
          </cell>
          <cell r="H4072" t="str">
            <v>SAFISCOR</v>
          </cell>
          <cell r="N4072">
            <v>500</v>
          </cell>
          <cell r="Y4072">
            <v>46262</v>
          </cell>
          <cell r="Z4072">
            <v>2</v>
          </cell>
          <cell r="AA4072">
            <v>500</v>
          </cell>
        </row>
        <row r="4073">
          <cell r="A4073">
            <v>46262</v>
          </cell>
          <cell r="D4073" t="str">
            <v xml:space="preserve">STAR SOGOD </v>
          </cell>
          <cell r="E4073">
            <v>8</v>
          </cell>
          <cell r="H4073" t="str">
            <v>SAFISCOR</v>
          </cell>
          <cell r="N4073">
            <v>500</v>
          </cell>
          <cell r="Y4073">
            <v>46262</v>
          </cell>
          <cell r="Z4073">
            <v>2</v>
          </cell>
          <cell r="AA4073">
            <v>500</v>
          </cell>
        </row>
        <row r="4074">
          <cell r="A4074">
            <v>46262</v>
          </cell>
          <cell r="D4074" t="str">
            <v>STAR DINAGAT</v>
          </cell>
          <cell r="E4074">
            <v>2</v>
          </cell>
          <cell r="H4074" t="str">
            <v>SAFISCOR</v>
          </cell>
          <cell r="N4074">
            <v>1000</v>
          </cell>
          <cell r="Y4074">
            <v>46262</v>
          </cell>
          <cell r="Z4074">
            <v>2</v>
          </cell>
          <cell r="AA4074">
            <v>1000</v>
          </cell>
        </row>
        <row r="4075">
          <cell r="A4075">
            <v>46262</v>
          </cell>
          <cell r="D4075" t="str">
            <v xml:space="preserve">STAR SOGOD </v>
          </cell>
          <cell r="E4075">
            <v>8</v>
          </cell>
          <cell r="H4075" t="str">
            <v>LAPU-LAPU</v>
          </cell>
          <cell r="N4075">
            <v>1000</v>
          </cell>
          <cell r="Y4075">
            <v>46262</v>
          </cell>
          <cell r="Z4075">
            <v>2</v>
          </cell>
          <cell r="AA4075">
            <v>1000</v>
          </cell>
        </row>
        <row r="4076">
          <cell r="A4076">
            <v>46262</v>
          </cell>
          <cell r="D4076" t="str">
            <v>STAR FREEDOM</v>
          </cell>
          <cell r="E4076">
            <v>9</v>
          </cell>
          <cell r="H4076" t="str">
            <v>SAFISCOR</v>
          </cell>
          <cell r="N4076">
            <v>1000</v>
          </cell>
          <cell r="Y4076">
            <v>46262</v>
          </cell>
          <cell r="Z4076">
            <v>2</v>
          </cell>
          <cell r="AA4076">
            <v>1000</v>
          </cell>
        </row>
        <row r="4077">
          <cell r="A4077">
            <v>46262</v>
          </cell>
          <cell r="D4077" t="str">
            <v>STAR FREEDOM</v>
          </cell>
          <cell r="E4077">
            <v>9</v>
          </cell>
          <cell r="H4077" t="str">
            <v>SAFISCOR</v>
          </cell>
          <cell r="N4077">
            <v>1000</v>
          </cell>
          <cell r="Y4077">
            <v>46262</v>
          </cell>
          <cell r="Z4077">
            <v>2</v>
          </cell>
          <cell r="AA4077">
            <v>1000</v>
          </cell>
        </row>
        <row r="4078">
          <cell r="A4078">
            <v>46262</v>
          </cell>
          <cell r="D4078" t="str">
            <v>STAR FREEDOM</v>
          </cell>
          <cell r="E4078">
            <v>9</v>
          </cell>
          <cell r="H4078" t="str">
            <v>SAFISCOR</v>
          </cell>
          <cell r="N4078">
            <v>1000</v>
          </cell>
          <cell r="Y4078">
            <v>46262</v>
          </cell>
          <cell r="Z4078">
            <v>2</v>
          </cell>
          <cell r="AA4078">
            <v>1000</v>
          </cell>
        </row>
        <row r="4079">
          <cell r="A4079">
            <v>46262</v>
          </cell>
          <cell r="D4079" t="str">
            <v>STAR ILIGAN</v>
          </cell>
          <cell r="E4079">
            <v>7</v>
          </cell>
          <cell r="H4079" t="str">
            <v>SAFISCOR</v>
          </cell>
          <cell r="N4079">
            <v>1000</v>
          </cell>
          <cell r="Y4079">
            <v>46262</v>
          </cell>
          <cell r="Z4079">
            <v>2</v>
          </cell>
          <cell r="AA4079">
            <v>1000</v>
          </cell>
        </row>
        <row r="4080">
          <cell r="A4080">
            <v>46262</v>
          </cell>
          <cell r="D4080" t="str">
            <v>STAR FREEDOM</v>
          </cell>
          <cell r="E4080">
            <v>9</v>
          </cell>
          <cell r="H4080" t="str">
            <v>SAFISCOR</v>
          </cell>
          <cell r="N4080">
            <v>1000</v>
          </cell>
          <cell r="Y4080">
            <v>46262</v>
          </cell>
          <cell r="Z4080">
            <v>2</v>
          </cell>
          <cell r="AA4080">
            <v>1000</v>
          </cell>
        </row>
        <row r="4081">
          <cell r="A4081">
            <v>46262</v>
          </cell>
          <cell r="D4081" t="str">
            <v>STAR FREEDOM</v>
          </cell>
          <cell r="E4081">
            <v>9</v>
          </cell>
          <cell r="H4081" t="str">
            <v>SAFISCOR</v>
          </cell>
          <cell r="N4081">
            <v>1000</v>
          </cell>
          <cell r="Y4081">
            <v>46262</v>
          </cell>
          <cell r="Z4081">
            <v>2</v>
          </cell>
          <cell r="AA4081">
            <v>1000</v>
          </cell>
        </row>
        <row r="4082">
          <cell r="A4082">
            <v>46262</v>
          </cell>
          <cell r="D4082" t="str">
            <v>STAR DINAGAT</v>
          </cell>
          <cell r="E4082">
            <v>2</v>
          </cell>
          <cell r="H4082" t="str">
            <v>APLUS</v>
          </cell>
          <cell r="N4082">
            <v>1000</v>
          </cell>
          <cell r="Y4082">
            <v>46263</v>
          </cell>
          <cell r="Z4082">
            <v>1</v>
          </cell>
          <cell r="AA4082">
            <v>1000</v>
          </cell>
        </row>
        <row r="4083">
          <cell r="A4083">
            <v>46263</v>
          </cell>
          <cell r="D4083" t="str">
            <v>EMERALD STAR</v>
          </cell>
          <cell r="E4083">
            <v>8</v>
          </cell>
          <cell r="H4083" t="str">
            <v>SAFISCOR</v>
          </cell>
          <cell r="N4083">
            <v>1000</v>
          </cell>
          <cell r="Y4083">
            <v>46263</v>
          </cell>
          <cell r="Z4083">
            <v>1</v>
          </cell>
          <cell r="AA4083">
            <v>1000</v>
          </cell>
        </row>
        <row r="4084">
          <cell r="A4084">
            <v>46263</v>
          </cell>
          <cell r="D4084" t="str">
            <v>STAR ILIGAN</v>
          </cell>
          <cell r="E4084">
            <v>7</v>
          </cell>
          <cell r="H4084" t="str">
            <v>LAPU-LAPU</v>
          </cell>
          <cell r="N4084">
            <v>1000</v>
          </cell>
          <cell r="Y4084">
            <v>46263</v>
          </cell>
          <cell r="Z4084">
            <v>2</v>
          </cell>
          <cell r="AA4084">
            <v>1000</v>
          </cell>
        </row>
        <row r="4085">
          <cell r="A4085">
            <v>46263</v>
          </cell>
          <cell r="D4085" t="str">
            <v>EMERALD STAR</v>
          </cell>
          <cell r="E4085">
            <v>8</v>
          </cell>
          <cell r="H4085" t="str">
            <v>GEO</v>
          </cell>
          <cell r="N4085">
            <v>1000</v>
          </cell>
          <cell r="Y4085">
            <v>46263</v>
          </cell>
          <cell r="Z4085">
            <v>1</v>
          </cell>
          <cell r="AA4085">
            <v>1000</v>
          </cell>
        </row>
        <row r="4086">
          <cell r="A4086">
            <v>46263</v>
          </cell>
          <cell r="D4086" t="str">
            <v>EMERALD STAR</v>
          </cell>
          <cell r="E4086">
            <v>8</v>
          </cell>
          <cell r="H4086" t="str">
            <v>GEO</v>
          </cell>
          <cell r="N4086">
            <v>1000</v>
          </cell>
          <cell r="Y4086">
            <v>46263</v>
          </cell>
          <cell r="Z4086">
            <v>2</v>
          </cell>
          <cell r="AA4086">
            <v>1000</v>
          </cell>
        </row>
        <row r="4087">
          <cell r="A4087">
            <v>46263</v>
          </cell>
          <cell r="D4087" t="str">
            <v>EMERALD STAR</v>
          </cell>
          <cell r="E4087">
            <v>8</v>
          </cell>
          <cell r="H4087" t="str">
            <v>SAFISCOR</v>
          </cell>
          <cell r="N4087">
            <v>1000</v>
          </cell>
          <cell r="Y4087">
            <v>46263</v>
          </cell>
          <cell r="Z4087">
            <v>2</v>
          </cell>
          <cell r="AA4087">
            <v>1000</v>
          </cell>
        </row>
        <row r="4088">
          <cell r="A4088">
            <v>46263</v>
          </cell>
          <cell r="D4088" t="str">
            <v>STAR FREEDOM</v>
          </cell>
          <cell r="E4088">
            <v>9</v>
          </cell>
          <cell r="H4088" t="str">
            <v>SAFISCOR</v>
          </cell>
          <cell r="N4088">
            <v>1000</v>
          </cell>
          <cell r="Y4088">
            <v>46263</v>
          </cell>
          <cell r="Z4088">
            <v>1</v>
          </cell>
          <cell r="AA4088">
            <v>1000</v>
          </cell>
        </row>
        <row r="4089">
          <cell r="A4089">
            <v>46263</v>
          </cell>
          <cell r="D4089" t="str">
            <v>STAR FREEDOM</v>
          </cell>
          <cell r="E4089">
            <v>9</v>
          </cell>
          <cell r="H4089" t="str">
            <v>SAFISCOR</v>
          </cell>
          <cell r="N4089">
            <v>1000</v>
          </cell>
          <cell r="Y4089">
            <v>46263</v>
          </cell>
          <cell r="Z4089">
            <v>2</v>
          </cell>
          <cell r="AA4089">
            <v>1000</v>
          </cell>
        </row>
        <row r="4090">
          <cell r="A4090">
            <v>46263</v>
          </cell>
          <cell r="D4090" t="str">
            <v>STAR FREEDOM</v>
          </cell>
          <cell r="E4090">
            <v>9</v>
          </cell>
          <cell r="H4090" t="str">
            <v>FULACHE</v>
          </cell>
          <cell r="N4090">
            <v>1000</v>
          </cell>
          <cell r="Y4090">
            <v>46263</v>
          </cell>
          <cell r="Z4090">
            <v>1</v>
          </cell>
          <cell r="AA4090">
            <v>1000</v>
          </cell>
        </row>
        <row r="4091">
          <cell r="A4091">
            <v>46263</v>
          </cell>
          <cell r="D4091" t="str">
            <v>JERIC JAY</v>
          </cell>
          <cell r="E4091">
            <v>1</v>
          </cell>
          <cell r="H4091" t="str">
            <v>LAPU-LAPU</v>
          </cell>
          <cell r="N4091">
            <v>1000</v>
          </cell>
          <cell r="Y4091">
            <v>46263</v>
          </cell>
          <cell r="Z4091">
            <v>2</v>
          </cell>
          <cell r="AA4091">
            <v>1000</v>
          </cell>
        </row>
        <row r="4092">
          <cell r="A4092">
            <v>46263</v>
          </cell>
          <cell r="D4092" t="str">
            <v>STAR ILIGAN</v>
          </cell>
          <cell r="E4092">
            <v>7</v>
          </cell>
          <cell r="H4092" t="str">
            <v>GEO</v>
          </cell>
          <cell r="N4092">
            <v>1000</v>
          </cell>
          <cell r="Y4092">
            <v>46263</v>
          </cell>
          <cell r="Z4092">
            <v>2</v>
          </cell>
          <cell r="AA4092">
            <v>1000</v>
          </cell>
        </row>
        <row r="4093">
          <cell r="A4093">
            <v>46263</v>
          </cell>
          <cell r="D4093" t="str">
            <v>EMERALD STAR</v>
          </cell>
          <cell r="E4093">
            <v>8</v>
          </cell>
          <cell r="H4093" t="str">
            <v>SAFISCOR</v>
          </cell>
          <cell r="N4093">
            <v>1000</v>
          </cell>
          <cell r="Y4093">
            <v>46263</v>
          </cell>
          <cell r="Z4093">
            <v>2</v>
          </cell>
          <cell r="AA4093">
            <v>1000</v>
          </cell>
        </row>
        <row r="4094">
          <cell r="A4094">
            <v>46263</v>
          </cell>
          <cell r="D4094" t="str">
            <v>STAR ILIGAN</v>
          </cell>
          <cell r="E4094">
            <v>7</v>
          </cell>
          <cell r="H4094" t="str">
            <v>LAPU-LAPU</v>
          </cell>
          <cell r="N4094">
            <v>250</v>
          </cell>
          <cell r="Y4094">
            <v>46263</v>
          </cell>
          <cell r="Z4094">
            <v>2</v>
          </cell>
          <cell r="AA4094">
            <v>250</v>
          </cell>
        </row>
        <row r="4095">
          <cell r="A4095">
            <v>46263</v>
          </cell>
          <cell r="D4095" t="str">
            <v>STAR ILIGAN</v>
          </cell>
          <cell r="E4095">
            <v>7</v>
          </cell>
          <cell r="H4095" t="str">
            <v>LAPU-LAPU</v>
          </cell>
          <cell r="N4095">
            <v>750</v>
          </cell>
          <cell r="Y4095">
            <v>46263</v>
          </cell>
          <cell r="Z4095">
            <v>2</v>
          </cell>
          <cell r="AA4095">
            <v>750</v>
          </cell>
        </row>
        <row r="4096">
          <cell r="A4096">
            <v>46263</v>
          </cell>
          <cell r="D4096" t="str">
            <v>JERIC JAY</v>
          </cell>
          <cell r="E4096">
            <v>1</v>
          </cell>
          <cell r="H4096" t="str">
            <v>SAFISCOR</v>
          </cell>
          <cell r="N4096">
            <v>1000</v>
          </cell>
          <cell r="Y4096">
            <v>46263</v>
          </cell>
          <cell r="Z4096">
            <v>2</v>
          </cell>
          <cell r="AA4096">
            <v>1000</v>
          </cell>
        </row>
        <row r="4097">
          <cell r="A4097">
            <v>46263</v>
          </cell>
          <cell r="D4097" t="str">
            <v>STAR DINAGAT</v>
          </cell>
          <cell r="E4097">
            <v>2</v>
          </cell>
          <cell r="H4097" t="str">
            <v>SAFISCOR</v>
          </cell>
          <cell r="N4097">
            <v>1000</v>
          </cell>
          <cell r="Y4097">
            <v>46263</v>
          </cell>
          <cell r="Z4097">
            <v>1</v>
          </cell>
          <cell r="AA4097">
            <v>1000</v>
          </cell>
        </row>
        <row r="4098">
          <cell r="A4098">
            <v>46263</v>
          </cell>
          <cell r="D4098" t="str">
            <v>EMERALD STAR</v>
          </cell>
          <cell r="E4098">
            <v>8</v>
          </cell>
          <cell r="H4098" t="str">
            <v>SAFISCOR</v>
          </cell>
          <cell r="N4098">
            <v>1000</v>
          </cell>
          <cell r="Y4098">
            <v>46265</v>
          </cell>
          <cell r="Z4098">
            <v>1</v>
          </cell>
          <cell r="AA4098">
            <v>1000</v>
          </cell>
        </row>
        <row r="4099">
          <cell r="A4099">
            <v>46263</v>
          </cell>
          <cell r="D4099" t="str">
            <v>EMERALD STAR</v>
          </cell>
          <cell r="E4099">
            <v>8</v>
          </cell>
          <cell r="H4099" t="str">
            <v>SAFISCOR</v>
          </cell>
          <cell r="N4099">
            <v>750</v>
          </cell>
          <cell r="Y4099">
            <v>46265</v>
          </cell>
          <cell r="Z4099">
            <v>1</v>
          </cell>
          <cell r="AA4099">
            <v>750</v>
          </cell>
        </row>
        <row r="4100">
          <cell r="A4100">
            <v>46263</v>
          </cell>
          <cell r="D4100" t="str">
            <v>EMERALD STAR</v>
          </cell>
          <cell r="E4100">
            <v>8</v>
          </cell>
          <cell r="H4100" t="str">
            <v>SAFISCOR</v>
          </cell>
          <cell r="N4100">
            <v>250</v>
          </cell>
          <cell r="Y4100">
            <v>46265</v>
          </cell>
          <cell r="Z4100">
            <v>1</v>
          </cell>
          <cell r="AA4100">
            <v>250</v>
          </cell>
        </row>
        <row r="4101">
          <cell r="A4101">
            <v>46263</v>
          </cell>
          <cell r="D4101" t="str">
            <v>STAR DINAGAT</v>
          </cell>
          <cell r="E4101">
            <v>2</v>
          </cell>
          <cell r="H4101" t="str">
            <v>BADIE</v>
          </cell>
          <cell r="N4101">
            <v>1000</v>
          </cell>
          <cell r="Y4101">
            <v>46263</v>
          </cell>
          <cell r="Z4101">
            <v>1</v>
          </cell>
          <cell r="AA4101">
            <v>1000</v>
          </cell>
        </row>
        <row r="4102">
          <cell r="A4102">
            <v>46263</v>
          </cell>
          <cell r="D4102" t="str">
            <v>STAR FREEDOM</v>
          </cell>
          <cell r="E4102">
            <v>9</v>
          </cell>
          <cell r="H4102" t="str">
            <v>SAFISCOR</v>
          </cell>
          <cell r="N4102">
            <v>1000</v>
          </cell>
          <cell r="Y4102">
            <v>46263</v>
          </cell>
          <cell r="Z4102">
            <v>1</v>
          </cell>
          <cell r="AA4102">
            <v>1000</v>
          </cell>
        </row>
        <row r="4103">
          <cell r="A4103">
            <v>46263</v>
          </cell>
          <cell r="D4103" t="str">
            <v>STAR FREEDOM</v>
          </cell>
          <cell r="E4103">
            <v>9</v>
          </cell>
          <cell r="H4103" t="str">
            <v>SAFISCOR</v>
          </cell>
          <cell r="N4103">
            <v>1000</v>
          </cell>
          <cell r="Y4103">
            <v>46263</v>
          </cell>
          <cell r="Z4103">
            <v>1</v>
          </cell>
          <cell r="AA4103">
            <v>1000</v>
          </cell>
        </row>
        <row r="4104">
          <cell r="A4104">
            <v>46263</v>
          </cell>
          <cell r="D4104" t="str">
            <v>STAR ILIGAN</v>
          </cell>
          <cell r="E4104">
            <v>7</v>
          </cell>
          <cell r="H4104" t="str">
            <v>SAFISCOR</v>
          </cell>
          <cell r="N4104">
            <v>1000</v>
          </cell>
          <cell r="Y4104">
            <v>46262</v>
          </cell>
          <cell r="Z4104">
            <v>2</v>
          </cell>
          <cell r="AA4104">
            <v>1000</v>
          </cell>
        </row>
        <row r="4105">
          <cell r="A4105">
            <v>46263</v>
          </cell>
          <cell r="D4105" t="str">
            <v>JERIC JAY</v>
          </cell>
          <cell r="E4105">
            <v>1</v>
          </cell>
          <cell r="H4105" t="str">
            <v>SAFISCOR</v>
          </cell>
          <cell r="N4105">
            <v>1000</v>
          </cell>
          <cell r="Y4105">
            <v>46263</v>
          </cell>
          <cell r="Z4105">
            <v>2</v>
          </cell>
          <cell r="AA4105">
            <v>1000</v>
          </cell>
        </row>
        <row r="4106">
          <cell r="A4106">
            <v>46263</v>
          </cell>
          <cell r="D4106" t="str">
            <v>JERIC JAY</v>
          </cell>
          <cell r="E4106">
            <v>1</v>
          </cell>
          <cell r="H4106" t="str">
            <v>SAFISCOR</v>
          </cell>
          <cell r="N4106">
            <v>1000</v>
          </cell>
          <cell r="Y4106">
            <v>46264</v>
          </cell>
          <cell r="Z4106">
            <v>1</v>
          </cell>
          <cell r="AA4106">
            <v>1000</v>
          </cell>
        </row>
        <row r="4107">
          <cell r="A4107">
            <v>46263</v>
          </cell>
          <cell r="D4107" t="str">
            <v>EMERALD STAR</v>
          </cell>
          <cell r="E4107">
            <v>8</v>
          </cell>
          <cell r="H4107" t="str">
            <v>SAFISCOR</v>
          </cell>
          <cell r="N4107">
            <v>1000</v>
          </cell>
          <cell r="Y4107">
            <v>46263</v>
          </cell>
          <cell r="Z4107">
            <v>2</v>
          </cell>
          <cell r="AA4107">
            <v>1000</v>
          </cell>
        </row>
        <row r="4108">
          <cell r="A4108">
            <v>46263</v>
          </cell>
          <cell r="D4108" t="str">
            <v>EMERALD STAR</v>
          </cell>
          <cell r="E4108">
            <v>8</v>
          </cell>
          <cell r="H4108" t="str">
            <v>LAPU-LAPU</v>
          </cell>
          <cell r="N4108">
            <v>1000</v>
          </cell>
          <cell r="Y4108">
            <v>46263</v>
          </cell>
          <cell r="Z4108">
            <v>2</v>
          </cell>
          <cell r="AA4108">
            <v>1000</v>
          </cell>
        </row>
        <row r="4109">
          <cell r="A4109">
            <v>46263</v>
          </cell>
          <cell r="D4109" t="str">
            <v>EMERALD STAR</v>
          </cell>
          <cell r="E4109">
            <v>8</v>
          </cell>
          <cell r="H4109" t="str">
            <v>SAFISCOR</v>
          </cell>
          <cell r="N4109">
            <v>1000</v>
          </cell>
          <cell r="Y4109">
            <v>46263</v>
          </cell>
          <cell r="Z4109">
            <v>2</v>
          </cell>
          <cell r="AA4109">
            <v>1000</v>
          </cell>
        </row>
        <row r="4110">
          <cell r="A4110">
            <v>46263</v>
          </cell>
          <cell r="D4110" t="str">
            <v>EMERALD STAR</v>
          </cell>
          <cell r="E4110">
            <v>8</v>
          </cell>
          <cell r="H4110" t="str">
            <v>SAFISCOR</v>
          </cell>
          <cell r="N4110">
            <v>1000</v>
          </cell>
          <cell r="Y4110">
            <v>46265</v>
          </cell>
          <cell r="Z4110">
            <v>1</v>
          </cell>
          <cell r="AA4110">
            <v>1000</v>
          </cell>
        </row>
        <row r="4111">
          <cell r="A4111">
            <v>46263</v>
          </cell>
          <cell r="D4111" t="str">
            <v>STAR FREEDOM</v>
          </cell>
          <cell r="E4111">
            <v>9</v>
          </cell>
          <cell r="H4111" t="str">
            <v>SAFISCOR</v>
          </cell>
          <cell r="N4111">
            <v>1000</v>
          </cell>
          <cell r="Y4111">
            <v>46263</v>
          </cell>
          <cell r="Z4111">
            <v>1</v>
          </cell>
          <cell r="AA4111">
            <v>1000</v>
          </cell>
        </row>
        <row r="4112">
          <cell r="A4112">
            <v>46263</v>
          </cell>
          <cell r="D4112" t="str">
            <v>STAR DINAGAT</v>
          </cell>
          <cell r="E4112">
            <v>2</v>
          </cell>
          <cell r="H4112" t="str">
            <v>BADIE</v>
          </cell>
          <cell r="N4112">
            <v>1000</v>
          </cell>
          <cell r="Y4112">
            <v>46263</v>
          </cell>
          <cell r="Z4112">
            <v>2</v>
          </cell>
          <cell r="AA4112">
            <v>1000</v>
          </cell>
        </row>
        <row r="4113">
          <cell r="A4113">
            <v>46263</v>
          </cell>
          <cell r="D4113" t="str">
            <v>STAR DINAGAT</v>
          </cell>
          <cell r="E4113">
            <v>2</v>
          </cell>
          <cell r="H4113" t="str">
            <v>APLUS</v>
          </cell>
          <cell r="N4113">
            <v>1000</v>
          </cell>
          <cell r="Y4113">
            <v>46263</v>
          </cell>
          <cell r="Z4113">
            <v>2</v>
          </cell>
          <cell r="AA4113">
            <v>1000</v>
          </cell>
        </row>
        <row r="4114">
          <cell r="A4114">
            <v>46263</v>
          </cell>
          <cell r="D4114" t="str">
            <v>STAR DINAGAT</v>
          </cell>
          <cell r="E4114">
            <v>2</v>
          </cell>
          <cell r="H4114" t="str">
            <v>GEO</v>
          </cell>
          <cell r="N4114">
            <v>1000</v>
          </cell>
          <cell r="Y4114">
            <v>46263</v>
          </cell>
          <cell r="Z4114">
            <v>2</v>
          </cell>
          <cell r="AA4114">
            <v>1000</v>
          </cell>
        </row>
        <row r="4115">
          <cell r="A4115">
            <v>46263</v>
          </cell>
          <cell r="D4115" t="str">
            <v>JERIC JAY</v>
          </cell>
          <cell r="E4115">
            <v>1</v>
          </cell>
          <cell r="H4115" t="str">
            <v>SAFISCOR</v>
          </cell>
          <cell r="N4115">
            <v>1000</v>
          </cell>
          <cell r="Y4115">
            <v>46263</v>
          </cell>
          <cell r="Z4115">
            <v>2</v>
          </cell>
          <cell r="AA4115">
            <v>1000</v>
          </cell>
        </row>
        <row r="4116">
          <cell r="A4116">
            <v>46263</v>
          </cell>
          <cell r="D4116" t="str">
            <v>JERIC JAY</v>
          </cell>
          <cell r="E4116">
            <v>1</v>
          </cell>
          <cell r="H4116" t="str">
            <v>SAFISCOR</v>
          </cell>
          <cell r="N4116">
            <v>1000</v>
          </cell>
          <cell r="Y4116">
            <v>46263</v>
          </cell>
          <cell r="Z4116">
            <v>2</v>
          </cell>
          <cell r="AA4116">
            <v>1000</v>
          </cell>
        </row>
        <row r="4117">
          <cell r="A4117">
            <v>46263</v>
          </cell>
          <cell r="D4117" t="str">
            <v>JERIC JAY</v>
          </cell>
          <cell r="E4117">
            <v>1</v>
          </cell>
          <cell r="H4117" t="str">
            <v>SAFISCOR</v>
          </cell>
          <cell r="N4117">
            <v>1000</v>
          </cell>
          <cell r="Y4117">
            <v>46263</v>
          </cell>
          <cell r="Z4117">
            <v>2</v>
          </cell>
          <cell r="AA4117">
            <v>1000</v>
          </cell>
        </row>
        <row r="4118">
          <cell r="A4118">
            <v>46263</v>
          </cell>
          <cell r="D4118" t="str">
            <v>JERIC JAY</v>
          </cell>
          <cell r="E4118">
            <v>1</v>
          </cell>
          <cell r="H4118" t="str">
            <v>SAFISCOR</v>
          </cell>
          <cell r="N4118">
            <v>1000</v>
          </cell>
          <cell r="Y4118">
            <v>46264</v>
          </cell>
          <cell r="Z4118">
            <v>1</v>
          </cell>
          <cell r="AA4118">
            <v>1000</v>
          </cell>
        </row>
        <row r="4119">
          <cell r="A4119">
            <v>46263</v>
          </cell>
          <cell r="D4119" t="str">
            <v>EMERALD STAR</v>
          </cell>
          <cell r="E4119">
            <v>8</v>
          </cell>
          <cell r="H4119" t="str">
            <v>SAFISCOR</v>
          </cell>
          <cell r="N4119">
            <v>500</v>
          </cell>
          <cell r="Y4119">
            <v>46263</v>
          </cell>
          <cell r="Z4119">
            <v>2</v>
          </cell>
          <cell r="AA4119">
            <v>500</v>
          </cell>
        </row>
        <row r="4120">
          <cell r="A4120">
            <v>46263</v>
          </cell>
          <cell r="D4120" t="str">
            <v>LADY OF PEACE</v>
          </cell>
          <cell r="E4120">
            <v>6</v>
          </cell>
          <cell r="H4120" t="str">
            <v>SAFISCOR</v>
          </cell>
          <cell r="N4120">
            <v>500</v>
          </cell>
          <cell r="Y4120">
            <v>46263</v>
          </cell>
          <cell r="Z4120">
            <v>2</v>
          </cell>
          <cell r="AA4120">
            <v>500</v>
          </cell>
        </row>
        <row r="4121">
          <cell r="A4121">
            <v>46263</v>
          </cell>
          <cell r="D4121" t="str">
            <v>STAR ILIGAN</v>
          </cell>
          <cell r="E4121">
            <v>7</v>
          </cell>
          <cell r="H4121" t="str">
            <v>SAFISCOR</v>
          </cell>
          <cell r="N4121">
            <v>1000</v>
          </cell>
          <cell r="Y4121">
            <v>46263</v>
          </cell>
          <cell r="Z4121">
            <v>2</v>
          </cell>
          <cell r="AA4121">
            <v>1000</v>
          </cell>
        </row>
        <row r="4122">
          <cell r="A4122">
            <v>46263</v>
          </cell>
          <cell r="D4122" t="str">
            <v>LADY OF PEACE</v>
          </cell>
          <cell r="E4122">
            <v>6</v>
          </cell>
          <cell r="H4122" t="str">
            <v>SAFISCOR</v>
          </cell>
          <cell r="N4122">
            <v>1000</v>
          </cell>
          <cell r="Y4122">
            <v>46264</v>
          </cell>
          <cell r="Z4122">
            <v>2</v>
          </cell>
          <cell r="AA4122">
            <v>1000</v>
          </cell>
        </row>
        <row r="4123">
          <cell r="A4123">
            <v>46263</v>
          </cell>
          <cell r="D4123" t="str">
            <v>EMERALD STAR</v>
          </cell>
          <cell r="E4123">
            <v>8</v>
          </cell>
          <cell r="H4123" t="str">
            <v>SAFISCOR</v>
          </cell>
          <cell r="N4123">
            <v>1000</v>
          </cell>
          <cell r="Y4123">
            <v>46263</v>
          </cell>
          <cell r="Z4123">
            <v>2</v>
          </cell>
          <cell r="AA4123">
            <v>1000</v>
          </cell>
        </row>
        <row r="4124">
          <cell r="A4124">
            <v>46263</v>
          </cell>
          <cell r="D4124" t="str">
            <v>JERIC JAY</v>
          </cell>
          <cell r="E4124">
            <v>1</v>
          </cell>
          <cell r="H4124" t="str">
            <v>SAFISCOR</v>
          </cell>
          <cell r="N4124">
            <v>1000</v>
          </cell>
          <cell r="Y4124">
            <v>46264</v>
          </cell>
          <cell r="Z4124">
            <v>1</v>
          </cell>
          <cell r="AA4124">
            <v>1000</v>
          </cell>
        </row>
        <row r="4125">
          <cell r="A4125">
            <v>46263</v>
          </cell>
          <cell r="D4125" t="str">
            <v>STAR FREEDOM</v>
          </cell>
          <cell r="E4125">
            <v>9</v>
          </cell>
          <cell r="H4125" t="str">
            <v>LAPU-LAPU</v>
          </cell>
          <cell r="N4125">
            <v>1000</v>
          </cell>
          <cell r="Y4125">
            <v>46263</v>
          </cell>
          <cell r="Z4125">
            <v>2</v>
          </cell>
          <cell r="AA4125">
            <v>1000</v>
          </cell>
        </row>
        <row r="4126">
          <cell r="A4126">
            <v>46263</v>
          </cell>
          <cell r="D4126" t="str">
            <v>EMERALD STAR</v>
          </cell>
          <cell r="E4126">
            <v>8</v>
          </cell>
          <cell r="H4126" t="str">
            <v>LAPU-LAPU</v>
          </cell>
          <cell r="N4126">
            <v>1000</v>
          </cell>
          <cell r="Y4126">
            <v>46263</v>
          </cell>
          <cell r="Z4126">
            <v>2</v>
          </cell>
          <cell r="AA4126">
            <v>1000</v>
          </cell>
        </row>
        <row r="4127">
          <cell r="A4127">
            <v>46263</v>
          </cell>
          <cell r="D4127" t="str">
            <v>EMERALD STAR</v>
          </cell>
          <cell r="E4127">
            <v>8</v>
          </cell>
          <cell r="H4127" t="str">
            <v>SAFISCOR</v>
          </cell>
          <cell r="N4127">
            <v>1000</v>
          </cell>
          <cell r="Y4127">
            <v>46263</v>
          </cell>
          <cell r="Z4127">
            <v>2</v>
          </cell>
          <cell r="AA4127">
            <v>1000</v>
          </cell>
        </row>
        <row r="4128">
          <cell r="A4128">
            <v>46263</v>
          </cell>
          <cell r="D4128" t="str">
            <v>JERIC JAY</v>
          </cell>
          <cell r="E4128">
            <v>1</v>
          </cell>
          <cell r="H4128" t="str">
            <v>SAFISCOR</v>
          </cell>
          <cell r="N4128">
            <v>1000</v>
          </cell>
          <cell r="Y4128">
            <v>46264</v>
          </cell>
          <cell r="Z4128">
            <v>1</v>
          </cell>
          <cell r="AA4128">
            <v>1000</v>
          </cell>
        </row>
        <row r="4129">
          <cell r="A4129">
            <v>46263</v>
          </cell>
          <cell r="D4129" t="str">
            <v>LADY OF PEACE</v>
          </cell>
          <cell r="E4129">
            <v>6</v>
          </cell>
          <cell r="H4129" t="str">
            <v>SAFISCOR</v>
          </cell>
          <cell r="N4129">
            <v>1000</v>
          </cell>
          <cell r="Y4129">
            <v>46264</v>
          </cell>
          <cell r="Z4129">
            <v>2</v>
          </cell>
          <cell r="AA4129">
            <v>1000</v>
          </cell>
        </row>
        <row r="4130">
          <cell r="A4130">
            <v>46263</v>
          </cell>
          <cell r="D4130" t="str">
            <v>LADY OF PEACE</v>
          </cell>
          <cell r="E4130">
            <v>6</v>
          </cell>
          <cell r="H4130" t="str">
            <v>SAFISCOR</v>
          </cell>
          <cell r="N4130">
            <v>1000</v>
          </cell>
          <cell r="Y4130">
            <v>46263</v>
          </cell>
          <cell r="Z4130">
            <v>2</v>
          </cell>
          <cell r="AA4130">
            <v>1000</v>
          </cell>
        </row>
        <row r="4131">
          <cell r="A4131">
            <v>46263</v>
          </cell>
          <cell r="D4131" t="str">
            <v>EMERALD STAR</v>
          </cell>
          <cell r="E4131">
            <v>8</v>
          </cell>
          <cell r="H4131" t="str">
            <v>GEO</v>
          </cell>
          <cell r="N4131">
            <v>1000</v>
          </cell>
          <cell r="Y4131">
            <v>46263</v>
          </cell>
          <cell r="Z4131">
            <v>2</v>
          </cell>
          <cell r="AA4131">
            <v>1000</v>
          </cell>
        </row>
        <row r="4132">
          <cell r="A4132">
            <v>46263</v>
          </cell>
          <cell r="D4132" t="str">
            <v>LADY OF PEACE</v>
          </cell>
          <cell r="E4132">
            <v>6</v>
          </cell>
          <cell r="H4132" t="str">
            <v>SAFISCOR</v>
          </cell>
          <cell r="N4132">
            <v>1000</v>
          </cell>
          <cell r="Y4132">
            <v>46264</v>
          </cell>
          <cell r="Z4132">
            <v>2</v>
          </cell>
          <cell r="AA4132">
            <v>1000</v>
          </cell>
        </row>
        <row r="4133">
          <cell r="A4133">
            <v>46263</v>
          </cell>
          <cell r="D4133" t="str">
            <v>STAR ILIGAN</v>
          </cell>
          <cell r="E4133">
            <v>7</v>
          </cell>
          <cell r="H4133" t="str">
            <v>SAFISCOR</v>
          </cell>
          <cell r="N4133">
            <v>1000</v>
          </cell>
          <cell r="Y4133">
            <v>46263</v>
          </cell>
          <cell r="Z4133">
            <v>2</v>
          </cell>
          <cell r="AA4133">
            <v>1000</v>
          </cell>
        </row>
        <row r="4134">
          <cell r="A4134">
            <v>46263</v>
          </cell>
          <cell r="D4134" t="str">
            <v>LADY OF PEACE</v>
          </cell>
          <cell r="E4134">
            <v>6</v>
          </cell>
          <cell r="H4134" t="str">
            <v>SAFISCOR</v>
          </cell>
          <cell r="N4134">
            <v>1000</v>
          </cell>
          <cell r="Y4134">
            <v>46263</v>
          </cell>
          <cell r="Z4134">
            <v>2</v>
          </cell>
          <cell r="AA4134">
            <v>1000</v>
          </cell>
        </row>
        <row r="4135">
          <cell r="A4135">
            <v>46263</v>
          </cell>
          <cell r="D4135" t="str">
            <v>STAR DINAGAT</v>
          </cell>
          <cell r="E4135">
            <v>2</v>
          </cell>
          <cell r="H4135" t="str">
            <v>BADIE</v>
          </cell>
          <cell r="N4135">
            <v>1000</v>
          </cell>
          <cell r="Y4135">
            <v>46263</v>
          </cell>
          <cell r="Z4135">
            <v>2</v>
          </cell>
          <cell r="AA4135">
            <v>1000</v>
          </cell>
        </row>
        <row r="4136">
          <cell r="A4136">
            <v>46263</v>
          </cell>
          <cell r="D4136" t="str">
            <v>LADY OF PEACE</v>
          </cell>
          <cell r="E4136">
            <v>6</v>
          </cell>
          <cell r="H4136" t="str">
            <v>SAFISCOR</v>
          </cell>
          <cell r="N4136">
            <v>1000</v>
          </cell>
          <cell r="Y4136">
            <v>46264</v>
          </cell>
          <cell r="Z4136">
            <v>2</v>
          </cell>
          <cell r="AA4136">
            <v>1000</v>
          </cell>
        </row>
        <row r="4137">
          <cell r="A4137">
            <v>46263</v>
          </cell>
          <cell r="D4137" t="str">
            <v>STAR DINAGAT</v>
          </cell>
          <cell r="E4137">
            <v>2</v>
          </cell>
          <cell r="H4137" t="str">
            <v>SAFISCOR</v>
          </cell>
          <cell r="N4137">
            <v>1000</v>
          </cell>
          <cell r="Y4137">
            <v>46263</v>
          </cell>
          <cell r="Z4137">
            <v>2</v>
          </cell>
          <cell r="AA4137">
            <v>1000</v>
          </cell>
        </row>
        <row r="4138">
          <cell r="A4138">
            <v>46263</v>
          </cell>
          <cell r="D4138" t="str">
            <v>LADY OF PEACE</v>
          </cell>
          <cell r="E4138">
            <v>6</v>
          </cell>
          <cell r="H4138" t="str">
            <v>SAFISCOR</v>
          </cell>
          <cell r="N4138">
            <v>1000</v>
          </cell>
          <cell r="Y4138">
            <v>46263</v>
          </cell>
          <cell r="Z4138">
            <v>2</v>
          </cell>
          <cell r="AA4138">
            <v>1000</v>
          </cell>
        </row>
        <row r="4139">
          <cell r="A4139">
            <v>46263</v>
          </cell>
          <cell r="D4139" t="str">
            <v>EMERALD STAR</v>
          </cell>
          <cell r="E4139">
            <v>8</v>
          </cell>
          <cell r="H4139" t="str">
            <v>SAFISCOR</v>
          </cell>
          <cell r="N4139">
            <v>1000</v>
          </cell>
          <cell r="Y4139">
            <v>46263</v>
          </cell>
          <cell r="Z4139">
            <v>2</v>
          </cell>
          <cell r="AA4139">
            <v>1000</v>
          </cell>
        </row>
        <row r="4140">
          <cell r="A4140">
            <v>46263</v>
          </cell>
          <cell r="D4140" t="str">
            <v>EMERALD STAR</v>
          </cell>
          <cell r="E4140">
            <v>8</v>
          </cell>
          <cell r="H4140" t="str">
            <v>SAFISCOR</v>
          </cell>
          <cell r="N4140">
            <v>1000</v>
          </cell>
          <cell r="Y4140">
            <v>46263</v>
          </cell>
          <cell r="Z4140">
            <v>2</v>
          </cell>
          <cell r="AA4140">
            <v>1000</v>
          </cell>
        </row>
        <row r="4141">
          <cell r="A4141">
            <v>46264</v>
          </cell>
          <cell r="D4141" t="str">
            <v>EMERALD STAR</v>
          </cell>
          <cell r="E4141">
            <v>8</v>
          </cell>
          <cell r="H4141" t="str">
            <v>SAFISCOR</v>
          </cell>
          <cell r="N4141">
            <v>1000</v>
          </cell>
          <cell r="Y4141">
            <v>46264</v>
          </cell>
          <cell r="Z4141">
            <v>1</v>
          </cell>
          <cell r="AA4141">
            <v>1000</v>
          </cell>
        </row>
        <row r="4142">
          <cell r="A4142">
            <v>46264</v>
          </cell>
          <cell r="D4142" t="str">
            <v>STAR ILIGAN</v>
          </cell>
          <cell r="E4142">
            <v>7</v>
          </cell>
          <cell r="H4142" t="str">
            <v>GEO</v>
          </cell>
          <cell r="N4142">
            <v>1000</v>
          </cell>
          <cell r="Y4142">
            <v>46264</v>
          </cell>
          <cell r="Z4142">
            <v>1</v>
          </cell>
          <cell r="AA4142">
            <v>1000</v>
          </cell>
        </row>
        <row r="4143">
          <cell r="A4143">
            <v>46264</v>
          </cell>
          <cell r="D4143" t="str">
            <v>STAR DINAGAT</v>
          </cell>
          <cell r="E4143">
            <v>2</v>
          </cell>
          <cell r="H4143" t="str">
            <v>SAFISCOR</v>
          </cell>
          <cell r="N4143">
            <v>500</v>
          </cell>
          <cell r="Y4143">
            <v>46264</v>
          </cell>
          <cell r="Z4143">
            <v>1</v>
          </cell>
          <cell r="AA4143">
            <v>500</v>
          </cell>
        </row>
        <row r="4144">
          <cell r="A4144">
            <v>46264</v>
          </cell>
          <cell r="D4144" t="str">
            <v>STAR ILIGAN</v>
          </cell>
          <cell r="E4144">
            <v>7</v>
          </cell>
          <cell r="H4144" t="str">
            <v>BADIE</v>
          </cell>
          <cell r="N4144">
            <v>1000</v>
          </cell>
          <cell r="Y4144">
            <v>46264</v>
          </cell>
          <cell r="Z4144">
            <v>1</v>
          </cell>
          <cell r="AA4144">
            <v>1000</v>
          </cell>
        </row>
        <row r="4145">
          <cell r="A4145">
            <v>46264</v>
          </cell>
          <cell r="D4145" t="str">
            <v>LADY OF PEACE</v>
          </cell>
          <cell r="E4145">
            <v>6</v>
          </cell>
          <cell r="H4145" t="str">
            <v>SAFISCOR</v>
          </cell>
          <cell r="N4145">
            <v>1000</v>
          </cell>
          <cell r="Y4145">
            <v>46264</v>
          </cell>
          <cell r="Z4145">
            <v>2</v>
          </cell>
          <cell r="AA4145">
            <v>1000</v>
          </cell>
        </row>
        <row r="4146">
          <cell r="A4146">
            <v>46264</v>
          </cell>
          <cell r="D4146" t="str">
            <v>LADY OF PEACE</v>
          </cell>
          <cell r="E4146">
            <v>6</v>
          </cell>
          <cell r="H4146" t="str">
            <v>SAFISCOR</v>
          </cell>
          <cell r="N4146">
            <v>1000</v>
          </cell>
          <cell r="Y4146">
            <v>46265</v>
          </cell>
          <cell r="Z4146">
            <v>2</v>
          </cell>
          <cell r="AA4146">
            <v>1000</v>
          </cell>
        </row>
        <row r="4147">
          <cell r="A4147">
            <v>46264</v>
          </cell>
          <cell r="D4147" t="str">
            <v>LADY OF PEACE</v>
          </cell>
          <cell r="E4147">
            <v>6</v>
          </cell>
          <cell r="H4147" t="str">
            <v>SAFISCOR</v>
          </cell>
          <cell r="N4147">
            <v>1000</v>
          </cell>
          <cell r="Y4147">
            <v>46264</v>
          </cell>
          <cell r="Z4147">
            <v>2</v>
          </cell>
          <cell r="AA4147">
            <v>1000</v>
          </cell>
        </row>
        <row r="4148">
          <cell r="A4148">
            <v>46264</v>
          </cell>
          <cell r="D4148" t="str">
            <v>STAR ILIGAN</v>
          </cell>
          <cell r="E4148">
            <v>7</v>
          </cell>
          <cell r="H4148" t="str">
            <v>SAFISCOR</v>
          </cell>
          <cell r="N4148">
            <v>500</v>
          </cell>
          <cell r="Y4148">
            <v>46264</v>
          </cell>
          <cell r="Z4148">
            <v>1</v>
          </cell>
          <cell r="AA4148">
            <v>500</v>
          </cell>
        </row>
        <row r="4149">
          <cell r="A4149">
            <v>46264</v>
          </cell>
          <cell r="D4149" t="str">
            <v>LADY OF PEACE</v>
          </cell>
          <cell r="E4149">
            <v>6</v>
          </cell>
          <cell r="H4149" t="str">
            <v>SAFISCOR</v>
          </cell>
          <cell r="N4149">
            <v>1000</v>
          </cell>
          <cell r="Y4149">
            <v>46264</v>
          </cell>
          <cell r="Z4149">
            <v>2</v>
          </cell>
          <cell r="AA4149">
            <v>1000</v>
          </cell>
        </row>
        <row r="4150">
          <cell r="A4150">
            <v>46264</v>
          </cell>
          <cell r="D4150" t="str">
            <v>STAR ILIGAN</v>
          </cell>
          <cell r="E4150">
            <v>7</v>
          </cell>
          <cell r="H4150" t="str">
            <v>LAPU-LAPU</v>
          </cell>
          <cell r="N4150">
            <v>1000</v>
          </cell>
          <cell r="Y4150">
            <v>46264</v>
          </cell>
          <cell r="Z4150">
            <v>1</v>
          </cell>
          <cell r="AA4150">
            <v>1000</v>
          </cell>
        </row>
        <row r="4151">
          <cell r="A4151">
            <v>46264</v>
          </cell>
          <cell r="D4151" t="str">
            <v>LADY OF PEACE</v>
          </cell>
          <cell r="E4151">
            <v>6</v>
          </cell>
          <cell r="H4151" t="str">
            <v>SAFISCOR</v>
          </cell>
          <cell r="N4151">
            <v>1000</v>
          </cell>
          <cell r="Y4151">
            <v>46265</v>
          </cell>
          <cell r="Z4151">
            <v>2</v>
          </cell>
          <cell r="AA4151">
            <v>1000</v>
          </cell>
        </row>
        <row r="4152">
          <cell r="A4152">
            <v>46264</v>
          </cell>
          <cell r="D4152" t="str">
            <v>EASTERN CEBU</v>
          </cell>
          <cell r="E4152">
            <v>9</v>
          </cell>
          <cell r="H4152" t="str">
            <v>SAFISCOR</v>
          </cell>
          <cell r="N4152">
            <v>1000</v>
          </cell>
          <cell r="Y4152">
            <v>46264</v>
          </cell>
          <cell r="Z4152">
            <v>2</v>
          </cell>
          <cell r="AA4152">
            <v>1000</v>
          </cell>
        </row>
        <row r="4153">
          <cell r="A4153">
            <v>46264</v>
          </cell>
          <cell r="D4153" t="str">
            <v>EASTERN CEBU</v>
          </cell>
          <cell r="E4153">
            <v>9</v>
          </cell>
          <cell r="H4153" t="str">
            <v>SAFISCOR</v>
          </cell>
          <cell r="N4153">
            <v>1000</v>
          </cell>
          <cell r="Y4153">
            <v>46266</v>
          </cell>
          <cell r="Z4153">
            <v>2</v>
          </cell>
          <cell r="AA4153">
            <v>1000</v>
          </cell>
        </row>
        <row r="4154">
          <cell r="A4154">
            <v>46264</v>
          </cell>
          <cell r="D4154" t="str">
            <v>EASTERN CEBU</v>
          </cell>
          <cell r="E4154">
            <v>9</v>
          </cell>
          <cell r="H4154" t="str">
            <v>SAFISCOR</v>
          </cell>
          <cell r="N4154">
            <v>1000</v>
          </cell>
          <cell r="Y4154">
            <v>46264</v>
          </cell>
          <cell r="Z4154">
            <v>2</v>
          </cell>
          <cell r="AA4154">
            <v>1000</v>
          </cell>
        </row>
        <row r="4155">
          <cell r="A4155">
            <v>46264</v>
          </cell>
          <cell r="D4155" t="str">
            <v>JERIC JAY</v>
          </cell>
          <cell r="E4155">
            <v>1</v>
          </cell>
          <cell r="H4155" t="str">
            <v>GEO</v>
          </cell>
          <cell r="N4155">
            <v>1000</v>
          </cell>
          <cell r="Y4155">
            <v>46264</v>
          </cell>
          <cell r="Z4155">
            <v>1</v>
          </cell>
          <cell r="AA4155">
            <v>1000</v>
          </cell>
        </row>
        <row r="4156">
          <cell r="A4156">
            <v>46264</v>
          </cell>
          <cell r="D4156" t="str">
            <v>STAR ILIGAN</v>
          </cell>
          <cell r="E4156">
            <v>7</v>
          </cell>
          <cell r="H4156" t="str">
            <v>GEO</v>
          </cell>
          <cell r="N4156">
            <v>500</v>
          </cell>
          <cell r="Y4156">
            <v>46264</v>
          </cell>
          <cell r="Z4156">
            <v>1</v>
          </cell>
          <cell r="AA4156">
            <v>500</v>
          </cell>
        </row>
        <row r="4157">
          <cell r="A4157">
            <v>46264</v>
          </cell>
          <cell r="D4157" t="str">
            <v>EMERALD STAR</v>
          </cell>
          <cell r="E4157">
            <v>8</v>
          </cell>
          <cell r="H4157" t="str">
            <v>GEO</v>
          </cell>
          <cell r="N4157">
            <v>500</v>
          </cell>
          <cell r="Y4157">
            <v>46264</v>
          </cell>
          <cell r="Z4157">
            <v>1</v>
          </cell>
          <cell r="AA4157">
            <v>500</v>
          </cell>
        </row>
        <row r="4158">
          <cell r="A4158">
            <v>46264</v>
          </cell>
          <cell r="D4158" t="str">
            <v>LADY OF PEACE</v>
          </cell>
          <cell r="E4158">
            <v>6</v>
          </cell>
          <cell r="H4158" t="str">
            <v>SAFISCOR</v>
          </cell>
          <cell r="N4158">
            <v>1000</v>
          </cell>
          <cell r="Y4158">
            <v>46265</v>
          </cell>
          <cell r="Z4158">
            <v>2</v>
          </cell>
          <cell r="AA4158">
            <v>1000</v>
          </cell>
        </row>
        <row r="4159">
          <cell r="A4159">
            <v>46264</v>
          </cell>
          <cell r="D4159" t="str">
            <v>EMERALD STAR</v>
          </cell>
          <cell r="E4159">
            <v>8</v>
          </cell>
          <cell r="H4159" t="str">
            <v>SAFISCOR</v>
          </cell>
          <cell r="N4159">
            <v>1000</v>
          </cell>
          <cell r="Y4159">
            <v>46264</v>
          </cell>
          <cell r="Z4159">
            <v>1</v>
          </cell>
          <cell r="AA4159">
            <v>1000</v>
          </cell>
        </row>
        <row r="4160">
          <cell r="A4160">
            <v>46264</v>
          </cell>
          <cell r="D4160" t="str">
            <v>STAR ILIGAN</v>
          </cell>
          <cell r="E4160">
            <v>7</v>
          </cell>
          <cell r="H4160" t="str">
            <v>SAFISCOR</v>
          </cell>
          <cell r="N4160">
            <v>1000</v>
          </cell>
          <cell r="Y4160">
            <v>46264</v>
          </cell>
          <cell r="Z4160">
            <v>1</v>
          </cell>
          <cell r="AA4160">
            <v>1000</v>
          </cell>
        </row>
        <row r="4161">
          <cell r="A4161">
            <v>46264</v>
          </cell>
          <cell r="D4161" t="str">
            <v>JERIC JAY</v>
          </cell>
          <cell r="E4161">
            <v>1</v>
          </cell>
          <cell r="H4161" t="str">
            <v>SAFISCOR</v>
          </cell>
          <cell r="N4161">
            <v>1000</v>
          </cell>
          <cell r="Y4161">
            <v>46264</v>
          </cell>
          <cell r="Z4161">
            <v>1</v>
          </cell>
          <cell r="AA4161">
            <v>1000</v>
          </cell>
        </row>
        <row r="4162">
          <cell r="A4162">
            <v>46264</v>
          </cell>
          <cell r="D4162" t="str">
            <v>JERIC JAY</v>
          </cell>
          <cell r="E4162">
            <v>1</v>
          </cell>
          <cell r="H4162" t="str">
            <v>SAFISCOR</v>
          </cell>
          <cell r="N4162">
            <v>1000</v>
          </cell>
          <cell r="Y4162">
            <v>46264</v>
          </cell>
          <cell r="Z4162">
            <v>1</v>
          </cell>
          <cell r="AA4162">
            <v>1000</v>
          </cell>
        </row>
        <row r="4163">
          <cell r="A4163">
            <v>46264</v>
          </cell>
          <cell r="D4163" t="str">
            <v>EMERALD STAR</v>
          </cell>
          <cell r="E4163">
            <v>8</v>
          </cell>
          <cell r="H4163" t="str">
            <v>BADIE</v>
          </cell>
          <cell r="N4163">
            <v>1000</v>
          </cell>
          <cell r="Y4163">
            <v>46264</v>
          </cell>
          <cell r="Z4163">
            <v>2</v>
          </cell>
          <cell r="AA4163">
            <v>1000</v>
          </cell>
        </row>
        <row r="4164">
          <cell r="A4164">
            <v>46264</v>
          </cell>
          <cell r="D4164" t="str">
            <v>EMERALD STAR</v>
          </cell>
          <cell r="E4164">
            <v>8</v>
          </cell>
          <cell r="H4164" t="str">
            <v>SAFISCOR</v>
          </cell>
          <cell r="N4164">
            <v>1000</v>
          </cell>
          <cell r="Y4164">
            <v>46264</v>
          </cell>
          <cell r="Z4164">
            <v>2</v>
          </cell>
          <cell r="AA4164">
            <v>1000</v>
          </cell>
        </row>
        <row r="4165">
          <cell r="A4165">
            <v>46264</v>
          </cell>
          <cell r="D4165" t="str">
            <v>JERIC JAY</v>
          </cell>
          <cell r="E4165">
            <v>1</v>
          </cell>
          <cell r="H4165" t="str">
            <v>SAFISCOR</v>
          </cell>
          <cell r="N4165">
            <v>1000</v>
          </cell>
          <cell r="Y4165">
            <v>46264</v>
          </cell>
          <cell r="Z4165">
            <v>2</v>
          </cell>
          <cell r="AA4165">
            <v>1000</v>
          </cell>
        </row>
        <row r="4166">
          <cell r="A4166">
            <v>46264</v>
          </cell>
          <cell r="D4166" t="str">
            <v>JERIC JAY</v>
          </cell>
          <cell r="E4166">
            <v>1</v>
          </cell>
          <cell r="H4166" t="str">
            <v>SAFISCOR</v>
          </cell>
          <cell r="N4166">
            <v>1000</v>
          </cell>
          <cell r="Y4166">
            <v>46264</v>
          </cell>
          <cell r="Z4166">
            <v>2</v>
          </cell>
          <cell r="AA4166">
            <v>1000</v>
          </cell>
        </row>
        <row r="4167">
          <cell r="A4167">
            <v>46264</v>
          </cell>
          <cell r="D4167" t="str">
            <v>EASTERN CEBU</v>
          </cell>
          <cell r="E4167">
            <v>8</v>
          </cell>
          <cell r="H4167" t="str">
            <v>SAFISCOR</v>
          </cell>
          <cell r="N4167">
            <v>1000</v>
          </cell>
          <cell r="Y4167">
            <v>46264</v>
          </cell>
          <cell r="Z4167">
            <v>2</v>
          </cell>
          <cell r="AA4167">
            <v>1000</v>
          </cell>
        </row>
        <row r="4168">
          <cell r="A4168">
            <v>46264</v>
          </cell>
          <cell r="D4168" t="str">
            <v>LADY OF PEACE</v>
          </cell>
          <cell r="E4168">
            <v>6</v>
          </cell>
          <cell r="H4168" t="str">
            <v>GEO</v>
          </cell>
          <cell r="N4168">
            <v>1000</v>
          </cell>
          <cell r="Y4168">
            <v>46264</v>
          </cell>
          <cell r="Z4168">
            <v>2</v>
          </cell>
          <cell r="AA4168">
            <v>1000</v>
          </cell>
        </row>
        <row r="4169">
          <cell r="A4169">
            <v>46265</v>
          </cell>
          <cell r="D4169" t="str">
            <v>LADY OF ROSARY</v>
          </cell>
          <cell r="E4169">
            <v>5</v>
          </cell>
          <cell r="H4169" t="str">
            <v>GEO</v>
          </cell>
          <cell r="N4169">
            <v>1000</v>
          </cell>
          <cell r="Y4169">
            <v>46265</v>
          </cell>
          <cell r="Z4169">
            <v>1</v>
          </cell>
          <cell r="AA4169">
            <v>1000</v>
          </cell>
        </row>
        <row r="4170">
          <cell r="A4170">
            <v>46265</v>
          </cell>
          <cell r="D4170" t="str">
            <v>LADY OF ROSARY</v>
          </cell>
          <cell r="E4170">
            <v>5</v>
          </cell>
          <cell r="H4170" t="str">
            <v>GEO</v>
          </cell>
          <cell r="N4170">
            <v>1000</v>
          </cell>
          <cell r="Y4170">
            <v>46265</v>
          </cell>
          <cell r="Z4170">
            <v>1</v>
          </cell>
          <cell r="AA4170">
            <v>1000</v>
          </cell>
        </row>
        <row r="4171">
          <cell r="A4171">
            <v>46265</v>
          </cell>
          <cell r="D4171" t="str">
            <v>LADY OF ROSARY</v>
          </cell>
          <cell r="E4171">
            <v>5</v>
          </cell>
          <cell r="H4171" t="str">
            <v>SAFISCOR</v>
          </cell>
          <cell r="N4171">
            <v>1000</v>
          </cell>
          <cell r="Y4171">
            <v>46265</v>
          </cell>
          <cell r="Z4171">
            <v>1</v>
          </cell>
          <cell r="AA4171">
            <v>1000</v>
          </cell>
        </row>
        <row r="4172">
          <cell r="A4172">
            <v>46265</v>
          </cell>
          <cell r="D4172" t="str">
            <v>LADY OF ROSARY</v>
          </cell>
          <cell r="E4172">
            <v>5</v>
          </cell>
          <cell r="H4172" t="str">
            <v>SAFISCOR</v>
          </cell>
          <cell r="N4172">
            <v>1000</v>
          </cell>
          <cell r="Y4172">
            <v>46265</v>
          </cell>
          <cell r="Z4172">
            <v>1</v>
          </cell>
          <cell r="AA4172">
            <v>1000</v>
          </cell>
        </row>
        <row r="4173">
          <cell r="A4173">
            <v>46265</v>
          </cell>
          <cell r="D4173" t="str">
            <v>LADY OF ROSARY</v>
          </cell>
          <cell r="E4173">
            <v>5</v>
          </cell>
          <cell r="H4173" t="str">
            <v>SAFISCOR</v>
          </cell>
          <cell r="N4173">
            <v>1000</v>
          </cell>
          <cell r="Y4173">
            <v>46265</v>
          </cell>
          <cell r="Z4173">
            <v>2</v>
          </cell>
          <cell r="AA4173">
            <v>1000</v>
          </cell>
        </row>
        <row r="4174">
          <cell r="A4174">
            <v>46265</v>
          </cell>
          <cell r="D4174" t="str">
            <v>LADY OF ROSARY</v>
          </cell>
          <cell r="E4174">
            <v>5</v>
          </cell>
          <cell r="H4174" t="str">
            <v>SAFISCOR</v>
          </cell>
          <cell r="N4174">
            <v>1000</v>
          </cell>
          <cell r="Y4174">
            <v>46265</v>
          </cell>
          <cell r="Z4174">
            <v>1</v>
          </cell>
          <cell r="AA4174">
            <v>1000</v>
          </cell>
        </row>
        <row r="4175">
          <cell r="A4175">
            <v>46265</v>
          </cell>
          <cell r="D4175" t="str">
            <v>LADY OF ROSARY</v>
          </cell>
          <cell r="E4175">
            <v>5</v>
          </cell>
          <cell r="H4175" t="str">
            <v>SAFISCOR</v>
          </cell>
          <cell r="N4175">
            <v>1000</v>
          </cell>
          <cell r="Y4175">
            <v>46265</v>
          </cell>
          <cell r="Z4175">
            <v>1</v>
          </cell>
          <cell r="AA4175">
            <v>1000</v>
          </cell>
        </row>
        <row r="4176">
          <cell r="A4176">
            <v>46265</v>
          </cell>
          <cell r="D4176" t="str">
            <v>LADY OF ROSARY</v>
          </cell>
          <cell r="E4176">
            <v>5</v>
          </cell>
          <cell r="H4176" t="str">
            <v>SAFISCOR</v>
          </cell>
          <cell r="N4176">
            <v>1000</v>
          </cell>
          <cell r="Y4176">
            <v>46265</v>
          </cell>
          <cell r="Z4176">
            <v>2</v>
          </cell>
          <cell r="AA4176">
            <v>1000</v>
          </cell>
        </row>
        <row r="4177">
          <cell r="A4177">
            <v>46265</v>
          </cell>
          <cell r="D4177" t="str">
            <v>LADY OF DIVINE GRACE</v>
          </cell>
          <cell r="E4177">
            <v>7</v>
          </cell>
          <cell r="H4177" t="str">
            <v>SAFISCOR</v>
          </cell>
          <cell r="N4177">
            <v>1000</v>
          </cell>
          <cell r="Y4177">
            <v>46265</v>
          </cell>
          <cell r="Z4177">
            <v>1</v>
          </cell>
          <cell r="AA4177">
            <v>1000</v>
          </cell>
        </row>
        <row r="4178">
          <cell r="A4178">
            <v>46265</v>
          </cell>
          <cell r="D4178" t="str">
            <v>LADY OF ROSARY</v>
          </cell>
          <cell r="E4178">
            <v>5</v>
          </cell>
          <cell r="H4178" t="str">
            <v>SAFISCOR</v>
          </cell>
          <cell r="N4178">
            <v>1000</v>
          </cell>
          <cell r="Y4178">
            <v>46265</v>
          </cell>
          <cell r="Z4178">
            <v>2</v>
          </cell>
          <cell r="AA4178">
            <v>1000</v>
          </cell>
        </row>
        <row r="4179">
          <cell r="A4179">
            <v>46265</v>
          </cell>
          <cell r="D4179" t="str">
            <v>LADY OF ROSARY</v>
          </cell>
          <cell r="E4179">
            <v>5</v>
          </cell>
          <cell r="H4179" t="str">
            <v>SAFISCOR</v>
          </cell>
          <cell r="N4179">
            <v>1000</v>
          </cell>
          <cell r="Y4179">
            <v>46265</v>
          </cell>
          <cell r="Z4179">
            <v>2</v>
          </cell>
          <cell r="AA4179">
            <v>1000</v>
          </cell>
        </row>
        <row r="4180">
          <cell r="A4180">
            <v>46265</v>
          </cell>
          <cell r="D4180" t="str">
            <v>EASTERN CEBU</v>
          </cell>
          <cell r="E4180">
            <v>9</v>
          </cell>
          <cell r="H4180" t="str">
            <v>SAFISCOR</v>
          </cell>
          <cell r="N4180">
            <v>1000</v>
          </cell>
          <cell r="Y4180">
            <v>46265</v>
          </cell>
          <cell r="Z4180">
            <v>1</v>
          </cell>
          <cell r="AA4180">
            <v>1000</v>
          </cell>
        </row>
        <row r="4181">
          <cell r="A4181">
            <v>46265</v>
          </cell>
          <cell r="D4181" t="str">
            <v>LADY OF PEACE</v>
          </cell>
          <cell r="E4181">
            <v>6</v>
          </cell>
          <cell r="H4181" t="str">
            <v>LAPU-LAPU</v>
          </cell>
          <cell r="N4181">
            <v>1000</v>
          </cell>
          <cell r="Y4181">
            <v>46265</v>
          </cell>
          <cell r="Z4181">
            <v>1</v>
          </cell>
          <cell r="AA4181">
            <v>1000</v>
          </cell>
        </row>
        <row r="4182">
          <cell r="A4182">
            <v>46265</v>
          </cell>
          <cell r="D4182" t="str">
            <v>LADY OF DIVINE GRACE</v>
          </cell>
          <cell r="E4182">
            <v>7</v>
          </cell>
          <cell r="H4182" t="str">
            <v>SAFISCOR</v>
          </cell>
          <cell r="N4182">
            <v>1000</v>
          </cell>
          <cell r="Y4182">
            <v>46265</v>
          </cell>
          <cell r="Z4182">
            <v>1</v>
          </cell>
          <cell r="AA4182">
            <v>1000</v>
          </cell>
        </row>
        <row r="4183">
          <cell r="A4183">
            <v>46265</v>
          </cell>
          <cell r="D4183" t="str">
            <v>LADY OF DIVINE GRACE</v>
          </cell>
          <cell r="E4183">
            <v>7</v>
          </cell>
          <cell r="H4183" t="str">
            <v>SAFISCOR</v>
          </cell>
          <cell r="N4183">
            <v>1000</v>
          </cell>
          <cell r="Y4183">
            <v>46265</v>
          </cell>
          <cell r="Z4183">
            <v>1</v>
          </cell>
          <cell r="AA4183">
            <v>1000</v>
          </cell>
        </row>
        <row r="4184">
          <cell r="A4184">
            <v>46265</v>
          </cell>
          <cell r="D4184" t="str">
            <v>LADY OF DIVINE GRACE</v>
          </cell>
          <cell r="E4184">
            <v>7</v>
          </cell>
          <cell r="H4184" t="str">
            <v>SAFISCOR</v>
          </cell>
          <cell r="N4184">
            <v>1000</v>
          </cell>
          <cell r="Y4184">
            <v>46265</v>
          </cell>
          <cell r="Z4184">
            <v>1</v>
          </cell>
          <cell r="AA4184">
            <v>1000</v>
          </cell>
        </row>
        <row r="4185">
          <cell r="A4185">
            <v>46265</v>
          </cell>
          <cell r="D4185" t="str">
            <v>JERIC JAY</v>
          </cell>
          <cell r="E4185">
            <v>1</v>
          </cell>
          <cell r="H4185" t="str">
            <v>LAPU-LAPU</v>
          </cell>
          <cell r="N4185">
            <v>1000</v>
          </cell>
          <cell r="Y4185">
            <v>46265</v>
          </cell>
          <cell r="Z4185">
            <v>1</v>
          </cell>
          <cell r="AA4185">
            <v>1000</v>
          </cell>
        </row>
        <row r="4186">
          <cell r="A4186">
            <v>46265</v>
          </cell>
          <cell r="D4186" t="str">
            <v>LADY OF ROSARY</v>
          </cell>
          <cell r="E4186">
            <v>5</v>
          </cell>
          <cell r="H4186" t="str">
            <v>SAFISCOR</v>
          </cell>
          <cell r="N4186">
            <v>1000</v>
          </cell>
          <cell r="Y4186">
            <v>46265</v>
          </cell>
          <cell r="Z4186">
            <v>1</v>
          </cell>
          <cell r="AA4186">
            <v>1000</v>
          </cell>
        </row>
        <row r="4187">
          <cell r="A4187">
            <v>46265</v>
          </cell>
          <cell r="D4187" t="str">
            <v>LADY OF DIVINE GRACE</v>
          </cell>
          <cell r="E4187">
            <v>7</v>
          </cell>
          <cell r="H4187" t="str">
            <v>SAFISCOR</v>
          </cell>
          <cell r="N4187">
            <v>1000</v>
          </cell>
          <cell r="Y4187">
            <v>46265</v>
          </cell>
          <cell r="Z4187">
            <v>2</v>
          </cell>
          <cell r="AA4187">
            <v>1000</v>
          </cell>
        </row>
        <row r="4188">
          <cell r="A4188">
            <v>46265</v>
          </cell>
          <cell r="D4188" t="str">
            <v>LADY OF PEACE</v>
          </cell>
          <cell r="E4188">
            <v>8</v>
          </cell>
          <cell r="H4188" t="str">
            <v>SAFISCOR</v>
          </cell>
          <cell r="N4188">
            <v>1000</v>
          </cell>
          <cell r="Y4188">
            <v>46265</v>
          </cell>
          <cell r="Z4188">
            <v>1</v>
          </cell>
          <cell r="AA4188">
            <v>1000</v>
          </cell>
        </row>
        <row r="4189">
          <cell r="A4189">
            <v>46265</v>
          </cell>
          <cell r="D4189" t="str">
            <v>LADY OF DIVINE GRACE</v>
          </cell>
          <cell r="E4189">
            <v>7</v>
          </cell>
          <cell r="H4189" t="str">
            <v>SAFISCOR</v>
          </cell>
          <cell r="N4189">
            <v>1000</v>
          </cell>
          <cell r="Y4189">
            <v>46265</v>
          </cell>
          <cell r="Z4189">
            <v>1</v>
          </cell>
          <cell r="AA4189">
            <v>1000</v>
          </cell>
        </row>
        <row r="4190">
          <cell r="A4190">
            <v>46265</v>
          </cell>
          <cell r="D4190" t="str">
            <v>LADY OF DIVINE GRACE</v>
          </cell>
          <cell r="E4190">
            <v>7</v>
          </cell>
          <cell r="H4190" t="str">
            <v>SAFISCOR</v>
          </cell>
          <cell r="N4190">
            <v>1000</v>
          </cell>
          <cell r="Y4190">
            <v>46265</v>
          </cell>
          <cell r="Z4190">
            <v>1</v>
          </cell>
          <cell r="AA4190">
            <v>1000</v>
          </cell>
        </row>
        <row r="4191">
          <cell r="A4191">
            <v>46265</v>
          </cell>
          <cell r="D4191" t="str">
            <v>LADY OF DIVINE GRACE</v>
          </cell>
          <cell r="E4191">
            <v>7</v>
          </cell>
          <cell r="H4191" t="str">
            <v>SAFISCOR</v>
          </cell>
          <cell r="N4191">
            <v>1000</v>
          </cell>
          <cell r="Y4191">
            <v>46265</v>
          </cell>
          <cell r="Z4191">
            <v>2</v>
          </cell>
          <cell r="AA4191">
            <v>1000</v>
          </cell>
        </row>
        <row r="4192">
          <cell r="A4192">
            <v>46265</v>
          </cell>
          <cell r="D4192" t="str">
            <v>EMERALD STAR</v>
          </cell>
          <cell r="E4192">
            <v>8</v>
          </cell>
          <cell r="H4192" t="str">
            <v>SAFISCOR</v>
          </cell>
          <cell r="N4192">
            <v>1000</v>
          </cell>
          <cell r="Y4192">
            <v>46265</v>
          </cell>
          <cell r="Z4192">
            <v>1</v>
          </cell>
          <cell r="AA4192">
            <v>1000</v>
          </cell>
        </row>
        <row r="4193">
          <cell r="A4193">
            <v>46265</v>
          </cell>
          <cell r="D4193" t="str">
            <v>EMERALD STAR</v>
          </cell>
          <cell r="E4193">
            <v>8</v>
          </cell>
          <cell r="H4193" t="str">
            <v>SAFISCOR</v>
          </cell>
          <cell r="N4193">
            <v>1000</v>
          </cell>
          <cell r="Y4193">
            <v>46265</v>
          </cell>
          <cell r="Z4193">
            <v>1</v>
          </cell>
          <cell r="AA4193">
            <v>1000</v>
          </cell>
        </row>
        <row r="4194">
          <cell r="A4194">
            <v>46265</v>
          </cell>
          <cell r="D4194" t="str">
            <v>EASTERN CEBU</v>
          </cell>
          <cell r="E4194">
            <v>9</v>
          </cell>
          <cell r="H4194" t="str">
            <v>GEO</v>
          </cell>
          <cell r="N4194">
            <v>1000</v>
          </cell>
          <cell r="Y4194">
            <v>46265</v>
          </cell>
          <cell r="Z4194">
            <v>2</v>
          </cell>
          <cell r="AA4194">
            <v>1000</v>
          </cell>
        </row>
        <row r="4195">
          <cell r="A4195">
            <v>46265</v>
          </cell>
          <cell r="D4195" t="str">
            <v>EASTERN CEBU</v>
          </cell>
          <cell r="E4195">
            <v>9</v>
          </cell>
          <cell r="H4195" t="str">
            <v>SAFISCOR</v>
          </cell>
          <cell r="N4195">
            <v>1000</v>
          </cell>
          <cell r="Y4195">
            <v>46265</v>
          </cell>
          <cell r="Z4195">
            <v>2</v>
          </cell>
          <cell r="AA4195">
            <v>1000</v>
          </cell>
        </row>
        <row r="4196">
          <cell r="A4196">
            <v>46265</v>
          </cell>
          <cell r="D4196" t="str">
            <v>LADY OF ROSARY</v>
          </cell>
          <cell r="E4196">
            <v>5</v>
          </cell>
          <cell r="H4196" t="str">
            <v>SAFISCOR</v>
          </cell>
          <cell r="N4196">
            <v>500</v>
          </cell>
          <cell r="Y4196">
            <v>46265</v>
          </cell>
          <cell r="Z4196">
            <v>2</v>
          </cell>
          <cell r="AA4196">
            <v>500</v>
          </cell>
        </row>
        <row r="4197">
          <cell r="A4197">
            <v>46265</v>
          </cell>
          <cell r="D4197" t="str">
            <v>LADY OF ROSARY</v>
          </cell>
          <cell r="E4197">
            <v>5</v>
          </cell>
          <cell r="H4197" t="str">
            <v>LAPU-LAPU</v>
          </cell>
          <cell r="N4197">
            <v>1000</v>
          </cell>
          <cell r="Y4197">
            <v>46265</v>
          </cell>
          <cell r="Z4197">
            <v>1</v>
          </cell>
          <cell r="AA4197">
            <v>1000</v>
          </cell>
        </row>
        <row r="4198">
          <cell r="A4198">
            <v>46265</v>
          </cell>
          <cell r="D4198" t="str">
            <v>LADY OF ROSARY</v>
          </cell>
          <cell r="E4198">
            <v>5</v>
          </cell>
          <cell r="H4198" t="str">
            <v>LAPU-LAPU</v>
          </cell>
          <cell r="N4198">
            <v>1000</v>
          </cell>
          <cell r="Y4198">
            <v>46265</v>
          </cell>
          <cell r="Z4198">
            <v>1</v>
          </cell>
          <cell r="AA4198">
            <v>1000</v>
          </cell>
        </row>
        <row r="4199">
          <cell r="A4199">
            <v>46265</v>
          </cell>
          <cell r="D4199" t="str">
            <v>LADY OF DIVINE GRACE</v>
          </cell>
          <cell r="E4199">
            <v>7</v>
          </cell>
          <cell r="H4199" t="str">
            <v>SAFISCOR</v>
          </cell>
          <cell r="N4199">
            <v>1000</v>
          </cell>
          <cell r="Y4199">
            <v>46265</v>
          </cell>
          <cell r="Z4199">
            <v>1</v>
          </cell>
          <cell r="AA4199">
            <v>1000</v>
          </cell>
        </row>
        <row r="4200">
          <cell r="A4200">
            <v>46265</v>
          </cell>
          <cell r="D4200" t="str">
            <v>LADY OF DIVINE GRACE</v>
          </cell>
          <cell r="E4200">
            <v>7</v>
          </cell>
          <cell r="H4200" t="str">
            <v>SAFISCOR</v>
          </cell>
          <cell r="N4200">
            <v>1000</v>
          </cell>
          <cell r="Y4200">
            <v>46265</v>
          </cell>
          <cell r="Z4200">
            <v>1</v>
          </cell>
          <cell r="AA4200">
            <v>1000</v>
          </cell>
        </row>
        <row r="4201">
          <cell r="A4201">
            <v>46265</v>
          </cell>
          <cell r="D4201" t="str">
            <v>LADY OF DIVINE GRACE</v>
          </cell>
          <cell r="E4201">
            <v>7</v>
          </cell>
          <cell r="H4201" t="str">
            <v>SAFISCOR</v>
          </cell>
          <cell r="N4201">
            <v>1000</v>
          </cell>
          <cell r="Y4201">
            <v>46265</v>
          </cell>
          <cell r="Z4201">
            <v>2</v>
          </cell>
          <cell r="AA4201">
            <v>1000</v>
          </cell>
        </row>
        <row r="4202">
          <cell r="A4202">
            <v>46265</v>
          </cell>
          <cell r="D4202" t="str">
            <v>LADY OF DIVINE GRACE</v>
          </cell>
          <cell r="E4202">
            <v>7</v>
          </cell>
          <cell r="H4202" t="str">
            <v>SAFISCOR</v>
          </cell>
          <cell r="N4202">
            <v>1000</v>
          </cell>
          <cell r="Y4202">
            <v>46265</v>
          </cell>
          <cell r="Z4202">
            <v>2</v>
          </cell>
          <cell r="AA4202">
            <v>1000</v>
          </cell>
        </row>
        <row r="4203">
          <cell r="A4203">
            <v>46265</v>
          </cell>
          <cell r="D4203" t="str">
            <v>LADY OF ROSARY</v>
          </cell>
          <cell r="E4203">
            <v>5</v>
          </cell>
          <cell r="H4203" t="str">
            <v>SAFISCOR</v>
          </cell>
          <cell r="N4203">
            <v>1000</v>
          </cell>
          <cell r="Y4203">
            <v>46265</v>
          </cell>
          <cell r="Z4203">
            <v>2</v>
          </cell>
          <cell r="AA4203">
            <v>1000</v>
          </cell>
        </row>
        <row r="4204">
          <cell r="A4204">
            <v>46265</v>
          </cell>
          <cell r="D4204" t="str">
            <v>LADY OF DIVINE GRACE</v>
          </cell>
          <cell r="E4204">
            <v>7</v>
          </cell>
          <cell r="H4204" t="str">
            <v>SAFISCOR</v>
          </cell>
          <cell r="N4204">
            <v>1000</v>
          </cell>
          <cell r="Y4204">
            <v>46265</v>
          </cell>
          <cell r="Z4204">
            <v>1</v>
          </cell>
          <cell r="AA4204">
            <v>1000</v>
          </cell>
        </row>
        <row r="4205">
          <cell r="A4205">
            <v>46265</v>
          </cell>
          <cell r="D4205" t="str">
            <v>LADY OF ROSARY</v>
          </cell>
          <cell r="E4205">
            <v>5</v>
          </cell>
          <cell r="H4205" t="str">
            <v>SAFISCOR</v>
          </cell>
          <cell r="N4205">
            <v>1000</v>
          </cell>
          <cell r="Y4205">
            <v>46265</v>
          </cell>
          <cell r="Z4205">
            <v>2</v>
          </cell>
          <cell r="AA4205">
            <v>1000</v>
          </cell>
        </row>
        <row r="4206">
          <cell r="A4206">
            <v>46265</v>
          </cell>
          <cell r="D4206" t="str">
            <v>LADY OF ROSARY</v>
          </cell>
          <cell r="E4206">
            <v>5</v>
          </cell>
          <cell r="H4206" t="str">
            <v>SAFISCOR</v>
          </cell>
          <cell r="N4206">
            <v>1000</v>
          </cell>
          <cell r="Y4206">
            <v>46265</v>
          </cell>
          <cell r="Z4206">
            <v>2</v>
          </cell>
          <cell r="AA4206">
            <v>1000</v>
          </cell>
        </row>
        <row r="4207">
          <cell r="A4207">
            <v>46265</v>
          </cell>
          <cell r="D4207" t="str">
            <v>LADY OF DIVINE GRACE</v>
          </cell>
          <cell r="E4207">
            <v>7</v>
          </cell>
          <cell r="H4207" t="str">
            <v>SAFISCOR</v>
          </cell>
          <cell r="N4207">
            <v>1000</v>
          </cell>
          <cell r="Y4207">
            <v>46265</v>
          </cell>
          <cell r="Z4207">
            <v>2</v>
          </cell>
          <cell r="AA4207">
            <v>1000</v>
          </cell>
        </row>
        <row r="4208">
          <cell r="A4208">
            <v>46265</v>
          </cell>
          <cell r="D4208" t="str">
            <v>LADY OF DIVINE GRACE</v>
          </cell>
          <cell r="E4208">
            <v>7</v>
          </cell>
          <cell r="H4208" t="str">
            <v>SAFISCOR</v>
          </cell>
          <cell r="N4208">
            <v>1000</v>
          </cell>
          <cell r="Y4208">
            <v>46265</v>
          </cell>
          <cell r="Z4208">
            <v>2</v>
          </cell>
          <cell r="AA4208">
            <v>1000</v>
          </cell>
        </row>
        <row r="4209">
          <cell r="A4209">
            <v>46265</v>
          </cell>
          <cell r="D4209" t="str">
            <v>EASTERN CEBU</v>
          </cell>
          <cell r="E4209">
            <v>9</v>
          </cell>
          <cell r="H4209" t="str">
            <v>SAFISCOR</v>
          </cell>
          <cell r="N4209">
            <v>1000</v>
          </cell>
          <cell r="Y4209">
            <v>46265</v>
          </cell>
          <cell r="Z4209">
            <v>2</v>
          </cell>
          <cell r="AA4209">
            <v>1000</v>
          </cell>
        </row>
        <row r="4210">
          <cell r="A4210">
            <v>46265</v>
          </cell>
          <cell r="D4210" t="str">
            <v>EASTERN CEBU</v>
          </cell>
          <cell r="E4210">
            <v>9</v>
          </cell>
          <cell r="H4210" t="str">
            <v>LAPU-LAPU</v>
          </cell>
          <cell r="N4210">
            <v>1000</v>
          </cell>
          <cell r="Y4210">
            <v>46265</v>
          </cell>
          <cell r="Z4210">
            <v>2</v>
          </cell>
          <cell r="AA4210">
            <v>1000</v>
          </cell>
        </row>
        <row r="4211">
          <cell r="A4211">
            <v>46265</v>
          </cell>
          <cell r="D4211" t="str">
            <v>LADY OF DIVINE GRACE</v>
          </cell>
          <cell r="E4211">
            <v>7</v>
          </cell>
          <cell r="H4211" t="str">
            <v>SAFISCOR</v>
          </cell>
          <cell r="N4211">
            <v>1000</v>
          </cell>
          <cell r="Y4211">
            <v>46265</v>
          </cell>
          <cell r="Z4211">
            <v>2</v>
          </cell>
          <cell r="AA4211">
            <v>1000</v>
          </cell>
        </row>
        <row r="4212">
          <cell r="A4212">
            <v>46265</v>
          </cell>
          <cell r="D4212" t="str">
            <v>EASTERN CEBU</v>
          </cell>
          <cell r="E4212">
            <v>9</v>
          </cell>
          <cell r="H4212" t="str">
            <v>LAPU-LAPU</v>
          </cell>
          <cell r="N4212">
            <v>1000</v>
          </cell>
          <cell r="Y4212">
            <v>46265</v>
          </cell>
          <cell r="Z4212">
            <v>2</v>
          </cell>
          <cell r="AA4212">
            <v>1000</v>
          </cell>
        </row>
        <row r="4213">
          <cell r="A4213">
            <v>46265</v>
          </cell>
          <cell r="D4213" t="str">
            <v>LADY OF ROSARY</v>
          </cell>
          <cell r="E4213">
            <v>5</v>
          </cell>
          <cell r="H4213" t="str">
            <v>LAPU-LAPU</v>
          </cell>
          <cell r="N4213">
            <v>1000</v>
          </cell>
          <cell r="Y4213">
            <v>46265</v>
          </cell>
          <cell r="Z4213">
            <v>2</v>
          </cell>
          <cell r="AA4213">
            <v>1000</v>
          </cell>
        </row>
        <row r="4214">
          <cell r="A4214">
            <v>46265</v>
          </cell>
          <cell r="D4214" t="str">
            <v>LADY OF ROSARY</v>
          </cell>
          <cell r="E4214">
            <v>5</v>
          </cell>
          <cell r="H4214" t="str">
            <v>SAFISCOR</v>
          </cell>
          <cell r="N4214">
            <v>1000</v>
          </cell>
          <cell r="Y4214">
            <v>46265</v>
          </cell>
          <cell r="Z4214">
            <v>2</v>
          </cell>
          <cell r="AA4214">
            <v>1000</v>
          </cell>
        </row>
        <row r="4215">
          <cell r="A4215">
            <v>46265</v>
          </cell>
          <cell r="D4215" t="str">
            <v>LADY OF ROSARY</v>
          </cell>
          <cell r="E4215">
            <v>5</v>
          </cell>
          <cell r="H4215" t="str">
            <v>GEO</v>
          </cell>
          <cell r="N4215">
            <v>500</v>
          </cell>
          <cell r="Y4215">
            <v>46265</v>
          </cell>
          <cell r="Z4215">
            <v>2</v>
          </cell>
          <cell r="AA4215">
            <v>500</v>
          </cell>
        </row>
        <row r="4216">
          <cell r="A4216">
            <v>46265</v>
          </cell>
          <cell r="D4216" t="str">
            <v>LADY OF DIVINE GRACE</v>
          </cell>
          <cell r="E4216">
            <v>7</v>
          </cell>
          <cell r="H4216" t="str">
            <v>GEO</v>
          </cell>
          <cell r="N4216">
            <v>500</v>
          </cell>
          <cell r="Y4216">
            <v>46265</v>
          </cell>
          <cell r="Z4216">
            <v>2</v>
          </cell>
          <cell r="AA4216">
            <v>500</v>
          </cell>
        </row>
        <row r="4217">
          <cell r="A4217">
            <v>46265</v>
          </cell>
          <cell r="D4217" t="str">
            <v>EASTERN CEBU</v>
          </cell>
          <cell r="E4217">
            <v>9</v>
          </cell>
          <cell r="H4217" t="str">
            <v>SAFISCOR</v>
          </cell>
          <cell r="N4217">
            <v>1000</v>
          </cell>
          <cell r="Y4217">
            <v>46266</v>
          </cell>
          <cell r="Z4217">
            <v>2</v>
          </cell>
          <cell r="AA4217">
            <v>1000</v>
          </cell>
        </row>
        <row r="4218">
          <cell r="A4218">
            <v>46265</v>
          </cell>
          <cell r="D4218" t="str">
            <v>LADY OF ROSARY</v>
          </cell>
          <cell r="E4218">
            <v>5</v>
          </cell>
          <cell r="H4218" t="str">
            <v>SAFISCOR</v>
          </cell>
          <cell r="N4218">
            <v>1000</v>
          </cell>
          <cell r="Y4218">
            <v>46265</v>
          </cell>
          <cell r="Z4218">
            <v>2</v>
          </cell>
          <cell r="AA4218">
            <v>1000</v>
          </cell>
        </row>
        <row r="4219">
          <cell r="A4219">
            <v>46265</v>
          </cell>
          <cell r="D4219" t="str">
            <v>LADY OF DIVINE GRACE</v>
          </cell>
          <cell r="E4219">
            <v>7</v>
          </cell>
          <cell r="H4219" t="str">
            <v>SAFISCOR</v>
          </cell>
          <cell r="N4219">
            <v>1000</v>
          </cell>
          <cell r="Y4219">
            <v>46265</v>
          </cell>
          <cell r="Z4219">
            <v>2</v>
          </cell>
          <cell r="AA4219">
            <v>1000</v>
          </cell>
        </row>
        <row r="4220">
          <cell r="A4220">
            <v>46265</v>
          </cell>
          <cell r="D4220" t="str">
            <v>EASTERN CEBU</v>
          </cell>
          <cell r="E4220">
            <v>9</v>
          </cell>
          <cell r="H4220" t="str">
            <v>SAFISCOR</v>
          </cell>
          <cell r="N4220">
            <v>1000</v>
          </cell>
          <cell r="Y4220">
            <v>46265</v>
          </cell>
          <cell r="Z4220">
            <v>2</v>
          </cell>
          <cell r="AA4220">
            <v>1000</v>
          </cell>
        </row>
        <row r="4221">
          <cell r="A4221">
            <v>46265</v>
          </cell>
          <cell r="D4221" t="str">
            <v>LADY OF PEACE</v>
          </cell>
          <cell r="E4221">
            <v>6</v>
          </cell>
          <cell r="H4221" t="str">
            <v>GEO</v>
          </cell>
          <cell r="N4221">
            <v>1000</v>
          </cell>
          <cell r="Y4221">
            <v>46265</v>
          </cell>
          <cell r="Z4221">
            <v>2</v>
          </cell>
          <cell r="AA4221">
            <v>1000</v>
          </cell>
        </row>
        <row r="4222">
          <cell r="A4222">
            <v>46265</v>
          </cell>
          <cell r="D4222" t="str">
            <v>LADY OF PEACE</v>
          </cell>
          <cell r="E4222">
            <v>6</v>
          </cell>
          <cell r="H4222" t="str">
            <v>GEO</v>
          </cell>
          <cell r="N4222">
            <v>1000</v>
          </cell>
          <cell r="Y4222">
            <v>46265</v>
          </cell>
          <cell r="Z4222">
            <v>2</v>
          </cell>
          <cell r="AA4222">
            <v>1000</v>
          </cell>
        </row>
        <row r="4223">
          <cell r="A4223">
            <v>46265</v>
          </cell>
          <cell r="D4223" t="str">
            <v>LADY OF PEACE</v>
          </cell>
          <cell r="E4223">
            <v>6</v>
          </cell>
          <cell r="H4223" t="str">
            <v>SAFISCOR</v>
          </cell>
          <cell r="N4223">
            <v>1000</v>
          </cell>
          <cell r="Y4223">
            <v>46265</v>
          </cell>
          <cell r="Z4223">
            <v>2</v>
          </cell>
          <cell r="AA4223">
            <v>1000</v>
          </cell>
        </row>
        <row r="4224">
          <cell r="A4224">
            <v>46265</v>
          </cell>
          <cell r="D4224" t="str">
            <v>LADY OF PEACE</v>
          </cell>
          <cell r="E4224">
            <v>6</v>
          </cell>
          <cell r="H4224" t="str">
            <v>SAFISCOR</v>
          </cell>
          <cell r="N4224">
            <v>1000</v>
          </cell>
          <cell r="Y4224">
            <v>46265</v>
          </cell>
          <cell r="Z4224">
            <v>2</v>
          </cell>
          <cell r="AA4224">
            <v>1000</v>
          </cell>
        </row>
        <row r="4225">
          <cell r="A4225">
            <v>46265</v>
          </cell>
          <cell r="D4225" t="str">
            <v>EASTERN CEBU</v>
          </cell>
          <cell r="E4225">
            <v>9</v>
          </cell>
          <cell r="H4225" t="str">
            <v>SAFISCOR</v>
          </cell>
          <cell r="N4225">
            <v>1000</v>
          </cell>
          <cell r="Y4225">
            <v>46265</v>
          </cell>
          <cell r="Z4225">
            <v>2</v>
          </cell>
          <cell r="AA4225">
            <v>1000</v>
          </cell>
        </row>
        <row r="4226">
          <cell r="A4226">
            <v>46265</v>
          </cell>
          <cell r="D4226" t="str">
            <v>LADY OF PEACE</v>
          </cell>
          <cell r="E4226">
            <v>6</v>
          </cell>
          <cell r="H4226" t="str">
            <v>SAFISCOR</v>
          </cell>
          <cell r="N4226">
            <v>1000</v>
          </cell>
          <cell r="Y4226">
            <v>46265</v>
          </cell>
          <cell r="Z4226">
            <v>2</v>
          </cell>
          <cell r="AA4226">
            <v>1000</v>
          </cell>
        </row>
        <row r="4227">
          <cell r="A4227">
            <v>46265</v>
          </cell>
          <cell r="D4227" t="str">
            <v>LADY OF PEACE</v>
          </cell>
          <cell r="E4227">
            <v>6</v>
          </cell>
          <cell r="H4227" t="str">
            <v>SAFISCOR</v>
          </cell>
          <cell r="N4227">
            <v>1000</v>
          </cell>
          <cell r="Y4227">
            <v>46265</v>
          </cell>
          <cell r="Z4227">
            <v>2</v>
          </cell>
          <cell r="AA4227">
            <v>1000</v>
          </cell>
        </row>
        <row r="4228">
          <cell r="A4228">
            <v>46265</v>
          </cell>
          <cell r="D4228" t="str">
            <v>LADY OF PEACE</v>
          </cell>
          <cell r="E4228">
            <v>6</v>
          </cell>
          <cell r="H4228" t="str">
            <v>SAFISCOR</v>
          </cell>
          <cell r="N4228">
            <v>1000</v>
          </cell>
          <cell r="Y4228">
            <v>46265</v>
          </cell>
          <cell r="Z4228">
            <v>2</v>
          </cell>
          <cell r="AA4228">
            <v>1000</v>
          </cell>
        </row>
        <row r="4229">
          <cell r="A4229">
            <v>46265</v>
          </cell>
          <cell r="D4229" t="str">
            <v>LADY OF PEACE</v>
          </cell>
          <cell r="E4229">
            <v>6</v>
          </cell>
          <cell r="H4229" t="str">
            <v>SAFISCOR</v>
          </cell>
          <cell r="N4229">
            <v>500</v>
          </cell>
          <cell r="Y4229">
            <v>46265</v>
          </cell>
          <cell r="Z4229">
            <v>2</v>
          </cell>
          <cell r="AA4229">
            <v>500</v>
          </cell>
        </row>
        <row r="4230">
          <cell r="A4230">
            <v>46265</v>
          </cell>
          <cell r="D4230" t="str">
            <v>LADY OF ROSARY</v>
          </cell>
          <cell r="E4230">
            <v>5</v>
          </cell>
          <cell r="H4230" t="str">
            <v>SAFISCOR</v>
          </cell>
          <cell r="N4230">
            <v>1000</v>
          </cell>
          <cell r="Y4230">
            <v>46265</v>
          </cell>
          <cell r="Z4230">
            <v>2</v>
          </cell>
          <cell r="AA4230">
            <v>1000</v>
          </cell>
        </row>
        <row r="4231">
          <cell r="A4231">
            <v>46265</v>
          </cell>
          <cell r="D4231" t="str">
            <v>LADY OF ROSARY</v>
          </cell>
          <cell r="E4231">
            <v>5</v>
          </cell>
          <cell r="H4231" t="str">
            <v>SAFISCOR</v>
          </cell>
          <cell r="N4231">
            <v>1000</v>
          </cell>
          <cell r="Y4231">
            <v>46265</v>
          </cell>
          <cell r="Z4231">
            <v>2</v>
          </cell>
          <cell r="AA4231">
            <v>1000</v>
          </cell>
        </row>
        <row r="4232">
          <cell r="A4232">
            <v>46265</v>
          </cell>
          <cell r="D4232" t="str">
            <v>LADY OF ROSARY</v>
          </cell>
          <cell r="E4232">
            <v>5</v>
          </cell>
          <cell r="H4232" t="str">
            <v>SAFISCOR</v>
          </cell>
          <cell r="N4232">
            <v>1000</v>
          </cell>
          <cell r="Y4232">
            <v>46265</v>
          </cell>
          <cell r="Z4232">
            <v>2</v>
          </cell>
          <cell r="AA4232">
            <v>1000</v>
          </cell>
        </row>
        <row r="4233">
          <cell r="A4233">
            <v>46265</v>
          </cell>
          <cell r="D4233" t="str">
            <v>EASTERN CEBU</v>
          </cell>
          <cell r="E4233">
            <v>9</v>
          </cell>
          <cell r="H4233" t="str">
            <v>SAFISCOR</v>
          </cell>
          <cell r="N4233">
            <v>1000</v>
          </cell>
          <cell r="Y4233">
            <v>46265</v>
          </cell>
          <cell r="Z4233">
            <v>2</v>
          </cell>
          <cell r="AA4233">
            <v>1000</v>
          </cell>
        </row>
        <row r="4234">
          <cell r="A4234">
            <v>46265</v>
          </cell>
          <cell r="D4234" t="str">
            <v>EASTERN CEBU</v>
          </cell>
          <cell r="E4234">
            <v>9</v>
          </cell>
          <cell r="H4234" t="str">
            <v>SAFISCOR</v>
          </cell>
          <cell r="N4234">
            <v>1000</v>
          </cell>
          <cell r="Y4234">
            <v>46266</v>
          </cell>
          <cell r="Z4234">
            <v>1</v>
          </cell>
          <cell r="AA4234">
            <v>1000</v>
          </cell>
        </row>
        <row r="4235">
          <cell r="A4235">
            <v>46266</v>
          </cell>
          <cell r="D4235" t="str">
            <v>EASTERN CEBU</v>
          </cell>
          <cell r="E4235">
            <v>9</v>
          </cell>
          <cell r="H4235" t="str">
            <v>SAFISCOR</v>
          </cell>
          <cell r="N4235">
            <v>1000</v>
          </cell>
          <cell r="Y4235">
            <v>46266</v>
          </cell>
          <cell r="Z4235">
            <v>1</v>
          </cell>
          <cell r="AA4235">
            <v>1000</v>
          </cell>
        </row>
        <row r="4236">
          <cell r="A4236">
            <v>46266</v>
          </cell>
          <cell r="D4236" t="str">
            <v>EASTERN CEBU</v>
          </cell>
          <cell r="E4236">
            <v>9</v>
          </cell>
          <cell r="H4236" t="str">
            <v>LAPU-LAPU</v>
          </cell>
          <cell r="N4236">
            <v>1000</v>
          </cell>
          <cell r="Y4236">
            <v>46266</v>
          </cell>
          <cell r="Z4236">
            <v>1</v>
          </cell>
          <cell r="AA4236">
            <v>1000</v>
          </cell>
        </row>
        <row r="4237">
          <cell r="A4237">
            <v>46266</v>
          </cell>
          <cell r="D4237" t="str">
            <v>EASTERN CEBU</v>
          </cell>
          <cell r="E4237">
            <v>9</v>
          </cell>
          <cell r="H4237" t="str">
            <v>SAFISCOR</v>
          </cell>
          <cell r="N4237">
            <v>1000</v>
          </cell>
          <cell r="Y4237">
            <v>46266</v>
          </cell>
          <cell r="Z4237">
            <v>1</v>
          </cell>
          <cell r="AA4237">
            <v>1000</v>
          </cell>
        </row>
        <row r="4238">
          <cell r="A4238">
            <v>46266</v>
          </cell>
          <cell r="D4238" t="str">
            <v>EASTERN CEBU</v>
          </cell>
          <cell r="E4238">
            <v>9</v>
          </cell>
          <cell r="H4238" t="str">
            <v>GEO</v>
          </cell>
          <cell r="N4238">
            <v>1000</v>
          </cell>
          <cell r="Y4238">
            <v>46266</v>
          </cell>
          <cell r="Z4238">
            <v>2</v>
          </cell>
          <cell r="AA4238">
            <v>1000</v>
          </cell>
        </row>
        <row r="4239">
          <cell r="A4239">
            <v>46266</v>
          </cell>
          <cell r="D4239" t="str">
            <v>EASTERN CEBU</v>
          </cell>
          <cell r="E4239">
            <v>9</v>
          </cell>
          <cell r="H4239" t="str">
            <v>SAFISCOR</v>
          </cell>
          <cell r="N4239">
            <v>1000</v>
          </cell>
          <cell r="Y4239">
            <v>46266</v>
          </cell>
          <cell r="Z4239">
            <v>2</v>
          </cell>
          <cell r="AA4239">
            <v>1000</v>
          </cell>
        </row>
        <row r="4240">
          <cell r="A4240">
            <v>46266</v>
          </cell>
          <cell r="D4240" t="str">
            <v>NAPOLI</v>
          </cell>
          <cell r="E4240">
            <v>8</v>
          </cell>
          <cell r="H4240" t="str">
            <v>SAFISCOR</v>
          </cell>
          <cell r="N4240">
            <v>1000</v>
          </cell>
          <cell r="Y4240">
            <v>46266</v>
          </cell>
          <cell r="Z4240">
            <v>2</v>
          </cell>
          <cell r="AA4240">
            <v>1000</v>
          </cell>
        </row>
        <row r="4241">
          <cell r="A4241">
            <v>46266</v>
          </cell>
          <cell r="D4241" t="str">
            <v>EFG 5</v>
          </cell>
          <cell r="E4241">
            <v>5</v>
          </cell>
          <cell r="H4241" t="str">
            <v>SAFISCOR</v>
          </cell>
          <cell r="N4241">
            <v>1000</v>
          </cell>
          <cell r="Y4241">
            <v>46266</v>
          </cell>
          <cell r="Z4241">
            <v>1</v>
          </cell>
          <cell r="AA4241">
            <v>1000</v>
          </cell>
        </row>
        <row r="4242">
          <cell r="A4242">
            <v>46266</v>
          </cell>
          <cell r="D4242" t="str">
            <v>EFG 5</v>
          </cell>
          <cell r="E4242">
            <v>5</v>
          </cell>
          <cell r="H4242" t="str">
            <v>LAPU-LAPU</v>
          </cell>
          <cell r="N4242">
            <v>1000</v>
          </cell>
          <cell r="Y4242">
            <v>46266</v>
          </cell>
          <cell r="Z4242">
            <v>2</v>
          </cell>
          <cell r="AA4242">
            <v>1000</v>
          </cell>
        </row>
        <row r="4243">
          <cell r="A4243">
            <v>46266</v>
          </cell>
          <cell r="D4243" t="str">
            <v>EFG 5</v>
          </cell>
          <cell r="E4243">
            <v>5</v>
          </cell>
          <cell r="H4243" t="str">
            <v>LAPU-LAPU</v>
          </cell>
          <cell r="N4243">
            <v>1000</v>
          </cell>
          <cell r="Y4243">
            <v>46266</v>
          </cell>
          <cell r="Z4243">
            <v>2</v>
          </cell>
          <cell r="AA4243">
            <v>1000</v>
          </cell>
        </row>
        <row r="4244">
          <cell r="A4244">
            <v>46266</v>
          </cell>
          <cell r="D4244" t="str">
            <v>EFG 5</v>
          </cell>
          <cell r="E4244">
            <v>5</v>
          </cell>
          <cell r="H4244" t="str">
            <v>SAFISCOR</v>
          </cell>
          <cell r="N4244">
            <v>1000</v>
          </cell>
          <cell r="Y4244">
            <v>46266</v>
          </cell>
          <cell r="Z4244">
            <v>2</v>
          </cell>
          <cell r="AA4244">
            <v>1000</v>
          </cell>
        </row>
        <row r="4245">
          <cell r="A4245">
            <v>46266</v>
          </cell>
          <cell r="D4245" t="str">
            <v>NAPOLI</v>
          </cell>
          <cell r="E4245">
            <v>8</v>
          </cell>
          <cell r="H4245" t="str">
            <v>SAFISCOR</v>
          </cell>
          <cell r="N4245">
            <v>1000</v>
          </cell>
          <cell r="Y4245">
            <v>46266</v>
          </cell>
          <cell r="Z4245">
            <v>2</v>
          </cell>
          <cell r="AA4245">
            <v>1000</v>
          </cell>
        </row>
        <row r="4246">
          <cell r="A4246">
            <v>46266</v>
          </cell>
          <cell r="D4246" t="str">
            <v>NAPOLI</v>
          </cell>
          <cell r="E4246">
            <v>8</v>
          </cell>
          <cell r="H4246" t="str">
            <v>SAFISCOR</v>
          </cell>
          <cell r="N4246">
            <v>1000</v>
          </cell>
          <cell r="Y4246">
            <v>46266</v>
          </cell>
          <cell r="Z4246">
            <v>2</v>
          </cell>
          <cell r="AA4246">
            <v>1000</v>
          </cell>
        </row>
        <row r="4247">
          <cell r="A4247">
            <v>46266</v>
          </cell>
          <cell r="D4247" t="str">
            <v>NAPOLI</v>
          </cell>
          <cell r="E4247">
            <v>8</v>
          </cell>
          <cell r="H4247" t="str">
            <v>SAFISCOR</v>
          </cell>
          <cell r="N4247">
            <v>1000</v>
          </cell>
          <cell r="Y4247">
            <v>46267</v>
          </cell>
          <cell r="Z4247">
            <v>2</v>
          </cell>
          <cell r="AA4247">
            <v>1000</v>
          </cell>
        </row>
        <row r="4248">
          <cell r="A4248">
            <v>46266</v>
          </cell>
          <cell r="D4248" t="str">
            <v>EFG 5</v>
          </cell>
          <cell r="E4248">
            <v>5</v>
          </cell>
          <cell r="H4248" t="str">
            <v>SAFISCOR</v>
          </cell>
          <cell r="N4248">
            <v>1000</v>
          </cell>
          <cell r="Y4248">
            <v>46266</v>
          </cell>
          <cell r="Z4248">
            <v>2</v>
          </cell>
          <cell r="AA4248">
            <v>1000</v>
          </cell>
        </row>
        <row r="4249">
          <cell r="A4249">
            <v>46266</v>
          </cell>
          <cell r="D4249" t="str">
            <v>EFG 5</v>
          </cell>
          <cell r="E4249">
            <v>5</v>
          </cell>
          <cell r="H4249" t="str">
            <v>LAPU-LAPU</v>
          </cell>
          <cell r="N4249">
            <v>1000</v>
          </cell>
          <cell r="Y4249">
            <v>46266</v>
          </cell>
          <cell r="Z4249">
            <v>2</v>
          </cell>
          <cell r="AA4249">
            <v>1000</v>
          </cell>
        </row>
        <row r="4250">
          <cell r="A4250">
            <v>46266</v>
          </cell>
          <cell r="D4250" t="str">
            <v>NAPOLI</v>
          </cell>
          <cell r="E4250">
            <v>8</v>
          </cell>
          <cell r="H4250" t="str">
            <v>SAFISCOR</v>
          </cell>
          <cell r="N4250">
            <v>1000</v>
          </cell>
          <cell r="Y4250">
            <v>46267</v>
          </cell>
          <cell r="Z4250">
            <v>1</v>
          </cell>
          <cell r="AA4250">
            <v>1000</v>
          </cell>
        </row>
        <row r="4251">
          <cell r="A4251">
            <v>46266</v>
          </cell>
          <cell r="D4251" t="str">
            <v>NAPOLI</v>
          </cell>
          <cell r="E4251">
            <v>8</v>
          </cell>
          <cell r="H4251" t="str">
            <v>SAFISCOR</v>
          </cell>
          <cell r="N4251">
            <v>1000</v>
          </cell>
          <cell r="Y4251">
            <v>46267</v>
          </cell>
          <cell r="Z4251">
            <v>2</v>
          </cell>
          <cell r="AA4251">
            <v>1000</v>
          </cell>
        </row>
        <row r="4252">
          <cell r="A4252">
            <v>46266</v>
          </cell>
          <cell r="D4252" t="str">
            <v>NAPOLI</v>
          </cell>
          <cell r="E4252">
            <v>8</v>
          </cell>
          <cell r="H4252" t="str">
            <v>SAFISCOR</v>
          </cell>
          <cell r="N4252">
            <v>1000</v>
          </cell>
          <cell r="Y4252">
            <v>46266</v>
          </cell>
          <cell r="Z4252">
            <v>2</v>
          </cell>
          <cell r="AA4252">
            <v>1000</v>
          </cell>
        </row>
        <row r="4253">
          <cell r="A4253">
            <v>46266</v>
          </cell>
          <cell r="D4253" t="str">
            <v>NAPOLI</v>
          </cell>
          <cell r="E4253">
            <v>8</v>
          </cell>
          <cell r="H4253" t="str">
            <v>SAFISCOR</v>
          </cell>
          <cell r="N4253">
            <v>1000</v>
          </cell>
          <cell r="Y4253">
            <v>46267</v>
          </cell>
          <cell r="Z4253">
            <v>2</v>
          </cell>
          <cell r="AA4253">
            <v>1000</v>
          </cell>
        </row>
        <row r="4254">
          <cell r="A4254">
            <v>46266</v>
          </cell>
          <cell r="D4254" t="str">
            <v>NAPOLI</v>
          </cell>
          <cell r="E4254">
            <v>8</v>
          </cell>
          <cell r="H4254" t="str">
            <v>SAFISCOR</v>
          </cell>
          <cell r="N4254">
            <v>1000</v>
          </cell>
          <cell r="Y4254">
            <v>46267</v>
          </cell>
          <cell r="Z4254">
            <v>2</v>
          </cell>
          <cell r="AA4254">
            <v>1000</v>
          </cell>
        </row>
        <row r="4255">
          <cell r="A4255">
            <v>46266</v>
          </cell>
          <cell r="D4255" t="str">
            <v>EFG 5</v>
          </cell>
          <cell r="E4255">
            <v>5</v>
          </cell>
          <cell r="H4255" t="str">
            <v>LAPU-LAPU</v>
          </cell>
          <cell r="N4255">
            <v>1000</v>
          </cell>
          <cell r="Y4255">
            <v>46266</v>
          </cell>
          <cell r="Z4255">
            <v>2</v>
          </cell>
          <cell r="AA4255">
            <v>1000</v>
          </cell>
        </row>
        <row r="4256">
          <cell r="A4256">
            <v>46266</v>
          </cell>
          <cell r="D4256" t="str">
            <v>EFG 5</v>
          </cell>
          <cell r="E4256">
            <v>5</v>
          </cell>
          <cell r="H4256" t="str">
            <v>SAFISCOR</v>
          </cell>
          <cell r="N4256">
            <v>1000</v>
          </cell>
          <cell r="Y4256">
            <v>46267</v>
          </cell>
          <cell r="Z4256">
            <v>2</v>
          </cell>
          <cell r="AA4256">
            <v>1000</v>
          </cell>
        </row>
        <row r="4257">
          <cell r="A4257">
            <v>46266</v>
          </cell>
          <cell r="D4257" t="str">
            <v>EFG 5</v>
          </cell>
          <cell r="E4257">
            <v>5</v>
          </cell>
          <cell r="H4257" t="str">
            <v>LAPU-LAPU</v>
          </cell>
          <cell r="N4257">
            <v>1000</v>
          </cell>
          <cell r="Y4257">
            <v>46266</v>
          </cell>
          <cell r="Z4257">
            <v>2</v>
          </cell>
          <cell r="AA4257">
            <v>1000</v>
          </cell>
        </row>
        <row r="4258">
          <cell r="A4258">
            <v>46266</v>
          </cell>
          <cell r="D4258" t="str">
            <v>EFG 5</v>
          </cell>
          <cell r="E4258">
            <v>5</v>
          </cell>
          <cell r="H4258" t="str">
            <v>SAFISCOR</v>
          </cell>
          <cell r="N4258">
            <v>1000</v>
          </cell>
          <cell r="Y4258">
            <v>46267</v>
          </cell>
          <cell r="Z4258">
            <v>2</v>
          </cell>
          <cell r="AA4258">
            <v>1000</v>
          </cell>
        </row>
        <row r="4259">
          <cell r="A4259">
            <v>46266</v>
          </cell>
          <cell r="D4259" t="str">
            <v>EFG 5</v>
          </cell>
          <cell r="E4259">
            <v>5</v>
          </cell>
          <cell r="H4259" t="str">
            <v>LAPU-LAPU</v>
          </cell>
          <cell r="N4259">
            <v>1000</v>
          </cell>
          <cell r="Y4259">
            <v>46266</v>
          </cell>
          <cell r="Z4259">
            <v>2</v>
          </cell>
          <cell r="AA4259">
            <v>1000</v>
          </cell>
        </row>
        <row r="4260">
          <cell r="A4260">
            <v>46266</v>
          </cell>
          <cell r="D4260" t="str">
            <v>EFG 5</v>
          </cell>
          <cell r="E4260">
            <v>5</v>
          </cell>
          <cell r="H4260" t="str">
            <v>SAFISCOR</v>
          </cell>
          <cell r="N4260">
            <v>1000</v>
          </cell>
          <cell r="Y4260">
            <v>46267</v>
          </cell>
          <cell r="Z4260">
            <v>2</v>
          </cell>
          <cell r="AA4260">
            <v>1000</v>
          </cell>
        </row>
        <row r="4261">
          <cell r="A4261">
            <v>46266</v>
          </cell>
          <cell r="D4261" t="str">
            <v>EFG 5</v>
          </cell>
          <cell r="E4261">
            <v>5</v>
          </cell>
          <cell r="H4261" t="str">
            <v>SAFISCOR</v>
          </cell>
          <cell r="N4261">
            <v>1000</v>
          </cell>
          <cell r="Y4261">
            <v>46266</v>
          </cell>
          <cell r="Z4261">
            <v>2</v>
          </cell>
          <cell r="AA4261">
            <v>1000</v>
          </cell>
        </row>
        <row r="4262">
          <cell r="A4262">
            <v>46266</v>
          </cell>
          <cell r="D4262" t="str">
            <v>EFG 5</v>
          </cell>
          <cell r="E4262">
            <v>5</v>
          </cell>
          <cell r="H4262" t="str">
            <v>SAFISCOR</v>
          </cell>
          <cell r="N4262">
            <v>1000</v>
          </cell>
          <cell r="Y4262">
            <v>46266</v>
          </cell>
          <cell r="Z4262">
            <v>2</v>
          </cell>
          <cell r="AA4262">
            <v>1000</v>
          </cell>
        </row>
        <row r="4263">
          <cell r="A4263">
            <v>46266</v>
          </cell>
          <cell r="D4263" t="str">
            <v>NAPOLI</v>
          </cell>
          <cell r="E4263">
            <v>8</v>
          </cell>
          <cell r="H4263" t="str">
            <v>SAFISCOR</v>
          </cell>
          <cell r="N4263">
            <v>1000</v>
          </cell>
          <cell r="Y4263">
            <v>46266</v>
          </cell>
          <cell r="Z4263">
            <v>2</v>
          </cell>
          <cell r="AA4263">
            <v>1000</v>
          </cell>
        </row>
        <row r="4264">
          <cell r="A4264">
            <v>46266</v>
          </cell>
          <cell r="D4264" t="str">
            <v>NAPOLI</v>
          </cell>
          <cell r="E4264">
            <v>8</v>
          </cell>
          <cell r="H4264" t="str">
            <v>SAFISCOR</v>
          </cell>
          <cell r="N4264">
            <v>1000</v>
          </cell>
          <cell r="Y4264">
            <v>46267</v>
          </cell>
          <cell r="Z4264">
            <v>2</v>
          </cell>
          <cell r="AA4264">
            <v>1000</v>
          </cell>
        </row>
        <row r="4265">
          <cell r="A4265">
            <v>46266</v>
          </cell>
          <cell r="D4265" t="str">
            <v>EFG 5</v>
          </cell>
          <cell r="E4265">
            <v>5</v>
          </cell>
          <cell r="H4265" t="str">
            <v>SAFISCOR</v>
          </cell>
          <cell r="N4265">
            <v>1000</v>
          </cell>
          <cell r="Y4265">
            <v>46266</v>
          </cell>
          <cell r="Z4265">
            <v>2</v>
          </cell>
          <cell r="AA4265">
            <v>1000</v>
          </cell>
        </row>
        <row r="4266">
          <cell r="A4266">
            <v>46266</v>
          </cell>
          <cell r="D4266" t="str">
            <v>NAPOLI</v>
          </cell>
          <cell r="E4266">
            <v>8</v>
          </cell>
          <cell r="H4266" t="str">
            <v>SAFISCOR</v>
          </cell>
          <cell r="N4266">
            <v>1000</v>
          </cell>
          <cell r="Y4266">
            <v>46267</v>
          </cell>
          <cell r="Z4266">
            <v>1</v>
          </cell>
          <cell r="AA4266">
            <v>1000</v>
          </cell>
        </row>
        <row r="4267">
          <cell r="A4267">
            <v>46266</v>
          </cell>
          <cell r="D4267" t="str">
            <v>NAPOLI</v>
          </cell>
          <cell r="E4267">
            <v>8</v>
          </cell>
          <cell r="H4267" t="str">
            <v>SAFISCOR</v>
          </cell>
          <cell r="N4267">
            <v>1000</v>
          </cell>
          <cell r="Y4267">
            <v>46267</v>
          </cell>
          <cell r="Z4267">
            <v>2</v>
          </cell>
          <cell r="AA4267">
            <v>1000</v>
          </cell>
        </row>
        <row r="4268">
          <cell r="A4268">
            <v>46266</v>
          </cell>
          <cell r="D4268" t="str">
            <v>NAPOLI</v>
          </cell>
          <cell r="E4268">
            <v>8</v>
          </cell>
          <cell r="H4268" t="str">
            <v>SAFISCOR</v>
          </cell>
          <cell r="N4268">
            <v>1000</v>
          </cell>
          <cell r="Y4268">
            <v>46267</v>
          </cell>
          <cell r="Z4268">
            <v>2</v>
          </cell>
          <cell r="AA4268">
            <v>1000</v>
          </cell>
        </row>
        <row r="4269">
          <cell r="A4269">
            <v>46266</v>
          </cell>
          <cell r="D4269" t="str">
            <v>NAPOLI</v>
          </cell>
          <cell r="E4269">
            <v>8</v>
          </cell>
          <cell r="H4269" t="str">
            <v>LAPU-LAPU</v>
          </cell>
          <cell r="N4269">
            <v>1000</v>
          </cell>
          <cell r="Y4269">
            <v>46267</v>
          </cell>
          <cell r="Z4269">
            <v>1</v>
          </cell>
          <cell r="AA4269">
            <v>1000</v>
          </cell>
        </row>
        <row r="4270">
          <cell r="A4270">
            <v>46266</v>
          </cell>
          <cell r="D4270" t="str">
            <v>NAPOLI</v>
          </cell>
          <cell r="E4270">
            <v>8</v>
          </cell>
          <cell r="H4270" t="str">
            <v>SAFISCOR</v>
          </cell>
          <cell r="N4270">
            <v>1000</v>
          </cell>
          <cell r="Y4270">
            <v>46267</v>
          </cell>
          <cell r="Z4270">
            <v>1</v>
          </cell>
          <cell r="AA4270">
            <v>1000</v>
          </cell>
        </row>
        <row r="4271">
          <cell r="A4271">
            <v>46266</v>
          </cell>
          <cell r="D4271" t="str">
            <v>NAPOLI</v>
          </cell>
          <cell r="E4271">
            <v>8</v>
          </cell>
          <cell r="H4271" t="str">
            <v>SAFISCOR</v>
          </cell>
          <cell r="N4271">
            <v>1000</v>
          </cell>
          <cell r="Y4271">
            <v>46267</v>
          </cell>
          <cell r="Z4271">
            <v>2</v>
          </cell>
          <cell r="AA4271">
            <v>1000</v>
          </cell>
        </row>
        <row r="4272">
          <cell r="A4272">
            <v>46266</v>
          </cell>
          <cell r="D4272" t="str">
            <v>EFG 5</v>
          </cell>
          <cell r="E4272">
            <v>5</v>
          </cell>
          <cell r="H4272" t="str">
            <v>GEO</v>
          </cell>
          <cell r="N4272">
            <v>1000</v>
          </cell>
          <cell r="Y4272">
            <v>46266</v>
          </cell>
          <cell r="Z4272">
            <v>2</v>
          </cell>
          <cell r="AA4272">
            <v>1000</v>
          </cell>
        </row>
        <row r="4273">
          <cell r="A4273">
            <v>46266</v>
          </cell>
          <cell r="D4273" t="str">
            <v>EASTERN CEBU</v>
          </cell>
          <cell r="E4273">
            <v>9</v>
          </cell>
          <cell r="H4273" t="str">
            <v>GEO</v>
          </cell>
          <cell r="N4273">
            <v>1000</v>
          </cell>
          <cell r="Y4273">
            <v>46266</v>
          </cell>
          <cell r="Z4273">
            <v>2</v>
          </cell>
          <cell r="AA4273">
            <v>1000</v>
          </cell>
        </row>
        <row r="4274">
          <cell r="A4274">
            <v>46266</v>
          </cell>
          <cell r="D4274" t="str">
            <v>EFG 5</v>
          </cell>
          <cell r="E4274">
            <v>5</v>
          </cell>
          <cell r="H4274" t="str">
            <v>BADIE</v>
          </cell>
          <cell r="N4274">
            <v>1000</v>
          </cell>
          <cell r="Y4274">
            <v>46266</v>
          </cell>
          <cell r="Z4274">
            <v>2</v>
          </cell>
          <cell r="AA4274">
            <v>1000</v>
          </cell>
        </row>
        <row r="4275">
          <cell r="A4275">
            <v>46266</v>
          </cell>
          <cell r="D4275" t="str">
            <v>EFG 5</v>
          </cell>
          <cell r="E4275">
            <v>5</v>
          </cell>
          <cell r="H4275" t="str">
            <v>LAPU-LAPU</v>
          </cell>
          <cell r="N4275">
            <v>1000</v>
          </cell>
          <cell r="Y4275">
            <v>46267</v>
          </cell>
          <cell r="Z4275">
            <v>1</v>
          </cell>
          <cell r="AA4275">
            <v>1000</v>
          </cell>
        </row>
        <row r="4276">
          <cell r="A4276">
            <v>46266</v>
          </cell>
          <cell r="D4276" t="str">
            <v>EFG 5</v>
          </cell>
          <cell r="E4276">
            <v>5</v>
          </cell>
          <cell r="H4276" t="str">
            <v>SAFISCOR</v>
          </cell>
          <cell r="N4276">
            <v>1000</v>
          </cell>
          <cell r="Y4276">
            <v>46267</v>
          </cell>
          <cell r="Z4276">
            <v>1</v>
          </cell>
          <cell r="AA4276">
            <v>1000</v>
          </cell>
        </row>
        <row r="4277">
          <cell r="A4277">
            <v>46266</v>
          </cell>
          <cell r="D4277" t="str">
            <v>EFG 5</v>
          </cell>
          <cell r="E4277">
            <v>5</v>
          </cell>
          <cell r="H4277" t="str">
            <v>SAFISCOR</v>
          </cell>
          <cell r="N4277">
            <v>1000</v>
          </cell>
          <cell r="Y4277">
            <v>46266</v>
          </cell>
          <cell r="Z4277">
            <v>2</v>
          </cell>
          <cell r="AA4277">
            <v>1000</v>
          </cell>
        </row>
        <row r="4278">
          <cell r="A4278">
            <v>46266</v>
          </cell>
          <cell r="D4278" t="str">
            <v>JOHANNAH 5</v>
          </cell>
          <cell r="E4278">
            <v>1</v>
          </cell>
          <cell r="H4278" t="str">
            <v>SAFISCOR</v>
          </cell>
          <cell r="N4278">
            <v>1000</v>
          </cell>
          <cell r="Y4278">
            <v>46266</v>
          </cell>
          <cell r="Z4278">
            <v>2</v>
          </cell>
          <cell r="AA4278">
            <v>1000</v>
          </cell>
        </row>
        <row r="4279">
          <cell r="A4279">
            <v>46266</v>
          </cell>
          <cell r="D4279" t="str">
            <v>EASTERN CEBU</v>
          </cell>
          <cell r="E4279">
            <v>9</v>
          </cell>
          <cell r="H4279" t="str">
            <v>SAFISCOR</v>
          </cell>
          <cell r="N4279">
            <v>1000</v>
          </cell>
          <cell r="Y4279">
            <v>46266</v>
          </cell>
          <cell r="Z4279">
            <v>2</v>
          </cell>
          <cell r="AA4279">
            <v>1000</v>
          </cell>
        </row>
        <row r="4280">
          <cell r="A4280">
            <v>46266</v>
          </cell>
          <cell r="D4280" t="str">
            <v>EASTERN CEBU</v>
          </cell>
          <cell r="E4280">
            <v>9</v>
          </cell>
          <cell r="H4280" t="str">
            <v>SAFISCOR</v>
          </cell>
          <cell r="N4280">
            <v>1000</v>
          </cell>
          <cell r="Y4280">
            <v>46266</v>
          </cell>
          <cell r="Z4280">
            <v>2</v>
          </cell>
          <cell r="AA4280">
            <v>1000</v>
          </cell>
        </row>
        <row r="4281">
          <cell r="A4281">
            <v>46266</v>
          </cell>
          <cell r="D4281" t="str">
            <v>EASTERN CEBU</v>
          </cell>
          <cell r="E4281">
            <v>9</v>
          </cell>
          <cell r="H4281" t="str">
            <v>SAFISCOR</v>
          </cell>
          <cell r="N4281">
            <v>1000</v>
          </cell>
          <cell r="Y4281">
            <v>46266</v>
          </cell>
          <cell r="Z4281">
            <v>2</v>
          </cell>
          <cell r="AA4281">
            <v>1000</v>
          </cell>
        </row>
        <row r="4282">
          <cell r="A4282">
            <v>46266</v>
          </cell>
          <cell r="D4282" t="str">
            <v>EASTERN CEBU</v>
          </cell>
          <cell r="E4282">
            <v>9</v>
          </cell>
          <cell r="H4282" t="str">
            <v>LAPU-LAPU</v>
          </cell>
          <cell r="N4282">
            <v>1000</v>
          </cell>
          <cell r="Y4282">
            <v>46266</v>
          </cell>
          <cell r="Z4282">
            <v>2</v>
          </cell>
          <cell r="AA4282">
            <v>1000</v>
          </cell>
        </row>
        <row r="4283">
          <cell r="A4283">
            <v>46266</v>
          </cell>
          <cell r="D4283" t="str">
            <v>EASTERN CEBU</v>
          </cell>
          <cell r="E4283">
            <v>9</v>
          </cell>
          <cell r="H4283" t="str">
            <v>BADIE</v>
          </cell>
          <cell r="N4283">
            <v>1000</v>
          </cell>
          <cell r="Y4283">
            <v>46266</v>
          </cell>
          <cell r="Z4283">
            <v>2</v>
          </cell>
          <cell r="AA4283">
            <v>1000</v>
          </cell>
        </row>
        <row r="4284">
          <cell r="A4284">
            <v>46266</v>
          </cell>
          <cell r="D4284" t="str">
            <v>JOHANNAH 5</v>
          </cell>
          <cell r="E4284">
            <v>1</v>
          </cell>
          <cell r="H4284" t="str">
            <v>SAFISCOR</v>
          </cell>
          <cell r="N4284">
            <v>1000</v>
          </cell>
          <cell r="Y4284">
            <v>46266</v>
          </cell>
          <cell r="Z4284">
            <v>2</v>
          </cell>
          <cell r="AA4284">
            <v>1000</v>
          </cell>
        </row>
        <row r="4285">
          <cell r="A4285">
            <v>46266</v>
          </cell>
          <cell r="D4285" t="str">
            <v>EASTERN CEBU</v>
          </cell>
          <cell r="E4285">
            <v>9</v>
          </cell>
          <cell r="H4285" t="str">
            <v>LAPU-LAPU</v>
          </cell>
          <cell r="N4285">
            <v>1000</v>
          </cell>
          <cell r="Y4285">
            <v>46266</v>
          </cell>
          <cell r="Z4285">
            <v>2</v>
          </cell>
          <cell r="AA4285">
            <v>1000</v>
          </cell>
        </row>
        <row r="4286">
          <cell r="A4286">
            <v>46267</v>
          </cell>
          <cell r="D4286" t="str">
            <v>EFG 5</v>
          </cell>
          <cell r="E4286">
            <v>5</v>
          </cell>
          <cell r="H4286" t="str">
            <v>SAFISCOR</v>
          </cell>
          <cell r="N4286">
            <v>1000</v>
          </cell>
          <cell r="Y4286">
            <v>46267</v>
          </cell>
          <cell r="Z4286">
            <v>2</v>
          </cell>
          <cell r="AA4286">
            <v>1000</v>
          </cell>
        </row>
        <row r="4287">
          <cell r="A4287">
            <v>46267</v>
          </cell>
          <cell r="D4287" t="str">
            <v>NAPOLI</v>
          </cell>
          <cell r="E4287">
            <v>8</v>
          </cell>
          <cell r="H4287" t="str">
            <v>SAFISCOR</v>
          </cell>
          <cell r="N4287">
            <v>1000</v>
          </cell>
          <cell r="Y4287">
            <v>46267</v>
          </cell>
          <cell r="Z4287">
            <v>2</v>
          </cell>
          <cell r="AA4287">
            <v>1000</v>
          </cell>
        </row>
        <row r="4288">
          <cell r="A4288">
            <v>46267</v>
          </cell>
          <cell r="D4288" t="str">
            <v>NAPOLI</v>
          </cell>
          <cell r="E4288">
            <v>8</v>
          </cell>
          <cell r="H4288" t="str">
            <v>SAFISCOR</v>
          </cell>
          <cell r="N4288">
            <v>1000</v>
          </cell>
          <cell r="Y4288">
            <v>46267</v>
          </cell>
          <cell r="Z4288">
            <v>2</v>
          </cell>
          <cell r="AA4288">
            <v>1000</v>
          </cell>
        </row>
        <row r="4289">
          <cell r="A4289">
            <v>46267</v>
          </cell>
          <cell r="D4289" t="str">
            <v>NAPOLI</v>
          </cell>
          <cell r="E4289">
            <v>8</v>
          </cell>
          <cell r="H4289" t="str">
            <v>SAFISCOR</v>
          </cell>
          <cell r="N4289">
            <v>1000</v>
          </cell>
          <cell r="Y4289">
            <v>46267</v>
          </cell>
          <cell r="Z4289">
            <v>1</v>
          </cell>
          <cell r="AA4289">
            <v>1000</v>
          </cell>
        </row>
        <row r="4290">
          <cell r="A4290">
            <v>46267</v>
          </cell>
          <cell r="D4290" t="str">
            <v>NAPOLI</v>
          </cell>
          <cell r="E4290">
            <v>8</v>
          </cell>
          <cell r="H4290" t="str">
            <v>SAFISCOR</v>
          </cell>
          <cell r="N4290">
            <v>1000</v>
          </cell>
          <cell r="Y4290">
            <v>46267</v>
          </cell>
          <cell r="Z4290">
            <v>2</v>
          </cell>
          <cell r="AA4290">
            <v>1000</v>
          </cell>
        </row>
        <row r="4291">
          <cell r="A4291">
            <v>46267</v>
          </cell>
          <cell r="D4291" t="str">
            <v>NAPOLI</v>
          </cell>
          <cell r="E4291">
            <v>8</v>
          </cell>
          <cell r="H4291" t="str">
            <v>SAFISCOR</v>
          </cell>
          <cell r="N4291">
            <v>1000</v>
          </cell>
          <cell r="Y4291">
            <v>46267</v>
          </cell>
          <cell r="Z4291">
            <v>2</v>
          </cell>
          <cell r="AA4291">
            <v>1000</v>
          </cell>
        </row>
        <row r="4292">
          <cell r="A4292">
            <v>46267</v>
          </cell>
          <cell r="D4292" t="str">
            <v>NAPOLI</v>
          </cell>
          <cell r="E4292">
            <v>8</v>
          </cell>
          <cell r="H4292" t="str">
            <v>SAFISCOR</v>
          </cell>
          <cell r="N4292">
            <v>1000</v>
          </cell>
          <cell r="Y4292">
            <v>46267</v>
          </cell>
          <cell r="Z4292">
            <v>2</v>
          </cell>
          <cell r="AA4292">
            <v>1000</v>
          </cell>
        </row>
        <row r="4293">
          <cell r="A4293">
            <v>46267</v>
          </cell>
          <cell r="D4293" t="str">
            <v>NAPOLI</v>
          </cell>
          <cell r="E4293">
            <v>8</v>
          </cell>
          <cell r="H4293" t="str">
            <v>SAFISCOR</v>
          </cell>
          <cell r="N4293">
            <v>1000</v>
          </cell>
          <cell r="Y4293">
            <v>46268</v>
          </cell>
          <cell r="Z4293">
            <v>1</v>
          </cell>
          <cell r="AA4293">
            <v>1000</v>
          </cell>
        </row>
        <row r="4294">
          <cell r="A4294">
            <v>46267</v>
          </cell>
          <cell r="D4294" t="str">
            <v>JOHANNAH 5</v>
          </cell>
          <cell r="E4294">
            <v>1</v>
          </cell>
          <cell r="H4294" t="str">
            <v>GEO</v>
          </cell>
          <cell r="N4294">
            <v>1000</v>
          </cell>
          <cell r="Y4294">
            <v>46267</v>
          </cell>
          <cell r="Z4294">
            <v>1</v>
          </cell>
          <cell r="AA4294">
            <v>1000</v>
          </cell>
        </row>
        <row r="4295">
          <cell r="A4295">
            <v>46267</v>
          </cell>
          <cell r="D4295" t="str">
            <v>JOHANNAH 5</v>
          </cell>
          <cell r="E4295">
            <v>1</v>
          </cell>
          <cell r="H4295" t="str">
            <v>GEO</v>
          </cell>
          <cell r="N4295">
            <v>1000</v>
          </cell>
          <cell r="Y4295">
            <v>46267</v>
          </cell>
          <cell r="Z4295">
            <v>1</v>
          </cell>
          <cell r="AA4295">
            <v>1000</v>
          </cell>
        </row>
        <row r="4296">
          <cell r="A4296">
            <v>46267</v>
          </cell>
          <cell r="D4296" t="str">
            <v>JOHANNAH 5</v>
          </cell>
          <cell r="E4296">
            <v>1</v>
          </cell>
          <cell r="H4296" t="str">
            <v>FULACHE</v>
          </cell>
          <cell r="N4296">
            <v>1000</v>
          </cell>
          <cell r="Y4296">
            <v>46267</v>
          </cell>
          <cell r="Z4296">
            <v>1</v>
          </cell>
          <cell r="AA4296">
            <v>1000</v>
          </cell>
        </row>
        <row r="4297">
          <cell r="A4297">
            <v>46267</v>
          </cell>
          <cell r="D4297" t="str">
            <v>EFG 5</v>
          </cell>
          <cell r="E4297">
            <v>5</v>
          </cell>
          <cell r="H4297" t="str">
            <v>BADIE</v>
          </cell>
          <cell r="N4297">
            <v>1000</v>
          </cell>
          <cell r="Y4297">
            <v>46267</v>
          </cell>
          <cell r="Z4297">
            <v>1</v>
          </cell>
          <cell r="AA4297">
            <v>1000</v>
          </cell>
        </row>
        <row r="4298">
          <cell r="A4298">
            <v>46267</v>
          </cell>
          <cell r="D4298" t="str">
            <v>EFG 5</v>
          </cell>
          <cell r="E4298">
            <v>5</v>
          </cell>
          <cell r="H4298" t="str">
            <v>LAPU-LAPU</v>
          </cell>
          <cell r="N4298">
            <v>1000</v>
          </cell>
          <cell r="Y4298">
            <v>46267</v>
          </cell>
          <cell r="Z4298">
            <v>1</v>
          </cell>
          <cell r="AA4298">
            <v>1000</v>
          </cell>
        </row>
        <row r="4299">
          <cell r="A4299">
            <v>46267</v>
          </cell>
          <cell r="D4299" t="str">
            <v>EFG 5</v>
          </cell>
          <cell r="E4299">
            <v>5</v>
          </cell>
          <cell r="H4299" t="str">
            <v>GEO</v>
          </cell>
          <cell r="N4299">
            <v>1000</v>
          </cell>
          <cell r="Y4299">
            <v>46267</v>
          </cell>
          <cell r="Z4299">
            <v>1</v>
          </cell>
          <cell r="AA4299">
            <v>1000</v>
          </cell>
        </row>
        <row r="4300">
          <cell r="A4300">
            <v>46267</v>
          </cell>
          <cell r="D4300" t="str">
            <v>JOHANNAH 5</v>
          </cell>
          <cell r="E4300">
            <v>1</v>
          </cell>
          <cell r="H4300" t="str">
            <v>APLUS</v>
          </cell>
          <cell r="N4300">
            <v>1000</v>
          </cell>
          <cell r="Y4300">
            <v>46267</v>
          </cell>
          <cell r="Z4300">
            <v>1</v>
          </cell>
          <cell r="AA4300">
            <v>1000</v>
          </cell>
        </row>
        <row r="4301">
          <cell r="A4301">
            <v>46267</v>
          </cell>
          <cell r="D4301" t="str">
            <v>JOHANNAH 5</v>
          </cell>
          <cell r="E4301">
            <v>1</v>
          </cell>
          <cell r="H4301" t="str">
            <v>SAFISCOR</v>
          </cell>
          <cell r="N4301">
            <v>1000</v>
          </cell>
          <cell r="Y4301">
            <v>46267</v>
          </cell>
          <cell r="Z4301">
            <v>1</v>
          </cell>
          <cell r="AA4301">
            <v>1000</v>
          </cell>
        </row>
        <row r="4302">
          <cell r="A4302">
            <v>46267</v>
          </cell>
          <cell r="D4302" t="str">
            <v>EFG 5</v>
          </cell>
          <cell r="E4302">
            <v>5</v>
          </cell>
          <cell r="H4302" t="str">
            <v>SAFISCOR</v>
          </cell>
          <cell r="N4302">
            <v>1000</v>
          </cell>
          <cell r="Y4302">
            <v>46267</v>
          </cell>
          <cell r="Z4302">
            <v>1</v>
          </cell>
          <cell r="AA4302">
            <v>1000</v>
          </cell>
        </row>
        <row r="4303">
          <cell r="A4303">
            <v>46267</v>
          </cell>
          <cell r="D4303" t="str">
            <v>NAPOLI</v>
          </cell>
          <cell r="E4303">
            <v>8</v>
          </cell>
          <cell r="H4303" t="str">
            <v>LAPU-LAPU</v>
          </cell>
          <cell r="N4303">
            <v>1000</v>
          </cell>
          <cell r="Y4303">
            <v>46267</v>
          </cell>
          <cell r="Z4303">
            <v>1</v>
          </cell>
          <cell r="AA4303">
            <v>1000</v>
          </cell>
        </row>
        <row r="4304">
          <cell r="A4304">
            <v>46267</v>
          </cell>
          <cell r="D4304" t="str">
            <v>JOHANNAH 5</v>
          </cell>
          <cell r="E4304">
            <v>1</v>
          </cell>
          <cell r="H4304" t="str">
            <v>SAFISCOR</v>
          </cell>
          <cell r="N4304">
            <v>1000</v>
          </cell>
          <cell r="Y4304">
            <v>46267</v>
          </cell>
          <cell r="Z4304">
            <v>2</v>
          </cell>
          <cell r="AA4304">
            <v>1000</v>
          </cell>
        </row>
        <row r="4305">
          <cell r="A4305">
            <v>46267</v>
          </cell>
          <cell r="D4305" t="str">
            <v>JOHANNAH 5</v>
          </cell>
          <cell r="E4305">
            <v>1</v>
          </cell>
          <cell r="H4305" t="str">
            <v>SAFISCOR</v>
          </cell>
          <cell r="N4305">
            <v>1000</v>
          </cell>
          <cell r="Y4305">
            <v>46267</v>
          </cell>
          <cell r="Z4305">
            <v>1</v>
          </cell>
          <cell r="AA4305">
            <v>1000</v>
          </cell>
        </row>
        <row r="4306">
          <cell r="A4306">
            <v>46267</v>
          </cell>
          <cell r="D4306" t="str">
            <v>JOHANNAH 5</v>
          </cell>
          <cell r="E4306">
            <v>1</v>
          </cell>
          <cell r="H4306" t="str">
            <v>SAFISCOR</v>
          </cell>
          <cell r="N4306">
            <v>1000</v>
          </cell>
          <cell r="Y4306">
            <v>46267</v>
          </cell>
          <cell r="Z4306">
            <v>2</v>
          </cell>
          <cell r="AA4306">
            <v>1000</v>
          </cell>
        </row>
        <row r="4307">
          <cell r="A4307">
            <v>46267</v>
          </cell>
          <cell r="D4307" t="str">
            <v>JOHANNAH 5</v>
          </cell>
          <cell r="E4307">
            <v>1</v>
          </cell>
          <cell r="H4307" t="str">
            <v>LAPU-LAPU</v>
          </cell>
          <cell r="N4307">
            <v>1000</v>
          </cell>
          <cell r="Y4307">
            <v>46267</v>
          </cell>
          <cell r="Z4307">
            <v>2</v>
          </cell>
          <cell r="AA4307">
            <v>1000</v>
          </cell>
        </row>
        <row r="4308">
          <cell r="A4308">
            <v>46267</v>
          </cell>
          <cell r="D4308" t="str">
            <v>JOHANNAH 5</v>
          </cell>
          <cell r="E4308">
            <v>1</v>
          </cell>
          <cell r="H4308" t="str">
            <v>SAFISCOR</v>
          </cell>
          <cell r="N4308">
            <v>1000</v>
          </cell>
          <cell r="Y4308">
            <v>46267</v>
          </cell>
          <cell r="Z4308">
            <v>2</v>
          </cell>
          <cell r="AA4308">
            <v>1000</v>
          </cell>
        </row>
        <row r="4309">
          <cell r="A4309">
            <v>46267</v>
          </cell>
          <cell r="D4309" t="str">
            <v>JOHANNAH 5</v>
          </cell>
          <cell r="E4309">
            <v>1</v>
          </cell>
          <cell r="H4309" t="str">
            <v>SAFISCOR</v>
          </cell>
          <cell r="N4309">
            <v>1000</v>
          </cell>
          <cell r="Y4309">
            <v>46267</v>
          </cell>
          <cell r="Z4309">
            <v>2</v>
          </cell>
          <cell r="AA4309">
            <v>1000</v>
          </cell>
        </row>
        <row r="4310">
          <cell r="A4310">
            <v>46267</v>
          </cell>
          <cell r="D4310" t="str">
            <v>JOHANNAH 5</v>
          </cell>
          <cell r="E4310">
            <v>1</v>
          </cell>
          <cell r="H4310" t="str">
            <v>SAFISCOR</v>
          </cell>
          <cell r="N4310">
            <v>500</v>
          </cell>
          <cell r="Y4310">
            <v>46267</v>
          </cell>
          <cell r="Z4310">
            <v>2</v>
          </cell>
          <cell r="AA4310">
            <v>500</v>
          </cell>
        </row>
        <row r="4311">
          <cell r="A4311">
            <v>46267</v>
          </cell>
          <cell r="D4311" t="str">
            <v>JOHANNAH 5</v>
          </cell>
          <cell r="E4311">
            <v>1</v>
          </cell>
          <cell r="H4311" t="str">
            <v>SAFISCOR</v>
          </cell>
          <cell r="N4311">
            <v>500</v>
          </cell>
          <cell r="Y4311">
            <v>46267</v>
          </cell>
          <cell r="Z4311">
            <v>2</v>
          </cell>
          <cell r="AA4311">
            <v>500</v>
          </cell>
        </row>
        <row r="4312">
          <cell r="A4312">
            <v>46267</v>
          </cell>
          <cell r="D4312" t="str">
            <v>JOHANNAH 5</v>
          </cell>
          <cell r="E4312">
            <v>1</v>
          </cell>
          <cell r="H4312" t="str">
            <v>GEO</v>
          </cell>
          <cell r="N4312">
            <v>1000</v>
          </cell>
          <cell r="Y4312">
            <v>46267</v>
          </cell>
          <cell r="Z4312">
            <v>2</v>
          </cell>
          <cell r="AA4312">
            <v>1000</v>
          </cell>
        </row>
        <row r="4313">
          <cell r="A4313">
            <v>46267</v>
          </cell>
          <cell r="D4313" t="str">
            <v>JOHANNAH 5</v>
          </cell>
          <cell r="E4313">
            <v>1</v>
          </cell>
          <cell r="H4313" t="str">
            <v>GEO</v>
          </cell>
          <cell r="N4313">
            <v>1000</v>
          </cell>
          <cell r="Y4313">
            <v>46267</v>
          </cell>
          <cell r="Z4313">
            <v>2</v>
          </cell>
          <cell r="AA4313">
            <v>1000</v>
          </cell>
        </row>
        <row r="4314">
          <cell r="A4314">
            <v>46267</v>
          </cell>
          <cell r="D4314" t="str">
            <v>JOHANNAH 5</v>
          </cell>
          <cell r="E4314">
            <v>1</v>
          </cell>
          <cell r="H4314" t="str">
            <v>SAFISCOR</v>
          </cell>
          <cell r="N4314">
            <v>1000</v>
          </cell>
          <cell r="Y4314">
            <v>46267</v>
          </cell>
          <cell r="Z4314">
            <v>1</v>
          </cell>
          <cell r="AA4314">
            <v>1000</v>
          </cell>
        </row>
        <row r="4315">
          <cell r="A4315">
            <v>46267</v>
          </cell>
          <cell r="D4315" t="str">
            <v>JOHANNAH 5</v>
          </cell>
          <cell r="E4315">
            <v>1</v>
          </cell>
          <cell r="H4315" t="str">
            <v>SAFISCOR</v>
          </cell>
          <cell r="N4315">
            <v>1000</v>
          </cell>
          <cell r="Y4315">
            <v>46267</v>
          </cell>
          <cell r="Z4315">
            <v>1</v>
          </cell>
          <cell r="AA4315">
            <v>1000</v>
          </cell>
        </row>
        <row r="4316">
          <cell r="A4316">
            <v>46267</v>
          </cell>
          <cell r="D4316" t="str">
            <v>JOHANNAH 5</v>
          </cell>
          <cell r="E4316">
            <v>1</v>
          </cell>
          <cell r="H4316" t="str">
            <v>LAPU-LAPU</v>
          </cell>
          <cell r="N4316">
            <v>1000</v>
          </cell>
          <cell r="Y4316">
            <v>46267</v>
          </cell>
          <cell r="Z4316">
            <v>1</v>
          </cell>
          <cell r="AA4316">
            <v>1000</v>
          </cell>
        </row>
        <row r="4317">
          <cell r="A4317">
            <v>46267</v>
          </cell>
          <cell r="D4317" t="str">
            <v>JOHANNAH 5</v>
          </cell>
          <cell r="E4317">
            <v>1</v>
          </cell>
          <cell r="H4317" t="str">
            <v>SAFISCOR</v>
          </cell>
          <cell r="N4317">
            <v>1000</v>
          </cell>
          <cell r="Y4317">
            <v>46267</v>
          </cell>
          <cell r="Z4317">
            <v>1</v>
          </cell>
          <cell r="AA4317">
            <v>1000</v>
          </cell>
        </row>
        <row r="4318">
          <cell r="A4318">
            <v>46267</v>
          </cell>
          <cell r="D4318" t="str">
            <v>JOHANNAH 7</v>
          </cell>
          <cell r="E4318">
            <v>5</v>
          </cell>
          <cell r="H4318" t="str">
            <v>LAPU-LAPU</v>
          </cell>
          <cell r="N4318">
            <v>1000</v>
          </cell>
          <cell r="Y4318">
            <v>46267</v>
          </cell>
          <cell r="Z4318">
            <v>2</v>
          </cell>
          <cell r="AA4318">
            <v>1000</v>
          </cell>
        </row>
        <row r="4319">
          <cell r="A4319">
            <v>46267</v>
          </cell>
          <cell r="D4319" t="str">
            <v>JOHANNAH 7</v>
          </cell>
          <cell r="E4319">
            <v>5</v>
          </cell>
          <cell r="H4319" t="str">
            <v>SAFISCOR</v>
          </cell>
          <cell r="N4319">
            <v>1000</v>
          </cell>
          <cell r="Y4319">
            <v>46267</v>
          </cell>
          <cell r="Z4319">
            <v>2</v>
          </cell>
          <cell r="AA4319">
            <v>1000</v>
          </cell>
        </row>
        <row r="4320">
          <cell r="A4320">
            <v>46267</v>
          </cell>
          <cell r="D4320" t="str">
            <v>EFG 5</v>
          </cell>
          <cell r="E4320">
            <v>5</v>
          </cell>
          <cell r="H4320" t="str">
            <v>SAFISCOR</v>
          </cell>
          <cell r="N4320">
            <v>1000</v>
          </cell>
          <cell r="Y4320">
            <v>46267</v>
          </cell>
          <cell r="Z4320">
            <v>2</v>
          </cell>
          <cell r="AA4320">
            <v>1000</v>
          </cell>
        </row>
        <row r="4321">
          <cell r="A4321">
            <v>46267</v>
          </cell>
          <cell r="D4321" t="str">
            <v>JOHANNAH 7</v>
          </cell>
          <cell r="E4321">
            <v>5</v>
          </cell>
          <cell r="H4321" t="str">
            <v>SAFISCOR</v>
          </cell>
          <cell r="N4321">
            <v>1000</v>
          </cell>
          <cell r="Y4321">
            <v>46267</v>
          </cell>
          <cell r="Z4321">
            <v>2</v>
          </cell>
          <cell r="AA4321">
            <v>1000</v>
          </cell>
        </row>
        <row r="4322">
          <cell r="A4322">
            <v>46267</v>
          </cell>
          <cell r="D4322" t="str">
            <v>JOHANNAH 7</v>
          </cell>
          <cell r="E4322">
            <v>5</v>
          </cell>
          <cell r="H4322" t="str">
            <v>SAFISCOR</v>
          </cell>
          <cell r="N4322">
            <v>1000</v>
          </cell>
          <cell r="Y4322">
            <v>46267</v>
          </cell>
          <cell r="Z4322">
            <v>2</v>
          </cell>
          <cell r="AA4322">
            <v>1000</v>
          </cell>
        </row>
        <row r="4323">
          <cell r="A4323">
            <v>46267</v>
          </cell>
          <cell r="D4323" t="str">
            <v>JOHANNAH 7</v>
          </cell>
          <cell r="E4323">
            <v>5</v>
          </cell>
          <cell r="H4323" t="str">
            <v>SAFISCOR</v>
          </cell>
          <cell r="N4323">
            <v>1000</v>
          </cell>
          <cell r="Y4323">
            <v>46267</v>
          </cell>
          <cell r="Z4323">
            <v>2</v>
          </cell>
          <cell r="AA4323">
            <v>1000</v>
          </cell>
        </row>
        <row r="4324">
          <cell r="A4324">
            <v>46267</v>
          </cell>
          <cell r="D4324" t="str">
            <v>JOHANNAH 7</v>
          </cell>
          <cell r="E4324">
            <v>5</v>
          </cell>
          <cell r="H4324" t="str">
            <v>SAFISCOR</v>
          </cell>
          <cell r="N4324">
            <v>1000</v>
          </cell>
          <cell r="Y4324">
            <v>46267</v>
          </cell>
          <cell r="Z4324">
            <v>2</v>
          </cell>
          <cell r="AA4324">
            <v>1000</v>
          </cell>
        </row>
        <row r="4325">
          <cell r="A4325">
            <v>46267</v>
          </cell>
          <cell r="D4325" t="str">
            <v>JOHANNAH 7</v>
          </cell>
          <cell r="E4325">
            <v>5</v>
          </cell>
          <cell r="H4325" t="str">
            <v>GEO</v>
          </cell>
          <cell r="N4325">
            <v>1000</v>
          </cell>
          <cell r="Y4325">
            <v>46267</v>
          </cell>
          <cell r="Z4325">
            <v>2</v>
          </cell>
          <cell r="AA4325">
            <v>1000</v>
          </cell>
        </row>
        <row r="4326">
          <cell r="A4326">
            <v>46267</v>
          </cell>
          <cell r="D4326" t="str">
            <v>LADY OF REMEDY</v>
          </cell>
          <cell r="E4326">
            <v>7</v>
          </cell>
          <cell r="H4326" t="str">
            <v>SAFISCOR</v>
          </cell>
          <cell r="N4326">
            <v>1000</v>
          </cell>
          <cell r="Y4326">
            <v>46268</v>
          </cell>
          <cell r="Z4326">
            <v>1</v>
          </cell>
          <cell r="AA4326">
            <v>1000</v>
          </cell>
        </row>
        <row r="4327">
          <cell r="A4327">
            <v>46267</v>
          </cell>
          <cell r="D4327" t="str">
            <v>JOHANNAH 7</v>
          </cell>
          <cell r="E4327">
            <v>5</v>
          </cell>
          <cell r="H4327" t="str">
            <v>SAFISCOR</v>
          </cell>
          <cell r="N4327">
            <v>1000</v>
          </cell>
          <cell r="Y4327">
            <v>46267</v>
          </cell>
          <cell r="Z4327">
            <v>2</v>
          </cell>
          <cell r="AA4327">
            <v>1000</v>
          </cell>
        </row>
        <row r="4328">
          <cell r="A4328">
            <v>46267</v>
          </cell>
          <cell r="D4328" t="str">
            <v>JOHANNAH 7</v>
          </cell>
          <cell r="E4328">
            <v>5</v>
          </cell>
          <cell r="H4328" t="str">
            <v>SAFISCOR</v>
          </cell>
          <cell r="N4328">
            <v>1000</v>
          </cell>
          <cell r="Y4328">
            <v>46267</v>
          </cell>
          <cell r="Z4328">
            <v>2</v>
          </cell>
          <cell r="AA4328">
            <v>1000</v>
          </cell>
        </row>
        <row r="4329">
          <cell r="A4329">
            <v>46267</v>
          </cell>
          <cell r="D4329" t="str">
            <v>JOHANNAH 7</v>
          </cell>
          <cell r="E4329">
            <v>5</v>
          </cell>
          <cell r="H4329" t="str">
            <v>LAPU-LAPU</v>
          </cell>
          <cell r="N4329">
            <v>1000</v>
          </cell>
          <cell r="Y4329">
            <v>46267</v>
          </cell>
          <cell r="Z4329">
            <v>2</v>
          </cell>
          <cell r="AA4329">
            <v>1000</v>
          </cell>
        </row>
        <row r="4330">
          <cell r="A4330">
            <v>46267</v>
          </cell>
          <cell r="D4330" t="str">
            <v>LADY OF REMEDY</v>
          </cell>
          <cell r="E4330">
            <v>7</v>
          </cell>
          <cell r="H4330" t="str">
            <v>LAPU-LAPU</v>
          </cell>
          <cell r="N4330">
            <v>1000</v>
          </cell>
          <cell r="Y4330">
            <v>46267</v>
          </cell>
          <cell r="Z4330">
            <v>2</v>
          </cell>
          <cell r="AA4330">
            <v>1000</v>
          </cell>
        </row>
        <row r="4331">
          <cell r="A4331">
            <v>46267</v>
          </cell>
          <cell r="D4331" t="str">
            <v>EFG 5</v>
          </cell>
          <cell r="E4331">
            <v>5</v>
          </cell>
          <cell r="H4331" t="str">
            <v>SAFISCOR</v>
          </cell>
          <cell r="N4331">
            <v>1000</v>
          </cell>
          <cell r="Y4331">
            <v>46267</v>
          </cell>
          <cell r="Z4331">
            <v>2</v>
          </cell>
          <cell r="AA4331">
            <v>1000</v>
          </cell>
        </row>
        <row r="4332">
          <cell r="A4332">
            <v>46267</v>
          </cell>
          <cell r="D4332" t="str">
            <v>EFG 5</v>
          </cell>
          <cell r="E4332">
            <v>5</v>
          </cell>
          <cell r="H4332" t="str">
            <v>SAFISCOR</v>
          </cell>
          <cell r="N4332">
            <v>1000</v>
          </cell>
          <cell r="Y4332">
            <v>46267</v>
          </cell>
          <cell r="Z4332">
            <v>2</v>
          </cell>
          <cell r="AA4332">
            <v>1000</v>
          </cell>
        </row>
        <row r="4333">
          <cell r="A4333">
            <v>46267</v>
          </cell>
          <cell r="D4333" t="str">
            <v>LADY OF REMEDY</v>
          </cell>
          <cell r="E4333">
            <v>7</v>
          </cell>
          <cell r="H4333" t="str">
            <v>SAFISCOR</v>
          </cell>
          <cell r="N4333">
            <v>1000</v>
          </cell>
          <cell r="Y4333">
            <v>46268</v>
          </cell>
          <cell r="Z4333">
            <v>1</v>
          </cell>
          <cell r="AA4333">
            <v>1000</v>
          </cell>
        </row>
        <row r="4334">
          <cell r="A4334">
            <v>46267</v>
          </cell>
          <cell r="D4334" t="str">
            <v>LADY OF REMEDY</v>
          </cell>
          <cell r="E4334">
            <v>7</v>
          </cell>
          <cell r="H4334" t="str">
            <v>SAFISCOR</v>
          </cell>
          <cell r="N4334">
            <v>1000</v>
          </cell>
          <cell r="Y4334">
            <v>46267</v>
          </cell>
          <cell r="Z4334">
            <v>2</v>
          </cell>
          <cell r="AA4334">
            <v>1000</v>
          </cell>
        </row>
        <row r="4335">
          <cell r="A4335">
            <v>46267</v>
          </cell>
          <cell r="D4335" t="str">
            <v>LADY OF REMEDY</v>
          </cell>
          <cell r="E4335">
            <v>7</v>
          </cell>
          <cell r="H4335" t="str">
            <v>SAFISCOR</v>
          </cell>
          <cell r="N4335">
            <v>1000</v>
          </cell>
          <cell r="Y4335">
            <v>46268</v>
          </cell>
          <cell r="Z4335">
            <v>1</v>
          </cell>
          <cell r="AA4335">
            <v>1000</v>
          </cell>
        </row>
        <row r="4336">
          <cell r="A4336">
            <v>46267</v>
          </cell>
          <cell r="D4336" t="str">
            <v>LADY OF REMEDY</v>
          </cell>
          <cell r="E4336">
            <v>7</v>
          </cell>
          <cell r="H4336" t="str">
            <v>GEO</v>
          </cell>
          <cell r="N4336">
            <v>1000</v>
          </cell>
          <cell r="Y4336">
            <v>46267</v>
          </cell>
          <cell r="Z4336">
            <v>2</v>
          </cell>
          <cell r="AA4336">
            <v>1000</v>
          </cell>
        </row>
        <row r="4337">
          <cell r="A4337">
            <v>46267</v>
          </cell>
          <cell r="D4337" t="str">
            <v>LADY OF REMEDY</v>
          </cell>
          <cell r="E4337">
            <v>7</v>
          </cell>
          <cell r="H4337" t="str">
            <v>SAFISCOR</v>
          </cell>
          <cell r="N4337">
            <v>1000</v>
          </cell>
          <cell r="Y4337">
            <v>46267</v>
          </cell>
          <cell r="Z4337">
            <v>2</v>
          </cell>
          <cell r="AA4337">
            <v>1000</v>
          </cell>
        </row>
        <row r="4338">
          <cell r="A4338">
            <v>46267</v>
          </cell>
          <cell r="D4338" t="str">
            <v>LADY OF REMEDY</v>
          </cell>
          <cell r="E4338">
            <v>7</v>
          </cell>
          <cell r="H4338" t="str">
            <v>SAFISCOR</v>
          </cell>
          <cell r="N4338">
            <v>1000</v>
          </cell>
          <cell r="Y4338">
            <v>46267</v>
          </cell>
          <cell r="Z4338">
            <v>2</v>
          </cell>
          <cell r="AA4338">
            <v>1000</v>
          </cell>
        </row>
        <row r="4339">
          <cell r="A4339">
            <v>46267</v>
          </cell>
          <cell r="D4339" t="str">
            <v>EFG 5</v>
          </cell>
          <cell r="E4339">
            <v>5</v>
          </cell>
          <cell r="H4339" t="str">
            <v>SAFISCOR</v>
          </cell>
          <cell r="N4339">
            <v>1000</v>
          </cell>
          <cell r="Y4339">
            <v>46267</v>
          </cell>
          <cell r="Z4339">
            <v>2</v>
          </cell>
          <cell r="AA4339">
            <v>1000</v>
          </cell>
        </row>
        <row r="4340">
          <cell r="A4340">
            <v>46267</v>
          </cell>
          <cell r="D4340" t="str">
            <v>EFG 5</v>
          </cell>
          <cell r="E4340">
            <v>5</v>
          </cell>
          <cell r="H4340" t="str">
            <v>SAFISCOR</v>
          </cell>
          <cell r="N4340">
            <v>1000</v>
          </cell>
          <cell r="Y4340">
            <v>46267</v>
          </cell>
          <cell r="Z4340">
            <v>2</v>
          </cell>
          <cell r="AA4340">
            <v>1000</v>
          </cell>
        </row>
        <row r="4341">
          <cell r="A4341">
            <v>46267</v>
          </cell>
          <cell r="D4341" t="str">
            <v>LADY OF REMEDY</v>
          </cell>
          <cell r="E4341">
            <v>7</v>
          </cell>
          <cell r="H4341" t="str">
            <v>SAFISCOR</v>
          </cell>
          <cell r="N4341">
            <v>1000</v>
          </cell>
          <cell r="Y4341">
            <v>46268</v>
          </cell>
          <cell r="Z4341">
            <v>1</v>
          </cell>
          <cell r="AA4341">
            <v>1000</v>
          </cell>
        </row>
        <row r="4342">
          <cell r="A4342">
            <v>46267</v>
          </cell>
          <cell r="D4342" t="str">
            <v>LADY OF REMEDY</v>
          </cell>
          <cell r="E4342">
            <v>7</v>
          </cell>
          <cell r="H4342" t="str">
            <v>SAFISCOR</v>
          </cell>
          <cell r="N4342">
            <v>1000</v>
          </cell>
          <cell r="Y4342">
            <v>46268</v>
          </cell>
          <cell r="Z4342">
            <v>1</v>
          </cell>
          <cell r="AA4342">
            <v>1000</v>
          </cell>
        </row>
        <row r="4343">
          <cell r="A4343">
            <v>46267</v>
          </cell>
          <cell r="D4343" t="str">
            <v>LADY OF REMEDY</v>
          </cell>
          <cell r="E4343">
            <v>7</v>
          </cell>
          <cell r="H4343" t="str">
            <v>SAFISCOR</v>
          </cell>
          <cell r="N4343">
            <v>1000</v>
          </cell>
          <cell r="Y4343">
            <v>46267</v>
          </cell>
          <cell r="Z4343">
            <v>2</v>
          </cell>
          <cell r="AA4343">
            <v>1000</v>
          </cell>
        </row>
        <row r="4344">
          <cell r="A4344">
            <v>46267</v>
          </cell>
          <cell r="D4344" t="str">
            <v>LADY OF REMEDY</v>
          </cell>
          <cell r="E4344">
            <v>7</v>
          </cell>
          <cell r="H4344" t="str">
            <v>SAFISCOR</v>
          </cell>
          <cell r="N4344">
            <v>1000</v>
          </cell>
          <cell r="Y4344">
            <v>46268</v>
          </cell>
          <cell r="Z4344">
            <v>1</v>
          </cell>
          <cell r="AA4344">
            <v>1000</v>
          </cell>
        </row>
        <row r="4345">
          <cell r="A4345">
            <v>46267</v>
          </cell>
          <cell r="D4345" t="str">
            <v>LADY OF REMEDY</v>
          </cell>
          <cell r="E4345">
            <v>7</v>
          </cell>
          <cell r="H4345" t="str">
            <v>SAFISCOR</v>
          </cell>
          <cell r="N4345">
            <v>1000</v>
          </cell>
          <cell r="Y4345">
            <v>46268</v>
          </cell>
          <cell r="Z4345">
            <v>1</v>
          </cell>
          <cell r="AA4345">
            <v>1000</v>
          </cell>
        </row>
        <row r="4346">
          <cell r="A4346">
            <v>46267</v>
          </cell>
          <cell r="D4346" t="str">
            <v>LADY OF REMEDY</v>
          </cell>
          <cell r="E4346">
            <v>7</v>
          </cell>
          <cell r="H4346" t="str">
            <v>SAFISCOR</v>
          </cell>
          <cell r="N4346">
            <v>1000</v>
          </cell>
          <cell r="Y4346">
            <v>46268</v>
          </cell>
          <cell r="Z4346">
            <v>1</v>
          </cell>
          <cell r="AA4346">
            <v>1000</v>
          </cell>
        </row>
        <row r="4347">
          <cell r="A4347">
            <v>46267</v>
          </cell>
          <cell r="D4347" t="str">
            <v>LADY OF REMEDY</v>
          </cell>
          <cell r="E4347">
            <v>7</v>
          </cell>
          <cell r="H4347" t="str">
            <v>LAPU-LAPU</v>
          </cell>
          <cell r="N4347">
            <v>1000</v>
          </cell>
          <cell r="Y4347">
            <v>46268</v>
          </cell>
          <cell r="Z4347">
            <v>1</v>
          </cell>
          <cell r="AA4347">
            <v>1000</v>
          </cell>
        </row>
        <row r="4348">
          <cell r="A4348">
            <v>46267</v>
          </cell>
          <cell r="D4348" t="str">
            <v>JOHANNAH 5</v>
          </cell>
          <cell r="E4348">
            <v>1</v>
          </cell>
          <cell r="H4348" t="str">
            <v>SAFISCOR</v>
          </cell>
          <cell r="N4348">
            <v>1000</v>
          </cell>
          <cell r="Y4348">
            <v>46267</v>
          </cell>
          <cell r="Z4348">
            <v>2</v>
          </cell>
          <cell r="AA4348">
            <v>1000</v>
          </cell>
        </row>
        <row r="4349">
          <cell r="A4349">
            <v>46267</v>
          </cell>
          <cell r="D4349" t="str">
            <v>JOHANNAH 5</v>
          </cell>
          <cell r="E4349">
            <v>1</v>
          </cell>
          <cell r="H4349" t="str">
            <v>SAFISCOR</v>
          </cell>
          <cell r="N4349">
            <v>1000</v>
          </cell>
          <cell r="Y4349">
            <v>46267</v>
          </cell>
          <cell r="Z4349">
            <v>2</v>
          </cell>
          <cell r="AA4349">
            <v>1000</v>
          </cell>
        </row>
        <row r="4350">
          <cell r="A4350">
            <v>46268</v>
          </cell>
          <cell r="D4350" t="str">
            <v>LADY OF REMEDY</v>
          </cell>
          <cell r="E4350">
            <v>7</v>
          </cell>
          <cell r="H4350" t="str">
            <v>SAFISCOR</v>
          </cell>
          <cell r="N4350">
            <v>1000</v>
          </cell>
          <cell r="Y4350">
            <v>46268</v>
          </cell>
          <cell r="Z4350">
            <v>1</v>
          </cell>
          <cell r="AA4350">
            <v>1000</v>
          </cell>
        </row>
        <row r="4351">
          <cell r="A4351">
            <v>46268</v>
          </cell>
          <cell r="D4351" t="str">
            <v>LADY OF REMEDY</v>
          </cell>
          <cell r="E4351">
            <v>7</v>
          </cell>
          <cell r="H4351" t="str">
            <v>SAFISCOR</v>
          </cell>
          <cell r="N4351">
            <v>1000</v>
          </cell>
          <cell r="Y4351">
            <v>46268</v>
          </cell>
          <cell r="Z4351">
            <v>1</v>
          </cell>
          <cell r="AA4351">
            <v>1000</v>
          </cell>
        </row>
        <row r="4352">
          <cell r="A4352">
            <v>46268</v>
          </cell>
          <cell r="D4352" t="str">
            <v>LADY OF REMEDY</v>
          </cell>
          <cell r="E4352">
            <v>7</v>
          </cell>
          <cell r="H4352" t="str">
            <v>SAFISCOR</v>
          </cell>
          <cell r="N4352">
            <v>1000</v>
          </cell>
          <cell r="Y4352">
            <v>46268</v>
          </cell>
          <cell r="Z4352">
            <v>1</v>
          </cell>
          <cell r="AA4352">
            <v>1000</v>
          </cell>
        </row>
        <row r="4353">
          <cell r="A4353">
            <v>46268</v>
          </cell>
          <cell r="D4353" t="str">
            <v>LADY OF REMEDY</v>
          </cell>
          <cell r="E4353">
            <v>7</v>
          </cell>
          <cell r="H4353" t="str">
            <v>SAFISCOR</v>
          </cell>
          <cell r="N4353">
            <v>1000</v>
          </cell>
          <cell r="Y4353">
            <v>46268</v>
          </cell>
          <cell r="Z4353">
            <v>1</v>
          </cell>
          <cell r="AA4353">
            <v>1000</v>
          </cell>
        </row>
        <row r="4354">
          <cell r="A4354">
            <v>46268</v>
          </cell>
          <cell r="D4354" t="str">
            <v>LADY OF REMEDY</v>
          </cell>
          <cell r="E4354">
            <v>7</v>
          </cell>
          <cell r="H4354" t="str">
            <v>LAPU-LAPU</v>
          </cell>
          <cell r="N4354">
            <v>1000</v>
          </cell>
          <cell r="Y4354">
            <v>46268</v>
          </cell>
          <cell r="Z4354">
            <v>1</v>
          </cell>
          <cell r="AA4354">
            <v>1000</v>
          </cell>
        </row>
        <row r="4355">
          <cell r="A4355">
            <v>46268</v>
          </cell>
          <cell r="D4355" t="str">
            <v>LADY OF REMEDY</v>
          </cell>
          <cell r="E4355">
            <v>7</v>
          </cell>
          <cell r="H4355" t="str">
            <v>SAFISCOR</v>
          </cell>
          <cell r="N4355">
            <v>1000</v>
          </cell>
          <cell r="Y4355">
            <v>46268</v>
          </cell>
          <cell r="Z4355">
            <v>1</v>
          </cell>
          <cell r="AA4355">
            <v>1000</v>
          </cell>
        </row>
        <row r="4356">
          <cell r="A4356">
            <v>46268</v>
          </cell>
          <cell r="D4356" t="str">
            <v>LADY OF REMEDY</v>
          </cell>
          <cell r="E4356">
            <v>7</v>
          </cell>
          <cell r="H4356" t="str">
            <v>SAFISCOR</v>
          </cell>
          <cell r="N4356">
            <v>1000</v>
          </cell>
          <cell r="Y4356">
            <v>46268</v>
          </cell>
          <cell r="Z4356">
            <v>1</v>
          </cell>
          <cell r="AA4356">
            <v>1000</v>
          </cell>
        </row>
        <row r="4357">
          <cell r="A4357">
            <v>46268</v>
          </cell>
          <cell r="D4357" t="str">
            <v>JOHANNAH 7</v>
          </cell>
          <cell r="E4357">
            <v>5</v>
          </cell>
          <cell r="H4357" t="str">
            <v>FULACHE</v>
          </cell>
          <cell r="N4357">
            <v>1000</v>
          </cell>
          <cell r="Y4357">
            <v>46268</v>
          </cell>
          <cell r="Z4357">
            <v>2</v>
          </cell>
          <cell r="AA4357">
            <v>1000</v>
          </cell>
        </row>
        <row r="4358">
          <cell r="A4358">
            <v>46268</v>
          </cell>
          <cell r="D4358" t="str">
            <v>LADY OF REMEDY</v>
          </cell>
          <cell r="E4358">
            <v>7</v>
          </cell>
          <cell r="H4358" t="str">
            <v>BADIE</v>
          </cell>
          <cell r="N4358">
            <v>1000</v>
          </cell>
          <cell r="Y4358">
            <v>46268</v>
          </cell>
          <cell r="Z4358">
            <v>1</v>
          </cell>
          <cell r="AA4358">
            <v>1000</v>
          </cell>
        </row>
        <row r="4359">
          <cell r="A4359">
            <v>46268</v>
          </cell>
          <cell r="D4359" t="str">
            <v>LADY OF REMEDY</v>
          </cell>
          <cell r="E4359">
            <v>7</v>
          </cell>
          <cell r="H4359" t="str">
            <v>SAFISCOR</v>
          </cell>
          <cell r="N4359">
            <v>1000</v>
          </cell>
          <cell r="Y4359">
            <v>46268</v>
          </cell>
          <cell r="Z4359">
            <v>1</v>
          </cell>
          <cell r="AA4359">
            <v>1000</v>
          </cell>
        </row>
        <row r="4360">
          <cell r="A4360">
            <v>46268</v>
          </cell>
          <cell r="D4360" t="str">
            <v>JOHANNAH 7</v>
          </cell>
          <cell r="E4360">
            <v>5</v>
          </cell>
          <cell r="H4360" t="str">
            <v>GEO</v>
          </cell>
          <cell r="N4360">
            <v>1000</v>
          </cell>
          <cell r="Y4360">
            <v>46268</v>
          </cell>
          <cell r="Z4360">
            <v>2</v>
          </cell>
          <cell r="AA4360">
            <v>1000</v>
          </cell>
        </row>
        <row r="4361">
          <cell r="A4361">
            <v>46268</v>
          </cell>
          <cell r="D4361" t="str">
            <v xml:space="preserve">JOHANNAH 7 </v>
          </cell>
          <cell r="E4361">
            <v>5</v>
          </cell>
          <cell r="H4361" t="str">
            <v>SAFISCOR</v>
          </cell>
          <cell r="N4361">
            <v>1000</v>
          </cell>
          <cell r="Y4361">
            <v>46268</v>
          </cell>
          <cell r="Z4361">
            <v>2</v>
          </cell>
          <cell r="AA4361">
            <v>1000</v>
          </cell>
        </row>
        <row r="4362">
          <cell r="A4362">
            <v>46268</v>
          </cell>
          <cell r="D4362" t="str">
            <v>JOHANNAH 7</v>
          </cell>
          <cell r="E4362">
            <v>5</v>
          </cell>
          <cell r="H4362" t="str">
            <v>SAFISCOR</v>
          </cell>
          <cell r="N4362">
            <v>1000</v>
          </cell>
          <cell r="Y4362">
            <v>46268</v>
          </cell>
          <cell r="Z4362">
            <v>2</v>
          </cell>
          <cell r="AA4362">
            <v>1000</v>
          </cell>
        </row>
        <row r="4363">
          <cell r="A4363">
            <v>46268</v>
          </cell>
          <cell r="D4363" t="str">
            <v>JOHANNAH 7</v>
          </cell>
          <cell r="E4363">
            <v>5</v>
          </cell>
          <cell r="H4363" t="str">
            <v>SAFISCOR</v>
          </cell>
          <cell r="N4363">
            <v>1000</v>
          </cell>
          <cell r="Y4363">
            <v>46269</v>
          </cell>
          <cell r="Z4363">
            <v>1</v>
          </cell>
          <cell r="AA4363">
            <v>1000</v>
          </cell>
        </row>
        <row r="4364">
          <cell r="A4364">
            <v>46268</v>
          </cell>
          <cell r="D4364" t="str">
            <v>JOHANNAH 7</v>
          </cell>
          <cell r="E4364">
            <v>5</v>
          </cell>
          <cell r="H4364" t="str">
            <v>GEO</v>
          </cell>
          <cell r="N4364">
            <v>1000</v>
          </cell>
          <cell r="Y4364">
            <v>46268</v>
          </cell>
          <cell r="Z4364">
            <v>2</v>
          </cell>
          <cell r="AA4364">
            <v>1000</v>
          </cell>
        </row>
        <row r="4365">
          <cell r="A4365">
            <v>46268</v>
          </cell>
          <cell r="D4365" t="str">
            <v>JOHANNAH 7</v>
          </cell>
          <cell r="E4365">
            <v>5</v>
          </cell>
          <cell r="H4365" t="str">
            <v>GEO</v>
          </cell>
          <cell r="N4365">
            <v>1000</v>
          </cell>
          <cell r="Y4365">
            <v>46268</v>
          </cell>
          <cell r="Z4365">
            <v>2</v>
          </cell>
          <cell r="AA4365">
            <v>1000</v>
          </cell>
        </row>
        <row r="4366">
          <cell r="A4366">
            <v>46268</v>
          </cell>
          <cell r="D4366" t="str">
            <v>JOHANNAH 7</v>
          </cell>
          <cell r="E4366">
            <v>5</v>
          </cell>
          <cell r="H4366" t="str">
            <v>APLUS</v>
          </cell>
          <cell r="N4366">
            <v>1000</v>
          </cell>
          <cell r="Y4366">
            <v>46268</v>
          </cell>
          <cell r="Z4366">
            <v>2</v>
          </cell>
          <cell r="AA4366">
            <v>1000</v>
          </cell>
        </row>
        <row r="4367">
          <cell r="A4367">
            <v>46268</v>
          </cell>
          <cell r="D4367" t="str">
            <v>NAPOLI</v>
          </cell>
          <cell r="E4367">
            <v>8</v>
          </cell>
          <cell r="H4367" t="str">
            <v>SAFISCOR</v>
          </cell>
          <cell r="N4367">
            <v>1000</v>
          </cell>
          <cell r="Y4367">
            <v>46268</v>
          </cell>
          <cell r="Z4367">
            <v>1</v>
          </cell>
          <cell r="AA4367">
            <v>1000</v>
          </cell>
        </row>
        <row r="4368">
          <cell r="A4368">
            <v>46268</v>
          </cell>
          <cell r="D4368" t="str">
            <v>JOHANNAH 7</v>
          </cell>
          <cell r="E4368">
            <v>5</v>
          </cell>
          <cell r="H4368" t="str">
            <v>SAFISCOR</v>
          </cell>
          <cell r="N4368">
            <v>1000</v>
          </cell>
          <cell r="Y4368">
            <v>46269</v>
          </cell>
          <cell r="Z4368">
            <v>1</v>
          </cell>
          <cell r="AA4368">
            <v>1000</v>
          </cell>
        </row>
        <row r="4369">
          <cell r="A4369">
            <v>46268</v>
          </cell>
          <cell r="D4369" t="str">
            <v>JOHANNAH 7</v>
          </cell>
          <cell r="E4369">
            <v>5</v>
          </cell>
          <cell r="H4369" t="str">
            <v>LAPU-LAPU</v>
          </cell>
          <cell r="N4369">
            <v>1000</v>
          </cell>
          <cell r="Y4369">
            <v>46268</v>
          </cell>
          <cell r="Z4369">
            <v>2</v>
          </cell>
          <cell r="AA4369">
            <v>1000</v>
          </cell>
        </row>
        <row r="4370">
          <cell r="A4370">
            <v>46268</v>
          </cell>
          <cell r="D4370" t="str">
            <v>JOHANNAH 7</v>
          </cell>
          <cell r="E4370">
            <v>5</v>
          </cell>
          <cell r="H4370" t="str">
            <v>LAPU-LAPU</v>
          </cell>
          <cell r="N4370">
            <v>1000</v>
          </cell>
          <cell r="Y4370">
            <v>46268</v>
          </cell>
          <cell r="Z4370">
            <v>2</v>
          </cell>
          <cell r="AA4370">
            <v>1000</v>
          </cell>
        </row>
        <row r="4371">
          <cell r="A4371">
            <v>46268</v>
          </cell>
          <cell r="D4371" t="str">
            <v>JOHANNAH 7</v>
          </cell>
          <cell r="E4371">
            <v>5</v>
          </cell>
          <cell r="H4371" t="str">
            <v>SAFISCOR</v>
          </cell>
          <cell r="N4371">
            <v>1000</v>
          </cell>
          <cell r="Y4371">
            <v>46268</v>
          </cell>
          <cell r="Z4371">
            <v>2</v>
          </cell>
          <cell r="AA4371">
            <v>1000</v>
          </cell>
        </row>
        <row r="4372">
          <cell r="A4372">
            <v>46268</v>
          </cell>
          <cell r="D4372" t="str">
            <v>JOHANNAH 7</v>
          </cell>
          <cell r="E4372">
            <v>5</v>
          </cell>
          <cell r="H4372" t="str">
            <v>SAFISCOR</v>
          </cell>
          <cell r="N4372">
            <v>1000</v>
          </cell>
          <cell r="Y4372">
            <v>46268</v>
          </cell>
          <cell r="Z4372">
            <v>2</v>
          </cell>
          <cell r="AA4372">
            <v>1000</v>
          </cell>
        </row>
        <row r="4373">
          <cell r="A4373">
            <v>46268</v>
          </cell>
          <cell r="D4373" t="str">
            <v>CHRISTIAN EDWARD</v>
          </cell>
          <cell r="E4373">
            <v>2</v>
          </cell>
          <cell r="H4373" t="str">
            <v>SAFISCOR</v>
          </cell>
          <cell r="N4373">
            <v>1000</v>
          </cell>
          <cell r="Y4373">
            <v>46268</v>
          </cell>
          <cell r="Z4373">
            <v>2</v>
          </cell>
          <cell r="AA4373">
            <v>1000</v>
          </cell>
        </row>
        <row r="4374">
          <cell r="A4374">
            <v>46268</v>
          </cell>
          <cell r="D4374" t="str">
            <v>JOHANNAH 7</v>
          </cell>
          <cell r="E4374">
            <v>5</v>
          </cell>
          <cell r="H4374" t="str">
            <v>BADIE</v>
          </cell>
          <cell r="N4374">
            <v>1000</v>
          </cell>
          <cell r="Y4374">
            <v>46268</v>
          </cell>
          <cell r="Z4374">
            <v>2</v>
          </cell>
          <cell r="AA4374">
            <v>1000</v>
          </cell>
        </row>
        <row r="4375">
          <cell r="A4375">
            <v>46268</v>
          </cell>
          <cell r="D4375" t="str">
            <v>JOHANNAH 7</v>
          </cell>
          <cell r="E4375">
            <v>5</v>
          </cell>
          <cell r="H4375" t="str">
            <v>FULACHE</v>
          </cell>
          <cell r="N4375">
            <v>1000</v>
          </cell>
          <cell r="Y4375">
            <v>46268</v>
          </cell>
          <cell r="Z4375">
            <v>2</v>
          </cell>
          <cell r="AA4375">
            <v>1000</v>
          </cell>
        </row>
        <row r="4376">
          <cell r="A4376">
            <v>46268</v>
          </cell>
          <cell r="D4376" t="str">
            <v>JOHANNAH 7</v>
          </cell>
          <cell r="E4376">
            <v>5</v>
          </cell>
          <cell r="H4376" t="str">
            <v>SAFISCOR</v>
          </cell>
          <cell r="N4376">
            <v>1000</v>
          </cell>
          <cell r="Y4376">
            <v>46269</v>
          </cell>
          <cell r="Z4376">
            <v>1</v>
          </cell>
          <cell r="AA4376">
            <v>1000</v>
          </cell>
        </row>
        <row r="4377">
          <cell r="A4377">
            <v>46268</v>
          </cell>
          <cell r="D4377" t="str">
            <v>CHRISTIAN EDWARD</v>
          </cell>
          <cell r="E4377">
            <v>2</v>
          </cell>
          <cell r="H4377" t="str">
            <v>SAFISCOR</v>
          </cell>
          <cell r="N4377">
            <v>1000</v>
          </cell>
          <cell r="Y4377">
            <v>46268</v>
          </cell>
          <cell r="Z4377">
            <v>2</v>
          </cell>
          <cell r="AA4377">
            <v>1000</v>
          </cell>
        </row>
        <row r="4378">
          <cell r="A4378">
            <v>46268</v>
          </cell>
          <cell r="D4378" t="str">
            <v>CHRISTIAN EDWARD</v>
          </cell>
          <cell r="E4378">
            <v>2</v>
          </cell>
          <cell r="H4378" t="str">
            <v>GEO</v>
          </cell>
          <cell r="N4378">
            <v>1000</v>
          </cell>
          <cell r="Y4378">
            <v>46268</v>
          </cell>
          <cell r="Z4378">
            <v>2</v>
          </cell>
          <cell r="AA4378">
            <v>1000</v>
          </cell>
        </row>
        <row r="4379">
          <cell r="A4379">
            <v>46268</v>
          </cell>
          <cell r="D4379" t="str">
            <v>CHRISTIAN EDWARD</v>
          </cell>
          <cell r="E4379">
            <v>2</v>
          </cell>
          <cell r="H4379" t="str">
            <v>SAFISCOR</v>
          </cell>
          <cell r="N4379">
            <v>1000</v>
          </cell>
          <cell r="Y4379">
            <v>46268</v>
          </cell>
          <cell r="Z4379">
            <v>2</v>
          </cell>
          <cell r="AA4379">
            <v>1000</v>
          </cell>
        </row>
        <row r="4380">
          <cell r="A4380">
            <v>46268</v>
          </cell>
          <cell r="D4380" t="str">
            <v>LADY OF COURAGE</v>
          </cell>
          <cell r="E4380">
            <v>7</v>
          </cell>
          <cell r="H4380" t="str">
            <v>LAPU-LAPU</v>
          </cell>
          <cell r="N4380">
            <v>1000</v>
          </cell>
          <cell r="Y4380">
            <v>46269</v>
          </cell>
          <cell r="Z4380">
            <v>1</v>
          </cell>
          <cell r="AA4380">
            <v>1000</v>
          </cell>
        </row>
        <row r="4381">
          <cell r="A4381">
            <v>46268</v>
          </cell>
          <cell r="D4381" t="str">
            <v>LADY ARMOR</v>
          </cell>
          <cell r="E4381">
            <v>5</v>
          </cell>
          <cell r="H4381" t="str">
            <v>SAFISCOR</v>
          </cell>
          <cell r="N4381">
            <v>1000</v>
          </cell>
          <cell r="Y4381">
            <v>46269</v>
          </cell>
          <cell r="Z4381">
            <v>1</v>
          </cell>
          <cell r="AA4381">
            <v>1000</v>
          </cell>
        </row>
        <row r="4382">
          <cell r="A4382">
            <v>46268</v>
          </cell>
          <cell r="D4382" t="str">
            <v>CHRISTIAN EDWARD</v>
          </cell>
          <cell r="E4382">
            <v>2</v>
          </cell>
          <cell r="H4382" t="str">
            <v>SAFISCOR</v>
          </cell>
          <cell r="N4382">
            <v>1000</v>
          </cell>
          <cell r="Y4382">
            <v>46269</v>
          </cell>
          <cell r="Z4382">
            <v>1</v>
          </cell>
          <cell r="AA4382">
            <v>1000</v>
          </cell>
        </row>
        <row r="4383">
          <cell r="A4383">
            <v>46268</v>
          </cell>
          <cell r="D4383" t="str">
            <v>LADY ARMOR</v>
          </cell>
          <cell r="E4383">
            <v>5</v>
          </cell>
          <cell r="H4383" t="str">
            <v>SAFISCOR</v>
          </cell>
          <cell r="N4383">
            <v>1000</v>
          </cell>
          <cell r="Y4383">
            <v>46270</v>
          </cell>
          <cell r="Z4383">
            <v>1</v>
          </cell>
          <cell r="AA4383">
            <v>1000</v>
          </cell>
        </row>
        <row r="4384">
          <cell r="A4384">
            <v>46268</v>
          </cell>
          <cell r="D4384" t="str">
            <v>CHRISTIAN EDWARD</v>
          </cell>
          <cell r="E4384">
            <v>2</v>
          </cell>
          <cell r="H4384" t="str">
            <v>SAFISCOR</v>
          </cell>
          <cell r="N4384">
            <v>1000</v>
          </cell>
          <cell r="Y4384">
            <v>46269</v>
          </cell>
          <cell r="Z4384">
            <v>1</v>
          </cell>
          <cell r="AA4384">
            <v>1000</v>
          </cell>
        </row>
        <row r="4385">
          <cell r="A4385">
            <v>46268</v>
          </cell>
          <cell r="D4385" t="str">
            <v>CHRISTIAN EDWARD</v>
          </cell>
          <cell r="E4385">
            <v>2</v>
          </cell>
          <cell r="H4385" t="str">
            <v>SAFISCOR</v>
          </cell>
          <cell r="N4385">
            <v>1000</v>
          </cell>
          <cell r="Y4385">
            <v>46268</v>
          </cell>
          <cell r="Z4385">
            <v>2</v>
          </cell>
          <cell r="AA4385">
            <v>1000</v>
          </cell>
        </row>
        <row r="4386">
          <cell r="A4386">
            <v>46268</v>
          </cell>
          <cell r="D4386" t="str">
            <v>CHRISTIAN EDWARD</v>
          </cell>
          <cell r="E4386">
            <v>2</v>
          </cell>
          <cell r="H4386" t="str">
            <v>SAFISCOR</v>
          </cell>
          <cell r="N4386">
            <v>1000</v>
          </cell>
          <cell r="Y4386">
            <v>46268</v>
          </cell>
          <cell r="Z4386">
            <v>2</v>
          </cell>
          <cell r="AA4386">
            <v>1000</v>
          </cell>
        </row>
        <row r="4387">
          <cell r="A4387">
            <v>46268</v>
          </cell>
          <cell r="D4387" t="str">
            <v>LADY ARMOR</v>
          </cell>
          <cell r="E4387">
            <v>5</v>
          </cell>
          <cell r="H4387" t="str">
            <v>LAPU-LAPU</v>
          </cell>
          <cell r="N4387">
            <v>500</v>
          </cell>
          <cell r="Y4387">
            <v>46269</v>
          </cell>
          <cell r="Z4387">
            <v>1</v>
          </cell>
          <cell r="AA4387">
            <v>500</v>
          </cell>
        </row>
        <row r="4388">
          <cell r="A4388">
            <v>46268</v>
          </cell>
          <cell r="D4388" t="str">
            <v>LADY ARMOR</v>
          </cell>
          <cell r="E4388">
            <v>5</v>
          </cell>
          <cell r="H4388" t="str">
            <v>LAPU-LAPU</v>
          </cell>
          <cell r="N4388">
            <v>500</v>
          </cell>
          <cell r="Y4388">
            <v>46269</v>
          </cell>
          <cell r="Z4388">
            <v>1</v>
          </cell>
          <cell r="AA4388">
            <v>500</v>
          </cell>
        </row>
        <row r="4389">
          <cell r="A4389">
            <v>46268</v>
          </cell>
          <cell r="D4389" t="str">
            <v>CHRISTIAN EDWARD</v>
          </cell>
          <cell r="E4389">
            <v>2</v>
          </cell>
          <cell r="H4389" t="str">
            <v>SAFISCOR</v>
          </cell>
          <cell r="N4389">
            <v>1000</v>
          </cell>
          <cell r="Y4389">
            <v>46268</v>
          </cell>
          <cell r="Z4389">
            <v>2</v>
          </cell>
          <cell r="AA4389">
            <v>1000</v>
          </cell>
        </row>
        <row r="4390">
          <cell r="A4390">
            <v>46268</v>
          </cell>
          <cell r="D4390" t="str">
            <v>CHRISTIAN EDWARD</v>
          </cell>
          <cell r="E4390">
            <v>2</v>
          </cell>
          <cell r="H4390" t="str">
            <v>SAFISCOR</v>
          </cell>
          <cell r="N4390">
            <v>1000</v>
          </cell>
          <cell r="Y4390">
            <v>46268</v>
          </cell>
          <cell r="Z4390">
            <v>2</v>
          </cell>
          <cell r="AA4390">
            <v>1000</v>
          </cell>
        </row>
        <row r="4391">
          <cell r="A4391">
            <v>46268</v>
          </cell>
          <cell r="D4391" t="str">
            <v>CHRISTIAN EDWARD</v>
          </cell>
          <cell r="E4391">
            <v>2</v>
          </cell>
          <cell r="H4391" t="str">
            <v>SAFISCOR</v>
          </cell>
          <cell r="N4391">
            <v>1000</v>
          </cell>
          <cell r="Y4391">
            <v>46269</v>
          </cell>
          <cell r="Z4391">
            <v>1</v>
          </cell>
          <cell r="AA4391">
            <v>1000</v>
          </cell>
        </row>
        <row r="4392">
          <cell r="A4392">
            <v>46268</v>
          </cell>
          <cell r="D4392" t="str">
            <v>LADY OF COURAGE</v>
          </cell>
          <cell r="E4392">
            <v>7</v>
          </cell>
          <cell r="H4392" t="str">
            <v>SAFISCOR</v>
          </cell>
          <cell r="N4392">
            <v>1000</v>
          </cell>
          <cell r="Y4392">
            <v>46268</v>
          </cell>
          <cell r="Z4392">
            <v>2</v>
          </cell>
          <cell r="AA4392">
            <v>1000</v>
          </cell>
        </row>
        <row r="4393">
          <cell r="A4393">
            <v>46268</v>
          </cell>
          <cell r="D4393" t="str">
            <v>LADY OF REMEDY</v>
          </cell>
          <cell r="E4393">
            <v>7</v>
          </cell>
          <cell r="H4393" t="str">
            <v>LAPU-LAPU</v>
          </cell>
          <cell r="N4393">
            <v>1000</v>
          </cell>
          <cell r="Y4393">
            <v>46268</v>
          </cell>
          <cell r="Z4393">
            <v>2</v>
          </cell>
          <cell r="AA4393">
            <v>1000</v>
          </cell>
        </row>
        <row r="4394">
          <cell r="A4394">
            <v>46268</v>
          </cell>
          <cell r="D4394" t="str">
            <v>CHRISTIAN EDWARD</v>
          </cell>
          <cell r="E4394">
            <v>2</v>
          </cell>
          <cell r="H4394" t="str">
            <v>APLUS</v>
          </cell>
          <cell r="N4394">
            <v>1000</v>
          </cell>
          <cell r="Y4394">
            <v>46268</v>
          </cell>
          <cell r="Z4394">
            <v>2</v>
          </cell>
          <cell r="AA4394">
            <v>1000</v>
          </cell>
        </row>
        <row r="4395">
          <cell r="A4395">
            <v>46268</v>
          </cell>
          <cell r="D4395" t="str">
            <v>CHRISTIAN EDWARD</v>
          </cell>
          <cell r="E4395">
            <v>2</v>
          </cell>
          <cell r="H4395" t="str">
            <v>SAFISCOR</v>
          </cell>
          <cell r="N4395">
            <v>1000</v>
          </cell>
          <cell r="Y4395">
            <v>46268</v>
          </cell>
          <cell r="Z4395">
            <v>2</v>
          </cell>
          <cell r="AA4395">
            <v>1000</v>
          </cell>
        </row>
        <row r="4396">
          <cell r="A4396">
            <v>46268</v>
          </cell>
          <cell r="D4396" t="str">
            <v>LADY ARMOR</v>
          </cell>
          <cell r="E4396">
            <v>5</v>
          </cell>
          <cell r="H4396" t="str">
            <v>SAFISCOR</v>
          </cell>
          <cell r="N4396">
            <v>1000</v>
          </cell>
          <cell r="Y4396">
            <v>46269</v>
          </cell>
          <cell r="Z4396">
            <v>1</v>
          </cell>
          <cell r="AA4396">
            <v>1000</v>
          </cell>
        </row>
        <row r="4397">
          <cell r="A4397">
            <v>46268</v>
          </cell>
          <cell r="D4397" t="str">
            <v>LADY OF COURAGE</v>
          </cell>
          <cell r="E4397">
            <v>7</v>
          </cell>
          <cell r="H4397" t="str">
            <v>SAFISCOR</v>
          </cell>
          <cell r="N4397">
            <v>1000</v>
          </cell>
          <cell r="Y4397">
            <v>46268</v>
          </cell>
          <cell r="Z4397">
            <v>2</v>
          </cell>
          <cell r="AA4397">
            <v>1000</v>
          </cell>
        </row>
        <row r="4398">
          <cell r="A4398">
            <v>46268</v>
          </cell>
          <cell r="D4398" t="str">
            <v>LADY OF COURAGE</v>
          </cell>
          <cell r="E4398">
            <v>7</v>
          </cell>
          <cell r="H4398" t="str">
            <v>SAFISCOR</v>
          </cell>
          <cell r="N4398">
            <v>1000</v>
          </cell>
          <cell r="Y4398">
            <v>46269</v>
          </cell>
          <cell r="Z4398">
            <v>1</v>
          </cell>
          <cell r="AA4398">
            <v>1000</v>
          </cell>
        </row>
        <row r="4399">
          <cell r="A4399">
            <v>46268</v>
          </cell>
          <cell r="D4399" t="str">
            <v>LADY OF COURAGE</v>
          </cell>
          <cell r="E4399">
            <v>7</v>
          </cell>
          <cell r="H4399" t="str">
            <v>SAFISCOR</v>
          </cell>
          <cell r="N4399">
            <v>1000</v>
          </cell>
          <cell r="Y4399">
            <v>46269</v>
          </cell>
          <cell r="Z4399">
            <v>1</v>
          </cell>
          <cell r="AA4399">
            <v>1000</v>
          </cell>
        </row>
        <row r="4400">
          <cell r="A4400">
            <v>46268</v>
          </cell>
          <cell r="D4400" t="str">
            <v>LADY OF COURAGE</v>
          </cell>
          <cell r="E4400">
            <v>7</v>
          </cell>
          <cell r="H4400" t="str">
            <v>SAFISCOR</v>
          </cell>
          <cell r="N4400">
            <v>1000</v>
          </cell>
          <cell r="Y4400">
            <v>46269</v>
          </cell>
          <cell r="Z4400">
            <v>1</v>
          </cell>
          <cell r="AA4400">
            <v>1000</v>
          </cell>
        </row>
        <row r="4401">
          <cell r="A4401">
            <v>46268</v>
          </cell>
          <cell r="D4401" t="str">
            <v>LADY OF COURAGE</v>
          </cell>
          <cell r="E4401">
            <v>7</v>
          </cell>
          <cell r="H4401" t="str">
            <v>SAFISCOR</v>
          </cell>
          <cell r="N4401">
            <v>1000</v>
          </cell>
          <cell r="Y4401">
            <v>46269</v>
          </cell>
          <cell r="Z4401">
            <v>1</v>
          </cell>
          <cell r="AA4401">
            <v>1000</v>
          </cell>
        </row>
        <row r="4402">
          <cell r="A4402">
            <v>46268</v>
          </cell>
          <cell r="D4402" t="str">
            <v>LADY OF COURAGE</v>
          </cell>
          <cell r="E4402">
            <v>7</v>
          </cell>
          <cell r="H4402" t="str">
            <v>LAPU-LAPU</v>
          </cell>
          <cell r="N4402">
            <v>1000</v>
          </cell>
          <cell r="Y4402">
            <v>46269</v>
          </cell>
          <cell r="Z4402">
            <v>1</v>
          </cell>
          <cell r="AA4402">
            <v>1000</v>
          </cell>
        </row>
        <row r="4403">
          <cell r="A4403">
            <v>46268</v>
          </cell>
          <cell r="D4403" t="str">
            <v>JOHANNAH 7</v>
          </cell>
          <cell r="E4403">
            <v>5</v>
          </cell>
          <cell r="H4403" t="str">
            <v>SAFISCOR</v>
          </cell>
          <cell r="N4403">
            <v>1000</v>
          </cell>
          <cell r="Y4403">
            <v>46269</v>
          </cell>
          <cell r="Z4403">
            <v>2</v>
          </cell>
          <cell r="AA4403">
            <v>1000</v>
          </cell>
        </row>
        <row r="4404">
          <cell r="A4404">
            <v>46268</v>
          </cell>
          <cell r="D4404" t="str">
            <v>JOHANNAH 7</v>
          </cell>
          <cell r="E4404">
            <v>5</v>
          </cell>
          <cell r="H4404" t="str">
            <v>SAFISCOR</v>
          </cell>
          <cell r="N4404">
            <v>1000</v>
          </cell>
          <cell r="Y4404">
            <v>46269</v>
          </cell>
          <cell r="Z4404">
            <v>1</v>
          </cell>
          <cell r="AA4404">
            <v>1000</v>
          </cell>
        </row>
        <row r="4405">
          <cell r="A4405">
            <v>46268</v>
          </cell>
          <cell r="D4405" t="str">
            <v>LADY OF COURAGE</v>
          </cell>
          <cell r="E4405">
            <v>7</v>
          </cell>
          <cell r="H4405" t="str">
            <v>LAPU-LAPU</v>
          </cell>
          <cell r="N4405">
            <v>500</v>
          </cell>
          <cell r="Y4405">
            <v>46269</v>
          </cell>
          <cell r="Z4405">
            <v>1</v>
          </cell>
          <cell r="AA4405">
            <v>500</v>
          </cell>
        </row>
        <row r="4406">
          <cell r="A4406">
            <v>46268</v>
          </cell>
          <cell r="D4406" t="str">
            <v>LADY OF COURAGE</v>
          </cell>
          <cell r="E4406">
            <v>7</v>
          </cell>
          <cell r="H4406" t="str">
            <v>LAPU-LAPU</v>
          </cell>
          <cell r="N4406">
            <v>1000</v>
          </cell>
          <cell r="Y4406">
            <v>46268</v>
          </cell>
          <cell r="Z4406">
            <v>2</v>
          </cell>
          <cell r="AA4406">
            <v>1000</v>
          </cell>
        </row>
        <row r="4407">
          <cell r="A4407">
            <v>46268</v>
          </cell>
          <cell r="D4407" t="str">
            <v>CHRISTIAN EDWARD</v>
          </cell>
          <cell r="E4407">
            <v>2</v>
          </cell>
          <cell r="H4407" t="str">
            <v>SAFISCOR</v>
          </cell>
          <cell r="N4407">
            <v>1000</v>
          </cell>
          <cell r="Y4407">
            <v>46268</v>
          </cell>
          <cell r="Z4407">
            <v>2</v>
          </cell>
          <cell r="AA4407">
            <v>1000</v>
          </cell>
        </row>
        <row r="4408">
          <cell r="A4408">
            <v>46268</v>
          </cell>
          <cell r="D4408" t="str">
            <v>CHRISTIAN EDWARD</v>
          </cell>
          <cell r="E4408">
            <v>2</v>
          </cell>
          <cell r="H4408" t="str">
            <v>SAFISCOR</v>
          </cell>
          <cell r="N4408">
            <v>1000</v>
          </cell>
          <cell r="Y4408">
            <v>46268</v>
          </cell>
          <cell r="Z4408">
            <v>2</v>
          </cell>
          <cell r="AA4408">
            <v>1000</v>
          </cell>
        </row>
        <row r="4409">
          <cell r="A4409">
            <v>46268</v>
          </cell>
          <cell r="D4409" t="str">
            <v>JOHANNAH 7</v>
          </cell>
          <cell r="E4409">
            <v>5</v>
          </cell>
          <cell r="H4409" t="str">
            <v>BADIE</v>
          </cell>
          <cell r="N4409">
            <v>1000</v>
          </cell>
          <cell r="Y4409">
            <v>46268</v>
          </cell>
          <cell r="Z4409">
            <v>2</v>
          </cell>
          <cell r="AA4409">
            <v>1000</v>
          </cell>
        </row>
        <row r="4410">
          <cell r="A4410">
            <v>46268</v>
          </cell>
          <cell r="D4410" t="str">
            <v>LADY OF COURAGE</v>
          </cell>
          <cell r="E4410">
            <v>7</v>
          </cell>
          <cell r="H4410" t="str">
            <v>SAFISCOR</v>
          </cell>
          <cell r="N4410">
            <v>1000</v>
          </cell>
          <cell r="Y4410">
            <v>46268</v>
          </cell>
          <cell r="Z4410">
            <v>2</v>
          </cell>
          <cell r="AA4410">
            <v>1000</v>
          </cell>
        </row>
        <row r="4411">
          <cell r="A4411">
            <v>46269</v>
          </cell>
          <cell r="D4411" t="str">
            <v>JOHANNAH 7</v>
          </cell>
          <cell r="E4411">
            <v>5</v>
          </cell>
          <cell r="H4411" t="str">
            <v>SAFISCOR</v>
          </cell>
          <cell r="N4411">
            <v>1000</v>
          </cell>
          <cell r="Y4411">
            <v>46269</v>
          </cell>
          <cell r="Z4411">
            <v>1</v>
          </cell>
          <cell r="AA4411">
            <v>1000</v>
          </cell>
        </row>
        <row r="4412">
          <cell r="A4412">
            <v>46269</v>
          </cell>
          <cell r="D4412" t="str">
            <v>JOHANNAH 7</v>
          </cell>
          <cell r="E4412">
            <v>5</v>
          </cell>
          <cell r="H4412" t="str">
            <v>SAFISCOR</v>
          </cell>
          <cell r="N4412">
            <v>1000</v>
          </cell>
          <cell r="Y4412">
            <v>46269</v>
          </cell>
          <cell r="Z4412">
            <v>1</v>
          </cell>
          <cell r="AA4412">
            <v>1000</v>
          </cell>
        </row>
        <row r="4413">
          <cell r="A4413">
            <v>46269</v>
          </cell>
          <cell r="D4413" t="str">
            <v>LADY OF COURAGE</v>
          </cell>
          <cell r="E4413">
            <v>7</v>
          </cell>
          <cell r="H4413" t="str">
            <v>GEO</v>
          </cell>
          <cell r="N4413">
            <v>1000</v>
          </cell>
          <cell r="Y4413">
            <v>46269</v>
          </cell>
          <cell r="Z4413">
            <v>1</v>
          </cell>
          <cell r="AA4413">
            <v>1000</v>
          </cell>
        </row>
        <row r="4414">
          <cell r="A4414">
            <v>46269</v>
          </cell>
          <cell r="D4414" t="str">
            <v>LADY OF COURAGE</v>
          </cell>
          <cell r="E4414">
            <v>7</v>
          </cell>
          <cell r="H4414" t="str">
            <v>LAPU-LAPU</v>
          </cell>
          <cell r="N4414">
            <v>1000</v>
          </cell>
          <cell r="Y4414">
            <v>46269</v>
          </cell>
          <cell r="Z4414">
            <v>2</v>
          </cell>
          <cell r="AA4414">
            <v>1000</v>
          </cell>
        </row>
        <row r="4415">
          <cell r="A4415">
            <v>46269</v>
          </cell>
          <cell r="D4415" t="str">
            <v>LADY OF COURAGE</v>
          </cell>
          <cell r="E4415">
            <v>7</v>
          </cell>
          <cell r="H4415" t="str">
            <v>SAFISCOR</v>
          </cell>
          <cell r="N4415">
            <v>500</v>
          </cell>
          <cell r="Y4415">
            <v>46269</v>
          </cell>
          <cell r="Z4415">
            <v>2</v>
          </cell>
          <cell r="AA4415">
            <v>500</v>
          </cell>
        </row>
        <row r="4416">
          <cell r="A4416">
            <v>46269</v>
          </cell>
          <cell r="D4416" t="str">
            <v>LADY OF COURAGE</v>
          </cell>
          <cell r="E4416">
            <v>7</v>
          </cell>
          <cell r="H4416" t="str">
            <v>SAFISCOR</v>
          </cell>
          <cell r="N4416">
            <v>500</v>
          </cell>
          <cell r="Y4416">
            <v>46269</v>
          </cell>
          <cell r="Z4416">
            <v>2</v>
          </cell>
          <cell r="AA4416">
            <v>500</v>
          </cell>
        </row>
        <row r="4417">
          <cell r="A4417">
            <v>46269</v>
          </cell>
          <cell r="D4417" t="str">
            <v>CHRISTIAN EDWARD</v>
          </cell>
          <cell r="E4417">
            <v>2</v>
          </cell>
          <cell r="H4417" t="str">
            <v>SAFISCOR</v>
          </cell>
          <cell r="N4417">
            <v>1000</v>
          </cell>
          <cell r="Y4417">
            <v>46269</v>
          </cell>
          <cell r="Z4417">
            <v>1</v>
          </cell>
          <cell r="AA4417">
            <v>1000</v>
          </cell>
        </row>
        <row r="4418">
          <cell r="A4418">
            <v>46269</v>
          </cell>
          <cell r="D4418" t="str">
            <v>nieves</v>
          </cell>
          <cell r="E4418">
            <v>2</v>
          </cell>
          <cell r="H4418" t="str">
            <v>GEO</v>
          </cell>
          <cell r="N4418">
            <v>1000</v>
          </cell>
          <cell r="Y4418">
            <v>46269</v>
          </cell>
          <cell r="Z4418">
            <v>1</v>
          </cell>
          <cell r="AA4418">
            <v>1000</v>
          </cell>
        </row>
        <row r="4419">
          <cell r="A4419">
            <v>46269</v>
          </cell>
          <cell r="D4419" t="str">
            <v>nieves</v>
          </cell>
          <cell r="E4419">
            <v>2</v>
          </cell>
          <cell r="H4419" t="str">
            <v>FULACHE</v>
          </cell>
          <cell r="N4419">
            <v>1000</v>
          </cell>
          <cell r="Y4419">
            <v>46269</v>
          </cell>
          <cell r="Z4419">
            <v>1</v>
          </cell>
          <cell r="AA4419">
            <v>1000</v>
          </cell>
        </row>
        <row r="4420">
          <cell r="A4420">
            <v>46269</v>
          </cell>
          <cell r="D4420" t="str">
            <v>nieves</v>
          </cell>
          <cell r="E4420">
            <v>2</v>
          </cell>
          <cell r="H4420" t="str">
            <v>LAPU-LAPU</v>
          </cell>
          <cell r="N4420">
            <v>500</v>
          </cell>
          <cell r="Y4420">
            <v>46269</v>
          </cell>
          <cell r="Z4420">
            <v>1</v>
          </cell>
          <cell r="AA4420">
            <v>500</v>
          </cell>
        </row>
        <row r="4421">
          <cell r="A4421">
            <v>46269</v>
          </cell>
          <cell r="D4421" t="str">
            <v>nieves</v>
          </cell>
          <cell r="E4421">
            <v>2</v>
          </cell>
          <cell r="H4421" t="str">
            <v>SAFISCOR</v>
          </cell>
          <cell r="N4421">
            <v>1000</v>
          </cell>
          <cell r="Y4421">
            <v>46269</v>
          </cell>
          <cell r="Z4421">
            <v>2</v>
          </cell>
          <cell r="AA4421">
            <v>1000</v>
          </cell>
        </row>
        <row r="4422">
          <cell r="A4422">
            <v>46269</v>
          </cell>
          <cell r="D4422" t="str">
            <v>LADY ARMOR</v>
          </cell>
          <cell r="E4422">
            <v>5</v>
          </cell>
          <cell r="H4422" t="str">
            <v>SAFISCOR</v>
          </cell>
          <cell r="N4422">
            <v>1000</v>
          </cell>
          <cell r="Y4422">
            <v>46270</v>
          </cell>
          <cell r="Z4422">
            <v>1</v>
          </cell>
          <cell r="AA4422">
            <v>1000</v>
          </cell>
        </row>
        <row r="4423">
          <cell r="A4423">
            <v>46269</v>
          </cell>
          <cell r="D4423" t="str">
            <v>nieves</v>
          </cell>
          <cell r="E4423">
            <v>2</v>
          </cell>
          <cell r="H4423" t="str">
            <v>SAFISCOR</v>
          </cell>
          <cell r="N4423">
            <v>1000</v>
          </cell>
          <cell r="Y4423">
            <v>46269</v>
          </cell>
          <cell r="Z4423">
            <v>2</v>
          </cell>
          <cell r="AA4423">
            <v>1000</v>
          </cell>
        </row>
        <row r="4424">
          <cell r="A4424">
            <v>46269</v>
          </cell>
          <cell r="D4424" t="str">
            <v>JOHANNAH 7</v>
          </cell>
          <cell r="E4424">
            <v>5</v>
          </cell>
          <cell r="H4424" t="str">
            <v>BADIE</v>
          </cell>
          <cell r="N4424">
            <v>1000</v>
          </cell>
          <cell r="Y4424">
            <v>46269</v>
          </cell>
          <cell r="Z4424">
            <v>2</v>
          </cell>
          <cell r="AA4424">
            <v>1000</v>
          </cell>
        </row>
        <row r="4425">
          <cell r="A4425">
            <v>46269</v>
          </cell>
          <cell r="D4425" t="str">
            <v>nieves</v>
          </cell>
          <cell r="E4425">
            <v>2</v>
          </cell>
          <cell r="H4425" t="str">
            <v>SAFISCOR</v>
          </cell>
          <cell r="N4425">
            <v>1000</v>
          </cell>
          <cell r="Y4425">
            <v>46269</v>
          </cell>
          <cell r="Z4425">
            <v>2</v>
          </cell>
          <cell r="AA4425">
            <v>1000</v>
          </cell>
        </row>
        <row r="4426">
          <cell r="A4426">
            <v>46269</v>
          </cell>
          <cell r="D4426" t="str">
            <v>nieves</v>
          </cell>
          <cell r="E4426">
            <v>2</v>
          </cell>
          <cell r="H4426" t="str">
            <v>SAFISCOR</v>
          </cell>
          <cell r="N4426">
            <v>1000</v>
          </cell>
          <cell r="Y4426">
            <v>46269</v>
          </cell>
          <cell r="Z4426">
            <v>1</v>
          </cell>
          <cell r="AA4426">
            <v>1000</v>
          </cell>
        </row>
        <row r="4427">
          <cell r="A4427">
            <v>46269</v>
          </cell>
          <cell r="D4427" t="str">
            <v>nieves</v>
          </cell>
          <cell r="E4427">
            <v>2</v>
          </cell>
          <cell r="H4427" t="str">
            <v>SAFISCOR</v>
          </cell>
          <cell r="N4427">
            <v>1000</v>
          </cell>
          <cell r="Y4427">
            <v>46269</v>
          </cell>
          <cell r="Z4427">
            <v>2</v>
          </cell>
          <cell r="AA4427">
            <v>1000</v>
          </cell>
        </row>
        <row r="4428">
          <cell r="A4428">
            <v>46269</v>
          </cell>
          <cell r="D4428" t="str">
            <v>nieves</v>
          </cell>
          <cell r="E4428">
            <v>2</v>
          </cell>
          <cell r="H4428" t="str">
            <v>SAFISCOR</v>
          </cell>
          <cell r="N4428">
            <v>1000</v>
          </cell>
          <cell r="Y4428">
            <v>46269</v>
          </cell>
          <cell r="Z4428">
            <v>2</v>
          </cell>
          <cell r="AA4428">
            <v>1000</v>
          </cell>
        </row>
        <row r="4429">
          <cell r="A4429">
            <v>46269</v>
          </cell>
          <cell r="D4429" t="str">
            <v>nieves</v>
          </cell>
          <cell r="E4429">
            <v>2</v>
          </cell>
          <cell r="H4429" t="str">
            <v>FULACHE</v>
          </cell>
          <cell r="N4429">
            <v>1000</v>
          </cell>
          <cell r="Y4429">
            <v>46269</v>
          </cell>
          <cell r="Z4429">
            <v>1</v>
          </cell>
          <cell r="AA4429">
            <v>1000</v>
          </cell>
        </row>
        <row r="4430">
          <cell r="A4430">
            <v>46269</v>
          </cell>
          <cell r="D4430" t="str">
            <v>nieves</v>
          </cell>
          <cell r="E4430">
            <v>2</v>
          </cell>
          <cell r="H4430" t="str">
            <v>LAPU-LAPU</v>
          </cell>
          <cell r="N4430">
            <v>1000</v>
          </cell>
          <cell r="Y4430">
            <v>46269</v>
          </cell>
          <cell r="Z4430">
            <v>1</v>
          </cell>
          <cell r="AA4430">
            <v>1000</v>
          </cell>
        </row>
        <row r="4431">
          <cell r="A4431">
            <v>46269</v>
          </cell>
          <cell r="D4431" t="str">
            <v>nieves</v>
          </cell>
          <cell r="E4431">
            <v>2</v>
          </cell>
          <cell r="H4431" t="str">
            <v>LAPU-LAPU</v>
          </cell>
          <cell r="N4431">
            <v>500</v>
          </cell>
          <cell r="Y4431">
            <v>46269</v>
          </cell>
          <cell r="Z4431">
            <v>2</v>
          </cell>
          <cell r="AA4431">
            <v>500</v>
          </cell>
        </row>
        <row r="4432">
          <cell r="A4432">
            <v>46269</v>
          </cell>
          <cell r="D4432" t="str">
            <v>nieves</v>
          </cell>
          <cell r="E4432">
            <v>2</v>
          </cell>
          <cell r="H4432" t="str">
            <v>LAPU-LAPU</v>
          </cell>
          <cell r="N4432">
            <v>500</v>
          </cell>
          <cell r="Y4432">
            <v>46269</v>
          </cell>
          <cell r="Z4432">
            <v>2</v>
          </cell>
          <cell r="AA4432">
            <v>500</v>
          </cell>
        </row>
        <row r="4433">
          <cell r="A4433">
            <v>46269</v>
          </cell>
          <cell r="D4433" t="str">
            <v>nieves</v>
          </cell>
          <cell r="E4433">
            <v>2</v>
          </cell>
          <cell r="H4433" t="str">
            <v>APLUS</v>
          </cell>
          <cell r="N4433">
            <v>1000</v>
          </cell>
          <cell r="Y4433">
            <v>46269</v>
          </cell>
          <cell r="Z4433">
            <v>1</v>
          </cell>
          <cell r="AA4433">
            <v>1000</v>
          </cell>
        </row>
        <row r="4434">
          <cell r="A4434">
            <v>46269</v>
          </cell>
          <cell r="D4434" t="str">
            <v>nieves</v>
          </cell>
          <cell r="E4434">
            <v>2</v>
          </cell>
          <cell r="H4434" t="str">
            <v>SAFISCOR</v>
          </cell>
          <cell r="N4434">
            <v>1000</v>
          </cell>
          <cell r="Y4434">
            <v>46269</v>
          </cell>
          <cell r="Z4434">
            <v>2</v>
          </cell>
          <cell r="AA4434">
            <v>1000</v>
          </cell>
        </row>
        <row r="4435">
          <cell r="A4435">
            <v>46269</v>
          </cell>
          <cell r="D4435" t="str">
            <v>BARGE JB 5</v>
          </cell>
          <cell r="E4435">
            <v>1</v>
          </cell>
          <cell r="H4435" t="str">
            <v>SAFISCOR</v>
          </cell>
          <cell r="N4435">
            <v>1000</v>
          </cell>
          <cell r="Y4435">
            <v>46270</v>
          </cell>
          <cell r="Z4435">
            <v>1</v>
          </cell>
          <cell r="AA4435">
            <v>1000</v>
          </cell>
        </row>
        <row r="4436">
          <cell r="A4436">
            <v>46269</v>
          </cell>
          <cell r="D4436" t="str">
            <v>nieves</v>
          </cell>
          <cell r="E4436">
            <v>2</v>
          </cell>
          <cell r="H4436" t="str">
            <v>SAFISCOR</v>
          </cell>
          <cell r="N4436">
            <v>1000</v>
          </cell>
          <cell r="Y4436">
            <v>46269</v>
          </cell>
          <cell r="Z4436">
            <v>2</v>
          </cell>
          <cell r="AA4436">
            <v>1000</v>
          </cell>
        </row>
        <row r="4437">
          <cell r="A4437">
            <v>46269</v>
          </cell>
          <cell r="D4437" t="str">
            <v>BARGE JB 5</v>
          </cell>
          <cell r="E4437">
            <v>1</v>
          </cell>
          <cell r="H4437" t="str">
            <v>SAFISCOR</v>
          </cell>
          <cell r="N4437">
            <v>1000</v>
          </cell>
          <cell r="Y4437">
            <v>46270</v>
          </cell>
          <cell r="Z4437">
            <v>1</v>
          </cell>
          <cell r="AA4437">
            <v>1000</v>
          </cell>
        </row>
        <row r="4438">
          <cell r="A4438">
            <v>46269</v>
          </cell>
          <cell r="D4438" t="str">
            <v>BARGE JB 5</v>
          </cell>
          <cell r="E4438">
            <v>1</v>
          </cell>
          <cell r="H4438" t="str">
            <v>SAFISCOR</v>
          </cell>
          <cell r="N4438">
            <v>1000</v>
          </cell>
        </row>
        <row r="4439">
          <cell r="A4439">
            <v>46269</v>
          </cell>
          <cell r="D4439" t="str">
            <v>BARGE JB 5</v>
          </cell>
          <cell r="E4439">
            <v>1</v>
          </cell>
          <cell r="H4439" t="str">
            <v>SAFISCOR</v>
          </cell>
          <cell r="N4439">
            <v>1000</v>
          </cell>
          <cell r="Y4439">
            <v>46270</v>
          </cell>
          <cell r="Z4439">
            <v>1</v>
          </cell>
          <cell r="AA4439">
            <v>1000</v>
          </cell>
        </row>
        <row r="4440">
          <cell r="A4440">
            <v>46269</v>
          </cell>
          <cell r="D4440" t="str">
            <v>nieves</v>
          </cell>
          <cell r="E4440">
            <v>2</v>
          </cell>
          <cell r="H4440" t="str">
            <v>LAPU-LAPU</v>
          </cell>
          <cell r="N4440">
            <v>1000</v>
          </cell>
          <cell r="Y4440">
            <v>46269</v>
          </cell>
          <cell r="Z4440">
            <v>2</v>
          </cell>
          <cell r="AA4440">
            <v>1000</v>
          </cell>
        </row>
        <row r="4441">
          <cell r="A4441">
            <v>46269</v>
          </cell>
          <cell r="D4441" t="str">
            <v>nieves</v>
          </cell>
          <cell r="E4441">
            <v>2</v>
          </cell>
          <cell r="H4441" t="str">
            <v>LAPU-LAPU</v>
          </cell>
          <cell r="N4441">
            <v>1000</v>
          </cell>
          <cell r="Y4441">
            <v>46269</v>
          </cell>
          <cell r="Z4441">
            <v>2</v>
          </cell>
          <cell r="AA4441">
            <v>1000</v>
          </cell>
        </row>
        <row r="4442">
          <cell r="A4442">
            <v>46269</v>
          </cell>
          <cell r="D4442" t="str">
            <v>LADY ARMOR</v>
          </cell>
          <cell r="E4442">
            <v>5</v>
          </cell>
          <cell r="H4442" t="str">
            <v>SAFISCOR</v>
          </cell>
          <cell r="N4442">
            <v>1000</v>
          </cell>
          <cell r="Y4442">
            <v>46270</v>
          </cell>
          <cell r="Z4442">
            <v>1</v>
          </cell>
          <cell r="AA4442">
            <v>1000</v>
          </cell>
        </row>
        <row r="4443">
          <cell r="A4443">
            <v>46269</v>
          </cell>
          <cell r="D4443" t="str">
            <v>nieves</v>
          </cell>
          <cell r="E4443">
            <v>2</v>
          </cell>
          <cell r="H4443" t="str">
            <v>SAFISCOR</v>
          </cell>
          <cell r="N4443">
            <v>500</v>
          </cell>
          <cell r="Y4443">
            <v>46269</v>
          </cell>
          <cell r="Z4443">
            <v>2</v>
          </cell>
          <cell r="AA4443">
            <v>500</v>
          </cell>
        </row>
        <row r="4444">
          <cell r="A4444">
            <v>46269</v>
          </cell>
          <cell r="D4444" t="str">
            <v>BARGE JB 5</v>
          </cell>
          <cell r="E4444">
            <v>1</v>
          </cell>
          <cell r="H4444" t="str">
            <v>SAFISCOR</v>
          </cell>
          <cell r="N4444">
            <v>500</v>
          </cell>
          <cell r="Y4444">
            <v>46270</v>
          </cell>
          <cell r="Z4444">
            <v>1</v>
          </cell>
          <cell r="AA4444">
            <v>500</v>
          </cell>
        </row>
        <row r="4445">
          <cell r="A4445">
            <v>46269</v>
          </cell>
          <cell r="D4445" t="str">
            <v>BARGE JB 5</v>
          </cell>
          <cell r="E4445">
            <v>1</v>
          </cell>
          <cell r="H4445" t="str">
            <v>SAFISCOR</v>
          </cell>
          <cell r="N4445">
            <v>1000</v>
          </cell>
          <cell r="Y4445">
            <v>46270</v>
          </cell>
          <cell r="Z4445">
            <v>1</v>
          </cell>
          <cell r="AA4445">
            <v>1000</v>
          </cell>
        </row>
        <row r="4446">
          <cell r="A4446">
            <v>46269</v>
          </cell>
          <cell r="D4446" t="str">
            <v>nieves</v>
          </cell>
          <cell r="E4446">
            <v>2</v>
          </cell>
          <cell r="H4446" t="str">
            <v>LAPU-LAPU</v>
          </cell>
          <cell r="N4446">
            <v>1000</v>
          </cell>
          <cell r="Y4446">
            <v>46270</v>
          </cell>
          <cell r="Z4446">
            <v>1</v>
          </cell>
          <cell r="AA4446">
            <v>1000</v>
          </cell>
        </row>
        <row r="4447">
          <cell r="A4447">
            <v>46269</v>
          </cell>
          <cell r="D4447" t="str">
            <v>BARGE JB 5</v>
          </cell>
          <cell r="E4447">
            <v>1</v>
          </cell>
          <cell r="H4447" t="str">
            <v>SAFISCOR</v>
          </cell>
          <cell r="N4447">
            <v>1000</v>
          </cell>
        </row>
        <row r="4448">
          <cell r="A4448">
            <v>46269</v>
          </cell>
          <cell r="D4448" t="str">
            <v>BARGE JB 5</v>
          </cell>
          <cell r="E4448">
            <v>1</v>
          </cell>
          <cell r="H4448" t="str">
            <v>SAFISCOR</v>
          </cell>
          <cell r="N4448">
            <v>1000</v>
          </cell>
          <cell r="Y4448">
            <v>46270</v>
          </cell>
          <cell r="Z4448">
            <v>1</v>
          </cell>
          <cell r="AA4448">
            <v>1000</v>
          </cell>
        </row>
        <row r="4449">
          <cell r="A4449">
            <v>46269</v>
          </cell>
          <cell r="D4449" t="str">
            <v>BARGE JB 5</v>
          </cell>
          <cell r="E4449">
            <v>1</v>
          </cell>
          <cell r="H4449" t="str">
            <v>SAFISCOR</v>
          </cell>
          <cell r="N4449">
            <v>1000</v>
          </cell>
        </row>
        <row r="4450">
          <cell r="A4450">
            <v>46269</v>
          </cell>
          <cell r="D4450" t="str">
            <v>BARGE JB 5</v>
          </cell>
          <cell r="E4450">
            <v>1</v>
          </cell>
          <cell r="H4450" t="str">
            <v>SAFISCOR</v>
          </cell>
          <cell r="N4450">
            <v>1000</v>
          </cell>
        </row>
        <row r="4451">
          <cell r="A4451">
            <v>46269</v>
          </cell>
          <cell r="D4451" t="str">
            <v>BARGE JB 5</v>
          </cell>
          <cell r="E4451">
            <v>1</v>
          </cell>
          <cell r="H4451" t="str">
            <v>SAFISCOR</v>
          </cell>
          <cell r="N4451">
            <v>1000</v>
          </cell>
        </row>
        <row r="4452">
          <cell r="A4452">
            <v>46269</v>
          </cell>
          <cell r="D4452" t="str">
            <v>BARGE JB 5</v>
          </cell>
          <cell r="E4452">
            <v>1</v>
          </cell>
          <cell r="H4452" t="str">
            <v>LAPU-LAPU</v>
          </cell>
          <cell r="N4452">
            <v>1000</v>
          </cell>
          <cell r="Y4452">
            <v>46270</v>
          </cell>
          <cell r="Z4452">
            <v>1</v>
          </cell>
          <cell r="AA4452">
            <v>1000</v>
          </cell>
        </row>
        <row r="4453">
          <cell r="A4453">
            <v>46269</v>
          </cell>
          <cell r="D4453" t="str">
            <v>BARGE JB 5</v>
          </cell>
          <cell r="E4453">
            <v>1</v>
          </cell>
          <cell r="H4453" t="str">
            <v>SAFISCOR</v>
          </cell>
          <cell r="N4453">
            <v>1000</v>
          </cell>
          <cell r="Y4453">
            <v>46270</v>
          </cell>
          <cell r="Z4453">
            <v>1</v>
          </cell>
          <cell r="AA4453">
            <v>1000</v>
          </cell>
        </row>
        <row r="4454">
          <cell r="A4454">
            <v>46269</v>
          </cell>
          <cell r="D4454" t="str">
            <v>BARGE JB 5</v>
          </cell>
          <cell r="E4454">
            <v>1</v>
          </cell>
          <cell r="H4454" t="str">
            <v>SAFISCOR</v>
          </cell>
          <cell r="N4454">
            <v>1000</v>
          </cell>
        </row>
        <row r="4455">
          <cell r="A4455">
            <v>46269</v>
          </cell>
          <cell r="D4455" t="str">
            <v>BARGE JB 5</v>
          </cell>
          <cell r="E4455">
            <v>1</v>
          </cell>
          <cell r="H4455" t="str">
            <v>SAFISCOR</v>
          </cell>
          <cell r="N4455">
            <v>1000</v>
          </cell>
        </row>
        <row r="4456">
          <cell r="A4456">
            <v>46269</v>
          </cell>
          <cell r="D4456" t="str">
            <v>BARGE JB 5</v>
          </cell>
          <cell r="E4456">
            <v>1</v>
          </cell>
          <cell r="H4456" t="str">
            <v>SAFISCOR</v>
          </cell>
          <cell r="N4456">
            <v>1000</v>
          </cell>
        </row>
        <row r="4457">
          <cell r="A4457">
            <v>46269</v>
          </cell>
          <cell r="D4457" t="str">
            <v>BARGE JB 5</v>
          </cell>
          <cell r="E4457">
            <v>1</v>
          </cell>
          <cell r="H4457" t="str">
            <v>SAFISCOR</v>
          </cell>
          <cell r="N4457">
            <v>1000</v>
          </cell>
        </row>
        <row r="4458">
          <cell r="A4458">
            <v>46269</v>
          </cell>
          <cell r="D4458" t="str">
            <v>BARGE JB 5</v>
          </cell>
          <cell r="E4458">
            <v>1</v>
          </cell>
          <cell r="H4458" t="str">
            <v>SAFISCOR</v>
          </cell>
          <cell r="N4458">
            <v>1000</v>
          </cell>
          <cell r="Y4458">
            <v>46270</v>
          </cell>
          <cell r="Z4458">
            <v>1</v>
          </cell>
          <cell r="AA4458">
            <v>1000</v>
          </cell>
        </row>
        <row r="4459">
          <cell r="A4459">
            <v>46269</v>
          </cell>
          <cell r="D4459" t="str">
            <v>BARGE JB 5</v>
          </cell>
          <cell r="E4459">
            <v>1</v>
          </cell>
          <cell r="H4459" t="str">
            <v>LAPU-LAPU</v>
          </cell>
          <cell r="N4459">
            <v>1000</v>
          </cell>
          <cell r="Y4459">
            <v>46270</v>
          </cell>
          <cell r="Z4459">
            <v>1</v>
          </cell>
          <cell r="AA4459">
            <v>1000</v>
          </cell>
        </row>
        <row r="4460">
          <cell r="A4460">
            <v>46269</v>
          </cell>
          <cell r="D4460" t="str">
            <v>JOHANNAH 7</v>
          </cell>
          <cell r="E4460">
            <v>5</v>
          </cell>
          <cell r="H4460" t="str">
            <v>GEO</v>
          </cell>
          <cell r="N4460">
            <v>1000</v>
          </cell>
          <cell r="Y4460">
            <v>46269</v>
          </cell>
          <cell r="Z4460">
            <v>2</v>
          </cell>
          <cell r="AA4460">
            <v>1000</v>
          </cell>
        </row>
        <row r="4461">
          <cell r="A4461">
            <v>46269</v>
          </cell>
          <cell r="D4461" t="str">
            <v>BARGE JB 5</v>
          </cell>
          <cell r="E4461">
            <v>1</v>
          </cell>
          <cell r="H4461" t="str">
            <v>LAPU-LAPU</v>
          </cell>
          <cell r="N4461">
            <v>1000</v>
          </cell>
          <cell r="Y4461">
            <v>46270</v>
          </cell>
          <cell r="Z4461">
            <v>1</v>
          </cell>
          <cell r="AA4461">
            <v>1000</v>
          </cell>
        </row>
        <row r="4462">
          <cell r="A4462">
            <v>46269</v>
          </cell>
          <cell r="D4462" t="str">
            <v>BARGE JB 5</v>
          </cell>
          <cell r="E4462">
            <v>1</v>
          </cell>
          <cell r="H4462" t="str">
            <v>SAFISCOR</v>
          </cell>
          <cell r="N4462">
            <v>1000</v>
          </cell>
          <cell r="Y4462">
            <v>46270</v>
          </cell>
          <cell r="Z4462">
            <v>1</v>
          </cell>
          <cell r="AA4462">
            <v>1000</v>
          </cell>
        </row>
        <row r="4463">
          <cell r="A4463">
            <v>46269</v>
          </cell>
          <cell r="D4463" t="str">
            <v>BARGE JB 5</v>
          </cell>
          <cell r="E4463">
            <v>1</v>
          </cell>
          <cell r="H4463" t="str">
            <v>SAFISCOR</v>
          </cell>
          <cell r="N4463">
            <v>1000</v>
          </cell>
        </row>
        <row r="4464">
          <cell r="A4464">
            <v>46269</v>
          </cell>
          <cell r="D4464" t="str">
            <v>nieves</v>
          </cell>
          <cell r="E4464">
            <v>2</v>
          </cell>
          <cell r="H4464" t="str">
            <v>LAPU-LAPU</v>
          </cell>
          <cell r="N4464">
            <v>1000</v>
          </cell>
          <cell r="Y4464">
            <v>46270</v>
          </cell>
          <cell r="Z4464">
            <v>1</v>
          </cell>
          <cell r="AA4464">
            <v>1000</v>
          </cell>
        </row>
        <row r="4465">
          <cell r="A4465">
            <v>46269</v>
          </cell>
          <cell r="D4465" t="str">
            <v>BARGE JB 5</v>
          </cell>
          <cell r="E4465">
            <v>1</v>
          </cell>
          <cell r="H4465" t="str">
            <v>GEO</v>
          </cell>
          <cell r="N4465">
            <v>1000</v>
          </cell>
          <cell r="Y4465">
            <v>46270</v>
          </cell>
          <cell r="Z4465">
            <v>1</v>
          </cell>
          <cell r="AA4465">
            <v>1000</v>
          </cell>
        </row>
        <row r="4466">
          <cell r="A4466">
            <v>46269</v>
          </cell>
          <cell r="D4466" t="str">
            <v>LADY OF COURAGE</v>
          </cell>
          <cell r="E4466">
            <v>7</v>
          </cell>
          <cell r="H4466" t="str">
            <v>LAPU-LAPU</v>
          </cell>
          <cell r="N4466">
            <v>1000</v>
          </cell>
          <cell r="Y4466">
            <v>46269</v>
          </cell>
          <cell r="Z4466">
            <v>2</v>
          </cell>
          <cell r="AA4466">
            <v>1000</v>
          </cell>
        </row>
        <row r="4467">
          <cell r="A4467">
            <v>46269</v>
          </cell>
          <cell r="D4467" t="str">
            <v>nieves</v>
          </cell>
          <cell r="E4467">
            <v>2</v>
          </cell>
          <cell r="H4467" t="str">
            <v>SAFISCOR</v>
          </cell>
          <cell r="N4467">
            <v>1000</v>
          </cell>
          <cell r="Y4467">
            <v>46269</v>
          </cell>
          <cell r="Z4467">
            <v>2</v>
          </cell>
          <cell r="AA4467">
            <v>1000</v>
          </cell>
        </row>
        <row r="4468">
          <cell r="A4468">
            <v>46269</v>
          </cell>
          <cell r="D4468" t="str">
            <v>JOHANNAH 7</v>
          </cell>
          <cell r="E4468">
            <v>5</v>
          </cell>
          <cell r="H4468" t="str">
            <v>APLUS</v>
          </cell>
          <cell r="N4468">
            <v>1000</v>
          </cell>
          <cell r="Y4468">
            <v>46269</v>
          </cell>
          <cell r="Z4468">
            <v>2</v>
          </cell>
          <cell r="AA4468">
            <v>1000</v>
          </cell>
        </row>
        <row r="4469">
          <cell r="A4469">
            <v>46270</v>
          </cell>
          <cell r="D4469" t="str">
            <v>INFINITY 8</v>
          </cell>
          <cell r="E4469">
            <v>4</v>
          </cell>
          <cell r="H4469" t="str">
            <v>LAPU-LAPU</v>
          </cell>
          <cell r="N4469">
            <v>1000</v>
          </cell>
          <cell r="Y4469">
            <v>46270</v>
          </cell>
          <cell r="Z4469">
            <v>1</v>
          </cell>
          <cell r="AA4469">
            <v>1000</v>
          </cell>
        </row>
        <row r="4470">
          <cell r="A4470">
            <v>46270</v>
          </cell>
          <cell r="D4470" t="str">
            <v>LADY OF COURAGE</v>
          </cell>
          <cell r="E4470">
            <v>7</v>
          </cell>
          <cell r="H4470" t="str">
            <v>LAPU-LAPU</v>
          </cell>
          <cell r="N4470">
            <v>1000</v>
          </cell>
          <cell r="Y4470">
            <v>46270</v>
          </cell>
          <cell r="Z4470">
            <v>1</v>
          </cell>
          <cell r="AA4470">
            <v>1000</v>
          </cell>
        </row>
        <row r="4471">
          <cell r="A4471">
            <v>46270</v>
          </cell>
          <cell r="D4471" t="str">
            <v>nieves</v>
          </cell>
          <cell r="E4471">
            <v>2</v>
          </cell>
          <cell r="H4471" t="str">
            <v>BADIE</v>
          </cell>
          <cell r="N4471">
            <v>1000</v>
          </cell>
          <cell r="Y4471">
            <v>46270</v>
          </cell>
          <cell r="Z4471">
            <v>1</v>
          </cell>
          <cell r="AA4471">
            <v>1000</v>
          </cell>
        </row>
        <row r="4472">
          <cell r="A4472">
            <v>46270</v>
          </cell>
          <cell r="D4472" t="str">
            <v>nieves</v>
          </cell>
          <cell r="E4472">
            <v>2</v>
          </cell>
          <cell r="H4472" t="str">
            <v>FULACHE</v>
          </cell>
          <cell r="N4472">
            <v>1000</v>
          </cell>
          <cell r="Y4472">
            <v>46270</v>
          </cell>
          <cell r="Z4472">
            <v>1</v>
          </cell>
          <cell r="AA4472">
            <v>1000</v>
          </cell>
        </row>
        <row r="4473">
          <cell r="A4473">
            <v>46270</v>
          </cell>
          <cell r="D4473" t="str">
            <v>BARGE JB 5</v>
          </cell>
          <cell r="E4473">
            <v>1</v>
          </cell>
          <cell r="H4473" t="str">
            <v>GEO</v>
          </cell>
          <cell r="N4473">
            <v>1000</v>
          </cell>
          <cell r="Y4473">
            <v>46270</v>
          </cell>
          <cell r="Z4473">
            <v>1</v>
          </cell>
          <cell r="AA4473">
            <v>1000</v>
          </cell>
        </row>
        <row r="4474">
          <cell r="A4474">
            <v>46270</v>
          </cell>
          <cell r="D4474" t="str">
            <v>BARGE JB 5</v>
          </cell>
          <cell r="E4474">
            <v>1</v>
          </cell>
          <cell r="H4474" t="str">
            <v>LAPU-LAPU</v>
          </cell>
          <cell r="N4474">
            <v>1000</v>
          </cell>
        </row>
        <row r="4475">
          <cell r="A4475">
            <v>46270</v>
          </cell>
          <cell r="D4475" t="str">
            <v>BARGE JB 5</v>
          </cell>
          <cell r="E4475">
            <v>1</v>
          </cell>
          <cell r="H4475" t="str">
            <v>SAFISCOR</v>
          </cell>
          <cell r="N4475">
            <v>1000</v>
          </cell>
        </row>
        <row r="4476">
          <cell r="A4476">
            <v>46270</v>
          </cell>
          <cell r="D4476" t="str">
            <v>BARGE JB 5</v>
          </cell>
          <cell r="E4476">
            <v>1</v>
          </cell>
          <cell r="H4476" t="str">
            <v>SAFISCOR</v>
          </cell>
          <cell r="N4476">
            <v>1000</v>
          </cell>
        </row>
        <row r="4477">
          <cell r="A4477">
            <v>46270</v>
          </cell>
          <cell r="D4477" t="str">
            <v>BARGE JB 5</v>
          </cell>
          <cell r="E4477">
            <v>1</v>
          </cell>
          <cell r="H4477" t="str">
            <v>SAFISCOR</v>
          </cell>
          <cell r="N4477">
            <v>1000</v>
          </cell>
        </row>
        <row r="4478">
          <cell r="A4478">
            <v>46270</v>
          </cell>
          <cell r="D4478" t="str">
            <v>BARGE JB 5</v>
          </cell>
          <cell r="E4478">
            <v>1</v>
          </cell>
          <cell r="H4478" t="str">
            <v>SAFISCOR</v>
          </cell>
          <cell r="N4478">
            <v>1000</v>
          </cell>
        </row>
        <row r="4479">
          <cell r="A4479">
            <v>46270</v>
          </cell>
          <cell r="D4479" t="str">
            <v>BARGE JB 5</v>
          </cell>
          <cell r="E4479">
            <v>1</v>
          </cell>
          <cell r="H4479" t="str">
            <v>SAFISCOR</v>
          </cell>
          <cell r="N4479">
            <v>1000</v>
          </cell>
        </row>
        <row r="4480">
          <cell r="A4480">
            <v>46270</v>
          </cell>
          <cell r="D4480" t="str">
            <v>BARGE JB 5</v>
          </cell>
          <cell r="E4480">
            <v>1</v>
          </cell>
          <cell r="H4480" t="str">
            <v>SAFISCOR</v>
          </cell>
          <cell r="N4480">
            <v>1000</v>
          </cell>
        </row>
        <row r="4481">
          <cell r="A4481">
            <v>46270</v>
          </cell>
          <cell r="D4481" t="str">
            <v>BARGE JB 5</v>
          </cell>
          <cell r="E4481">
            <v>1</v>
          </cell>
          <cell r="H4481" t="str">
            <v>SAFISCOR</v>
          </cell>
          <cell r="N4481">
            <v>1000</v>
          </cell>
        </row>
        <row r="4482">
          <cell r="A4482">
            <v>46270</v>
          </cell>
          <cell r="D4482" t="str">
            <v>BARGE JB 5</v>
          </cell>
          <cell r="E4482">
            <v>1</v>
          </cell>
          <cell r="H4482" t="str">
            <v>SAFISCOR</v>
          </cell>
          <cell r="N4482">
            <v>1000</v>
          </cell>
        </row>
        <row r="4483">
          <cell r="A4483">
            <v>46270</v>
          </cell>
          <cell r="D4483" t="str">
            <v>BARGE JB 5</v>
          </cell>
          <cell r="E4483">
            <v>1</v>
          </cell>
          <cell r="H4483" t="str">
            <v>SAFISCOR</v>
          </cell>
          <cell r="N4483">
            <v>1000</v>
          </cell>
        </row>
        <row r="4484">
          <cell r="A4484">
            <v>46270</v>
          </cell>
          <cell r="D4484" t="str">
            <v>BARGE JB 5</v>
          </cell>
          <cell r="E4484">
            <v>1</v>
          </cell>
          <cell r="H4484" t="str">
            <v>SAFISCOR</v>
          </cell>
          <cell r="N4484">
            <v>1000</v>
          </cell>
        </row>
        <row r="4485">
          <cell r="A4485">
            <v>46270</v>
          </cell>
          <cell r="D4485" t="str">
            <v>BARGE JB 5</v>
          </cell>
          <cell r="E4485">
            <v>1</v>
          </cell>
          <cell r="H4485" t="str">
            <v>SAFISCOR</v>
          </cell>
          <cell r="N4485">
            <v>1000</v>
          </cell>
        </row>
        <row r="4486">
          <cell r="A4486">
            <v>46270</v>
          </cell>
          <cell r="D4486" t="str">
            <v>BARGE JB 5</v>
          </cell>
          <cell r="E4486">
            <v>1</v>
          </cell>
          <cell r="H4486" t="str">
            <v>SAFISCOR</v>
          </cell>
          <cell r="N4486">
            <v>1000</v>
          </cell>
        </row>
        <row r="4487">
          <cell r="A4487">
            <v>46270</v>
          </cell>
          <cell r="D4487" t="str">
            <v>BARGE JB 5</v>
          </cell>
          <cell r="E4487">
            <v>1</v>
          </cell>
          <cell r="H4487" t="str">
            <v>SAFISCOR</v>
          </cell>
          <cell r="N4487">
            <v>1000</v>
          </cell>
        </row>
        <row r="4488">
          <cell r="A4488">
            <v>46270</v>
          </cell>
          <cell r="D4488" t="str">
            <v>BARGE JB 5</v>
          </cell>
          <cell r="E4488">
            <v>1</v>
          </cell>
          <cell r="H4488" t="str">
            <v>SAFISCOR</v>
          </cell>
          <cell r="N4488">
            <v>1000</v>
          </cell>
        </row>
        <row r="4489">
          <cell r="A4489">
            <v>46270</v>
          </cell>
          <cell r="D4489" t="str">
            <v>BARGE JB 5</v>
          </cell>
          <cell r="E4489">
            <v>1</v>
          </cell>
          <cell r="H4489" t="str">
            <v>SAFISCOR</v>
          </cell>
          <cell r="N4489">
            <v>1000</v>
          </cell>
        </row>
        <row r="4490">
          <cell r="A4490">
            <v>46270</v>
          </cell>
          <cell r="D4490" t="str">
            <v>BARGE JB 5</v>
          </cell>
          <cell r="E4490">
            <v>1</v>
          </cell>
          <cell r="H4490" t="str">
            <v>SAFISCOR</v>
          </cell>
          <cell r="N4490">
            <v>500</v>
          </cell>
        </row>
        <row r="4491">
          <cell r="A4491">
            <v>46270</v>
          </cell>
          <cell r="D4491" t="str">
            <v>BARGE JB 5</v>
          </cell>
          <cell r="E4491">
            <v>1</v>
          </cell>
          <cell r="H4491" t="str">
            <v>SAFISCOR</v>
          </cell>
          <cell r="N4491">
            <v>500</v>
          </cell>
        </row>
        <row r="4492">
          <cell r="A4492">
            <v>46270</v>
          </cell>
          <cell r="D4492" t="str">
            <v>JOHANNAH 7</v>
          </cell>
          <cell r="E4492">
            <v>5</v>
          </cell>
          <cell r="H4492" t="str">
            <v>SAFISCOR</v>
          </cell>
          <cell r="N4492">
            <v>1000</v>
          </cell>
        </row>
        <row r="4493">
          <cell r="A4493">
            <v>46270</v>
          </cell>
          <cell r="D4493" t="str">
            <v>LADY OF COURAGE</v>
          </cell>
          <cell r="E4493">
            <v>7</v>
          </cell>
          <cell r="H4493" t="str">
            <v>LAPU-LAPU</v>
          </cell>
          <cell r="N4493">
            <v>1000</v>
          </cell>
          <cell r="Y4493">
            <v>46270</v>
          </cell>
          <cell r="Z4493">
            <v>1</v>
          </cell>
          <cell r="AA4493">
            <v>1000</v>
          </cell>
        </row>
        <row r="4494">
          <cell r="A4494">
            <v>46270</v>
          </cell>
          <cell r="D4494" t="str">
            <v>NIEVES</v>
          </cell>
          <cell r="E4494">
            <v>2</v>
          </cell>
          <cell r="H4494" t="str">
            <v>GEO</v>
          </cell>
          <cell r="N4494">
            <v>1000</v>
          </cell>
          <cell r="Y4494">
            <v>46270</v>
          </cell>
          <cell r="Z4494">
            <v>1</v>
          </cell>
          <cell r="AA4494">
            <v>1000</v>
          </cell>
        </row>
        <row r="4495">
          <cell r="A4495">
            <v>46270</v>
          </cell>
          <cell r="D4495" t="str">
            <v>INFINITY 8</v>
          </cell>
          <cell r="E4495">
            <v>4</v>
          </cell>
          <cell r="H4495" t="str">
            <v>LAPU-LAPU</v>
          </cell>
          <cell r="N4495">
            <v>1000</v>
          </cell>
          <cell r="Y4495">
            <v>46270</v>
          </cell>
          <cell r="Z4495">
            <v>1</v>
          </cell>
          <cell r="AA4495">
            <v>1000</v>
          </cell>
        </row>
        <row r="4496">
          <cell r="A4496">
            <v>46270</v>
          </cell>
          <cell r="D4496" t="str">
            <v>INFINITY 8</v>
          </cell>
          <cell r="E4496">
            <v>4</v>
          </cell>
          <cell r="H4496" t="str">
            <v>GEO</v>
          </cell>
          <cell r="N4496">
            <v>1000</v>
          </cell>
          <cell r="Y4496">
            <v>46270</v>
          </cell>
          <cell r="Z4496">
            <v>1</v>
          </cell>
          <cell r="AA4496">
            <v>1000</v>
          </cell>
        </row>
        <row r="4497">
          <cell r="A4497">
            <v>46270</v>
          </cell>
          <cell r="D4497" t="str">
            <v>LADY OF WISDOM</v>
          </cell>
          <cell r="E4497">
            <v>6</v>
          </cell>
          <cell r="H4497" t="str">
            <v>SAFISCOR</v>
          </cell>
          <cell r="N4497">
            <v>1000</v>
          </cell>
          <cell r="Y4497">
            <v>46270</v>
          </cell>
          <cell r="Z4497">
            <v>1</v>
          </cell>
          <cell r="AA4497">
            <v>1000</v>
          </cell>
        </row>
        <row r="4498">
          <cell r="A4498">
            <v>46270</v>
          </cell>
          <cell r="D4498" t="str">
            <v>LADY OF WISDOM</v>
          </cell>
          <cell r="E4498">
            <v>6</v>
          </cell>
          <cell r="H4498" t="str">
            <v>SAFISCOR</v>
          </cell>
          <cell r="N4498">
            <v>1000</v>
          </cell>
        </row>
        <row r="4499">
          <cell r="A4499">
            <v>46270</v>
          </cell>
          <cell r="D4499" t="str">
            <v>LADY OF WISDOM</v>
          </cell>
          <cell r="E4499">
            <v>6</v>
          </cell>
          <cell r="H4499" t="str">
            <v>LAPU-LAPU</v>
          </cell>
          <cell r="N4499">
            <v>1000</v>
          </cell>
          <cell r="Y4499">
            <v>46270</v>
          </cell>
          <cell r="Z4499">
            <v>1</v>
          </cell>
          <cell r="AA4499">
            <v>1000</v>
          </cell>
        </row>
        <row r="4500">
          <cell r="A4500">
            <v>46270</v>
          </cell>
          <cell r="D4500" t="str">
            <v>LADY OF COURAGE</v>
          </cell>
          <cell r="E4500">
            <v>7</v>
          </cell>
          <cell r="H4500" t="str">
            <v>SAFISCOR</v>
          </cell>
          <cell r="N4500">
            <v>1000</v>
          </cell>
          <cell r="Y4500">
            <v>46270</v>
          </cell>
          <cell r="Z4500">
            <v>1</v>
          </cell>
          <cell r="AA4500">
            <v>1000</v>
          </cell>
        </row>
        <row r="4501">
          <cell r="A4501">
            <v>46270</v>
          </cell>
          <cell r="D4501" t="str">
            <v>INFINITY 8</v>
          </cell>
          <cell r="E4501">
            <v>4</v>
          </cell>
          <cell r="H4501" t="str">
            <v>SAFISCOR</v>
          </cell>
          <cell r="N4501">
            <v>1000</v>
          </cell>
          <cell r="Y4501">
            <v>46270</v>
          </cell>
          <cell r="Z4501">
            <v>1</v>
          </cell>
          <cell r="AA4501">
            <v>1000</v>
          </cell>
        </row>
        <row r="4502">
          <cell r="A4502">
            <v>46270</v>
          </cell>
          <cell r="D4502" t="str">
            <v>nieves</v>
          </cell>
          <cell r="E4502">
            <v>2</v>
          </cell>
          <cell r="H4502" t="str">
            <v>APLUS</v>
          </cell>
          <cell r="N4502">
            <v>1000</v>
          </cell>
          <cell r="Y4502">
            <v>46270</v>
          </cell>
          <cell r="Z4502">
            <v>1</v>
          </cell>
          <cell r="AA4502">
            <v>1000</v>
          </cell>
        </row>
        <row r="4503">
          <cell r="A4503">
            <v>46270</v>
          </cell>
          <cell r="D4503" t="str">
            <v>LADY OF COURAGE</v>
          </cell>
          <cell r="E4503">
            <v>7</v>
          </cell>
          <cell r="H4503" t="str">
            <v>APLUS</v>
          </cell>
          <cell r="N4503">
            <v>1000</v>
          </cell>
          <cell r="Y4503">
            <v>46270</v>
          </cell>
          <cell r="Z4503">
            <v>1</v>
          </cell>
          <cell r="AA4503">
            <v>1000</v>
          </cell>
        </row>
        <row r="4504">
          <cell r="A4504">
            <v>46270</v>
          </cell>
          <cell r="D4504" t="str">
            <v>INFINITY 8</v>
          </cell>
          <cell r="E4504">
            <v>4</v>
          </cell>
          <cell r="H4504" t="str">
            <v>SAFISCOR</v>
          </cell>
          <cell r="N4504">
            <v>1000</v>
          </cell>
          <cell r="Y4504">
            <v>46270</v>
          </cell>
          <cell r="Z4504">
            <v>1</v>
          </cell>
          <cell r="AA4504">
            <v>1000</v>
          </cell>
        </row>
        <row r="4505">
          <cell r="A4505">
            <v>46270</v>
          </cell>
          <cell r="D4505" t="str">
            <v>LADY ARMOR</v>
          </cell>
          <cell r="E4505">
            <v>5</v>
          </cell>
          <cell r="H4505" t="str">
            <v>SAFISCOR</v>
          </cell>
          <cell r="N4505">
            <v>1000</v>
          </cell>
        </row>
        <row r="4506">
          <cell r="A4506">
            <v>46270</v>
          </cell>
          <cell r="D4506" t="str">
            <v>LADY OF WISDOM</v>
          </cell>
          <cell r="E4506">
            <v>6</v>
          </cell>
          <cell r="H4506" t="str">
            <v>SAFISCOR</v>
          </cell>
          <cell r="N4506">
            <v>1000</v>
          </cell>
          <cell r="Y4506">
            <v>46270</v>
          </cell>
          <cell r="Z4506">
            <v>1</v>
          </cell>
          <cell r="AA4506">
            <v>1000</v>
          </cell>
        </row>
        <row r="4507">
          <cell r="A4507">
            <v>46270</v>
          </cell>
          <cell r="D4507" t="str">
            <v>LADY OF WISDOM</v>
          </cell>
          <cell r="E4507">
            <v>6</v>
          </cell>
          <cell r="H4507" t="str">
            <v>SAFISCOR</v>
          </cell>
          <cell r="N4507">
            <v>1000</v>
          </cell>
        </row>
        <row r="4508">
          <cell r="A4508">
            <v>46270</v>
          </cell>
          <cell r="D4508" t="str">
            <v>LADY ARMOR</v>
          </cell>
          <cell r="E4508">
            <v>5</v>
          </cell>
          <cell r="H4508" t="str">
            <v>LAPU-LAPU</v>
          </cell>
          <cell r="N4508">
            <v>1000</v>
          </cell>
        </row>
        <row r="4509">
          <cell r="A4509">
            <v>46270</v>
          </cell>
          <cell r="D4509" t="str">
            <v>INFINITY 8</v>
          </cell>
          <cell r="E4509">
            <v>4</v>
          </cell>
          <cell r="H4509" t="str">
            <v>GEO</v>
          </cell>
          <cell r="N4509">
            <v>1000</v>
          </cell>
        </row>
        <row r="4510">
          <cell r="A4510">
            <v>46270</v>
          </cell>
          <cell r="D4510" t="str">
            <v>LADY OF WISDOM</v>
          </cell>
          <cell r="E4510">
            <v>6</v>
          </cell>
          <cell r="H4510" t="str">
            <v>BADIE</v>
          </cell>
          <cell r="N4510">
            <v>1000</v>
          </cell>
          <cell r="Y4510">
            <v>46270</v>
          </cell>
          <cell r="Z4510">
            <v>1</v>
          </cell>
          <cell r="AA4510">
            <v>1000</v>
          </cell>
        </row>
        <row r="4511">
          <cell r="A4511">
            <v>46270</v>
          </cell>
          <cell r="D4511" t="str">
            <v>LADY OF COURAGE</v>
          </cell>
          <cell r="E4511">
            <v>7</v>
          </cell>
          <cell r="H4511" t="str">
            <v>GEO</v>
          </cell>
          <cell r="N4511">
            <v>1000</v>
          </cell>
        </row>
        <row r="4512">
          <cell r="A4512">
            <v>46270</v>
          </cell>
          <cell r="D4512" t="str">
            <v>BARGE JB 5</v>
          </cell>
          <cell r="E4512">
            <v>1</v>
          </cell>
          <cell r="H4512" t="str">
            <v>LAPU-LAPU</v>
          </cell>
          <cell r="N4512">
            <v>1000</v>
          </cell>
          <cell r="Y4512">
            <v>46270</v>
          </cell>
          <cell r="Z4512">
            <v>1</v>
          </cell>
          <cell r="AA4512">
            <v>1000</v>
          </cell>
        </row>
        <row r="4513">
          <cell r="A4513">
            <v>46270</v>
          </cell>
        </row>
        <row r="4514">
          <cell r="A4514">
            <v>46270</v>
          </cell>
        </row>
        <row r="4515">
          <cell r="A4515">
            <v>46270</v>
          </cell>
        </row>
        <row r="4516">
          <cell r="A4516">
            <v>46270</v>
          </cell>
        </row>
        <row r="4517">
          <cell r="A4517">
            <v>46270</v>
          </cell>
        </row>
        <row r="4518">
          <cell r="A4518">
            <v>46270</v>
          </cell>
        </row>
        <row r="4519">
          <cell r="A4519">
            <v>46270</v>
          </cell>
        </row>
        <row r="4520">
          <cell r="A4520">
            <v>46270</v>
          </cell>
        </row>
        <row r="4521">
          <cell r="A4521">
            <v>46270</v>
          </cell>
        </row>
      </sheetData>
      <sheetData sheetId="2">
        <row r="3">
          <cell r="J3" t="str">
            <v>Equipment Available</v>
          </cell>
          <cell r="L3" t="str">
            <v># of stevedor Per Shift</v>
          </cell>
        </row>
        <row r="4">
          <cell r="J4" t="str">
            <v>Crane</v>
          </cell>
          <cell r="K4" t="str">
            <v>Forklift</v>
          </cell>
          <cell r="L4">
            <v>43</v>
          </cell>
        </row>
        <row r="5">
          <cell r="D5" t="str">
            <v>BARGE JB 5</v>
          </cell>
          <cell r="E5">
            <v>1</v>
          </cell>
          <cell r="F5">
            <v>85000</v>
          </cell>
          <cell r="G5" t="str">
            <v>CRANE 4 / FL 2</v>
          </cell>
          <cell r="J5">
            <v>3</v>
          </cell>
          <cell r="K5">
            <v>6</v>
          </cell>
        </row>
        <row r="6">
          <cell r="D6" t="str">
            <v>JOHANNAH 7</v>
          </cell>
          <cell r="E6">
            <v>5</v>
          </cell>
          <cell r="F6">
            <v>65000</v>
          </cell>
        </row>
        <row r="7">
          <cell r="D7" t="str">
            <v>VACANT</v>
          </cell>
          <cell r="J7" t="str">
            <v>Officer on Duty</v>
          </cell>
        </row>
        <row r="8">
          <cell r="D8" t="str">
            <v>INFINITY 8</v>
          </cell>
          <cell r="E8">
            <v>4</v>
          </cell>
          <cell r="F8">
            <v>45000</v>
          </cell>
          <cell r="K8" t="str">
            <v>BERNABE,A</v>
          </cell>
        </row>
        <row r="9">
          <cell r="D9" t="str">
            <v>LADY OF COURAGE</v>
          </cell>
          <cell r="E9">
            <v>7</v>
          </cell>
          <cell r="F9">
            <v>25000</v>
          </cell>
          <cell r="K9" t="str">
            <v>OBIAL,R / DALUSA,E</v>
          </cell>
        </row>
        <row r="10">
          <cell r="D10" t="str">
            <v>VACANT</v>
          </cell>
          <cell r="J10" t="str">
            <v>PMC</v>
          </cell>
          <cell r="K10" t="str">
            <v>JOAN / WILLIAM</v>
          </cell>
        </row>
        <row r="11">
          <cell r="D11" t="str">
            <v>VACANT</v>
          </cell>
          <cell r="E11" t="str">
            <v xml:space="preserve"> </v>
          </cell>
          <cell r="G11" t="str">
            <v xml:space="preserve"> </v>
          </cell>
        </row>
        <row r="12">
          <cell r="D12" t="str">
            <v>LADY ARMOR</v>
          </cell>
          <cell r="E12">
            <v>5</v>
          </cell>
          <cell r="F12">
            <v>17000</v>
          </cell>
        </row>
        <row r="13">
          <cell r="D13" t="str">
            <v>LADY OF WISDOM</v>
          </cell>
          <cell r="E13">
            <v>6</v>
          </cell>
          <cell r="F13">
            <v>30000</v>
          </cell>
          <cell r="G13" t="str">
            <v>SANNY 2</v>
          </cell>
        </row>
        <row r="14">
          <cell r="D14" t="str">
            <v>NIEVES</v>
          </cell>
          <cell r="E14">
            <v>2</v>
          </cell>
          <cell r="F14">
            <v>28000</v>
          </cell>
        </row>
        <row r="15">
          <cell r="D15" t="str">
            <v>VACANT</v>
          </cell>
        </row>
        <row r="22">
          <cell r="B22" t="str">
            <v>VESSEL 1</v>
          </cell>
          <cell r="D22" t="str">
            <v>COAL</v>
          </cell>
          <cell r="E22">
            <v>0.5</v>
          </cell>
          <cell r="G22">
            <v>0.5</v>
          </cell>
          <cell r="H22">
            <v>4.1666666666666664E-2</v>
          </cell>
          <cell r="I22" t="str">
            <v>STOP DISCHARGE</v>
          </cell>
          <cell r="K22" t="str">
            <v>SDLG</v>
          </cell>
        </row>
        <row r="23">
          <cell r="B23" t="str">
            <v>VESSEL 2</v>
          </cell>
          <cell r="D23" t="str">
            <v>COAL</v>
          </cell>
          <cell r="E23">
            <v>0.5</v>
          </cell>
          <cell r="G23">
            <v>0.5</v>
          </cell>
          <cell r="H23">
            <v>4.1666666666666664E-2</v>
          </cell>
          <cell r="I23" t="str">
            <v>STOP DISCHARGE</v>
          </cell>
          <cell r="K23" t="str">
            <v>SDLG</v>
          </cell>
        </row>
        <row r="24">
          <cell r="B24" t="str">
            <v>VESSEL 3</v>
          </cell>
          <cell r="D24" t="str">
            <v>COAL</v>
          </cell>
          <cell r="E24">
            <v>0.05</v>
          </cell>
          <cell r="G24">
            <v>0.95</v>
          </cell>
          <cell r="H24">
            <v>4.1666666666666664E-2</v>
          </cell>
          <cell r="I24" t="str">
            <v xml:space="preserve">STOP DISCHARGE </v>
          </cell>
          <cell r="K24" t="str">
            <v>SDLG</v>
          </cell>
        </row>
        <row r="27">
          <cell r="B27" t="str">
            <v>VESSEL 4</v>
          </cell>
          <cell r="D27" t="str">
            <v>COAL</v>
          </cell>
          <cell r="E27">
            <v>0.05</v>
          </cell>
          <cell r="G27">
            <v>0.95</v>
          </cell>
          <cell r="H27">
            <v>4.1666666666666664E-2</v>
          </cell>
          <cell r="K27" t="str">
            <v>SDLG</v>
          </cell>
        </row>
      </sheetData>
      <sheetData sheetId="3"/>
      <sheetData sheetId="4"/>
      <sheetData sheetId="5"/>
      <sheetData sheetId="6">
        <row r="1">
          <cell r="G1" t="str">
            <v>PORT OPERATION STATEMENT OF FACTS</v>
          </cell>
        </row>
        <row r="4">
          <cell r="C4" t="str">
            <v>Time</v>
          </cell>
          <cell r="D4" t="str">
            <v>BERTH 1</v>
          </cell>
          <cell r="F4" t="str">
            <v>Time</v>
          </cell>
          <cell r="G4" t="str">
            <v>BERTH 2</v>
          </cell>
          <cell r="I4" t="str">
            <v>Time</v>
          </cell>
          <cell r="J4" t="str">
            <v>BERTH 3</v>
          </cell>
          <cell r="L4" t="str">
            <v>Time</v>
          </cell>
          <cell r="M4" t="str">
            <v>BERTH 4</v>
          </cell>
          <cell r="O4" t="str">
            <v>Time</v>
          </cell>
          <cell r="P4" t="str">
            <v>BERTH 5</v>
          </cell>
          <cell r="R4" t="str">
            <v>Time</v>
          </cell>
          <cell r="S4" t="str">
            <v>BERTH 6</v>
          </cell>
          <cell r="U4" t="str">
            <v>Time</v>
          </cell>
          <cell r="V4" t="str">
            <v>BERTH 7</v>
          </cell>
          <cell r="X4" t="str">
            <v>Time</v>
          </cell>
          <cell r="Y4" t="str">
            <v>BERTH 8</v>
          </cell>
          <cell r="AA4" t="str">
            <v>Time</v>
          </cell>
          <cell r="AB4" t="str">
            <v>BERTH 9</v>
          </cell>
          <cell r="AD4" t="str">
            <v>Time</v>
          </cell>
          <cell r="AE4" t="str">
            <v>BERTH 10</v>
          </cell>
          <cell r="AG4" t="str">
            <v>Time</v>
          </cell>
          <cell r="AH4" t="str">
            <v>Jetty</v>
          </cell>
        </row>
        <row r="5">
          <cell r="D5" t="str">
            <v>SF ZENITH</v>
          </cell>
          <cell r="G5" t="str">
            <v>JOHANNAH 7</v>
          </cell>
          <cell r="J5" t="str">
            <v>VACANT</v>
          </cell>
          <cell r="M5" t="str">
            <v>VACANT</v>
          </cell>
          <cell r="P5" t="str">
            <v>VACANT</v>
          </cell>
          <cell r="S5" t="str">
            <v>VACANT</v>
          </cell>
          <cell r="V5" t="str">
            <v>VACANT</v>
          </cell>
          <cell r="Y5" t="str">
            <v>STAR ILIGAN</v>
          </cell>
          <cell r="AB5" t="str">
            <v>LADY OF REMEDY</v>
          </cell>
          <cell r="AE5" t="str">
            <v>VACANT</v>
          </cell>
          <cell r="AH5" t="str">
            <v>VACANT</v>
          </cell>
        </row>
        <row r="6">
          <cell r="C6">
            <v>0.79166666666666663</v>
          </cell>
          <cell r="D6" t="str">
            <v>KY TOOLBOX</v>
          </cell>
          <cell r="F6">
            <v>0.79166666666666663</v>
          </cell>
          <cell r="G6" t="str">
            <v>KY TOOLBOX</v>
          </cell>
          <cell r="J6" t="str">
            <v>vacant</v>
          </cell>
          <cell r="M6" t="str">
            <v>vacant</v>
          </cell>
          <cell r="P6" t="str">
            <v>vacant</v>
          </cell>
          <cell r="S6" t="str">
            <v>vacant</v>
          </cell>
          <cell r="V6" t="str">
            <v>vacant</v>
          </cell>
          <cell r="Y6" t="str">
            <v>NO BOOKING</v>
          </cell>
          <cell r="AA6">
            <v>0.79166666666666663</v>
          </cell>
          <cell r="AB6" t="str">
            <v>KY TOOLBOX</v>
          </cell>
          <cell r="AE6" t="str">
            <v>vacant</v>
          </cell>
          <cell r="AH6" t="str">
            <v>vacant</v>
          </cell>
        </row>
        <row r="7">
          <cell r="C7">
            <v>0.8125</v>
          </cell>
          <cell r="D7" t="str">
            <v>LOADING TONNERBAGS</v>
          </cell>
          <cell r="F7">
            <v>0.8125</v>
          </cell>
          <cell r="G7" t="str">
            <v>LOADING TONNERBAGS</v>
          </cell>
          <cell r="AA7">
            <v>0.84444444444444444</v>
          </cell>
          <cell r="AB7" t="str">
            <v>COMMENCE LOADING</v>
          </cell>
        </row>
        <row r="8">
          <cell r="C8">
            <v>0.8930555555555556</v>
          </cell>
          <cell r="D8" t="str">
            <v>LOADING TONNERBAGS</v>
          </cell>
          <cell r="F8">
            <v>0.85416666666666663</v>
          </cell>
          <cell r="G8" t="str">
            <v>LOADING TONNERBAGS</v>
          </cell>
          <cell r="AA8">
            <v>0.85763888888888884</v>
          </cell>
          <cell r="AB8" t="str">
            <v>CONTINUE LOADING</v>
          </cell>
        </row>
        <row r="9">
          <cell r="C9">
            <v>0.91111111111111109</v>
          </cell>
          <cell r="D9" t="str">
            <v>LOADING TONNERBAGS</v>
          </cell>
          <cell r="F9">
            <v>0.87847222222222221</v>
          </cell>
          <cell r="G9" t="str">
            <v>LOADING TONNERBAGS</v>
          </cell>
          <cell r="AA9">
            <v>0.875</v>
          </cell>
          <cell r="AB9" t="str">
            <v>CONTINUE LOADING</v>
          </cell>
        </row>
        <row r="10">
          <cell r="C10">
            <v>0.93402777777777779</v>
          </cell>
          <cell r="D10" t="str">
            <v>LOADING TONNERBAGS</v>
          </cell>
          <cell r="F10">
            <v>0.89722222222222225</v>
          </cell>
          <cell r="G10" t="str">
            <v>LOADING TONNERBAGS</v>
          </cell>
          <cell r="AA10">
            <v>0.8979166666666667</v>
          </cell>
          <cell r="AB10" t="str">
            <v>CONTINUE LOADING</v>
          </cell>
        </row>
        <row r="11">
          <cell r="C11">
            <v>0.9555555555555556</v>
          </cell>
          <cell r="D11" t="str">
            <v>LOADING TONNERBAGS</v>
          </cell>
          <cell r="F11">
            <v>0.95833333333333337</v>
          </cell>
          <cell r="G11" t="str">
            <v xml:space="preserve">TEMP STOP LOADING </v>
          </cell>
          <cell r="AA11">
            <v>0.91805555555555551</v>
          </cell>
          <cell r="AB11" t="str">
            <v>CONTINUE LOADING</v>
          </cell>
        </row>
        <row r="12">
          <cell r="C12">
            <v>0.97222222222222221</v>
          </cell>
          <cell r="D12" t="str">
            <v xml:space="preserve">TEMP STOP LOADING </v>
          </cell>
          <cell r="F12">
            <v>0.97916666666666663</v>
          </cell>
          <cell r="G12" t="str">
            <v xml:space="preserve">RESUME LOADING </v>
          </cell>
          <cell r="AA12">
            <v>0.94791666666666663</v>
          </cell>
          <cell r="AB12" t="str">
            <v>CONTINUE LOADING</v>
          </cell>
        </row>
        <row r="13">
          <cell r="C13">
            <v>0</v>
          </cell>
          <cell r="D13" t="str">
            <v>RESUME LOADING</v>
          </cell>
          <cell r="F13">
            <v>4.0972222222222222E-2</v>
          </cell>
          <cell r="G13" t="str">
            <v>CONTINUE LOADING</v>
          </cell>
          <cell r="AA13">
            <v>0.96250000000000002</v>
          </cell>
          <cell r="AB13" t="str">
            <v>TEMP STOP LOADING</v>
          </cell>
        </row>
        <row r="14">
          <cell r="C14">
            <v>4.6527777777777779E-2</v>
          </cell>
          <cell r="D14" t="str">
            <v>CONTINUE LOADING</v>
          </cell>
          <cell r="F14">
            <v>5.9027777777777776E-2</v>
          </cell>
          <cell r="G14" t="str">
            <v>CONTINUE LOADING</v>
          </cell>
          <cell r="AA14">
            <v>0</v>
          </cell>
          <cell r="AB14" t="str">
            <v xml:space="preserve">RESUME LOADING </v>
          </cell>
        </row>
        <row r="15">
          <cell r="C15">
            <v>7.1527777777777773E-2</v>
          </cell>
          <cell r="D15" t="str">
            <v>CONTINUE LOADING</v>
          </cell>
          <cell r="F15">
            <v>8.0555555555555561E-2</v>
          </cell>
          <cell r="G15" t="str">
            <v>CONTINUE LOADING</v>
          </cell>
          <cell r="I15" t="str">
            <v xml:space="preserve"> </v>
          </cell>
          <cell r="AA15">
            <v>5.9027777777777776E-2</v>
          </cell>
          <cell r="AB15" t="str">
            <v>CONTINUE LOADING</v>
          </cell>
        </row>
        <row r="16">
          <cell r="C16">
            <v>7.7777777777777779E-2</v>
          </cell>
          <cell r="D16" t="str">
            <v>CONTINUE LOADING</v>
          </cell>
          <cell r="F16">
            <v>0.10069444444444445</v>
          </cell>
          <cell r="G16" t="str">
            <v>CONTINUE LOADING</v>
          </cell>
          <cell r="AA16">
            <v>8.4722222222222227E-2</v>
          </cell>
          <cell r="AB16" t="str">
            <v>CONTINUE LOADING</v>
          </cell>
        </row>
        <row r="17">
          <cell r="C17">
            <v>9.7222222222222224E-2</v>
          </cell>
          <cell r="D17" t="str">
            <v>CONTINUE LOADING</v>
          </cell>
          <cell r="F17">
            <v>0.11874999999999999</v>
          </cell>
          <cell r="G17" t="str">
            <v>CONTINUE LOADING</v>
          </cell>
          <cell r="AA17">
            <v>0.11041666666666666</v>
          </cell>
          <cell r="AB17" t="str">
            <v>CONTINUE LOADING</v>
          </cell>
        </row>
        <row r="18">
          <cell r="C18">
            <v>0.1111111111111111</v>
          </cell>
          <cell r="D18" t="str">
            <v>LOADING COMPLETE</v>
          </cell>
          <cell r="F18">
            <v>0.15138888888888888</v>
          </cell>
          <cell r="G18" t="str">
            <v>CONTINUE LOADING</v>
          </cell>
          <cell r="AA18">
            <v>0.14930555555555555</v>
          </cell>
          <cell r="AB18" t="str">
            <v>CONTINUE LOADING</v>
          </cell>
        </row>
        <row r="19">
          <cell r="F19">
            <v>0.1701388888888889</v>
          </cell>
          <cell r="G19" t="str">
            <v>CONTINUE LOADING</v>
          </cell>
          <cell r="AA19">
            <v>0.17847222222222223</v>
          </cell>
          <cell r="AB19" t="str">
            <v>CONTINUE LOADING</v>
          </cell>
        </row>
        <row r="20">
          <cell r="F20">
            <v>0.1875</v>
          </cell>
          <cell r="G20" t="str">
            <v>CONTINUE LOADING</v>
          </cell>
          <cell r="AA20">
            <v>0.2</v>
          </cell>
          <cell r="AB20" t="str">
            <v>CONTINUE LOADING</v>
          </cell>
        </row>
        <row r="21">
          <cell r="F21">
            <v>0.19166666666666668</v>
          </cell>
          <cell r="G21" t="str">
            <v>LOADING COMPLETE</v>
          </cell>
          <cell r="AA21">
            <v>0.22222222222222221</v>
          </cell>
          <cell r="AB21" t="str">
            <v>STOP LOADING</v>
          </cell>
        </row>
        <row r="25">
          <cell r="C25" t="str">
            <v>Time</v>
          </cell>
          <cell r="D25" t="str">
            <v>BERTH 1</v>
          </cell>
          <cell r="F25" t="str">
            <v>Time</v>
          </cell>
          <cell r="G25" t="str">
            <v>BERTH 2</v>
          </cell>
          <cell r="I25" t="str">
            <v>Time</v>
          </cell>
          <cell r="J25" t="str">
            <v>BERTH 3</v>
          </cell>
          <cell r="L25" t="str">
            <v>Time</v>
          </cell>
          <cell r="M25" t="str">
            <v>BERTH 4</v>
          </cell>
          <cell r="O25" t="str">
            <v>Time</v>
          </cell>
          <cell r="P25" t="str">
            <v>BERTH 5</v>
          </cell>
          <cell r="R25" t="str">
            <v>Time</v>
          </cell>
          <cell r="S25" t="str">
            <v>BERTH 6</v>
          </cell>
          <cell r="U25" t="str">
            <v>Time</v>
          </cell>
          <cell r="V25" t="str">
            <v>BERTH 7</v>
          </cell>
          <cell r="X25" t="str">
            <v>Time</v>
          </cell>
          <cell r="Y25" t="str">
            <v>BERTH 8</v>
          </cell>
          <cell r="AA25" t="str">
            <v>Time</v>
          </cell>
          <cell r="AB25" t="str">
            <v>BERTH 9</v>
          </cell>
          <cell r="AD25" t="str">
            <v>Time</v>
          </cell>
          <cell r="AE25" t="str">
            <v>BERTH 10</v>
          </cell>
          <cell r="AG25" t="str">
            <v>Time</v>
          </cell>
          <cell r="AH25" t="str">
            <v>Jetty</v>
          </cell>
        </row>
        <row r="26">
          <cell r="D26" t="str">
            <v>VACANT</v>
          </cell>
          <cell r="G26" t="str">
            <v>HAN HORIZON</v>
          </cell>
          <cell r="J26" t="str">
            <v>VACANT</v>
          </cell>
          <cell r="M26" t="str">
            <v>VACANT</v>
          </cell>
          <cell r="P26" t="str">
            <v>LADY OF COURAGE</v>
          </cell>
          <cell r="S26" t="str">
            <v>VACANT</v>
          </cell>
          <cell r="V26" t="str">
            <v>LADY OF PEACE</v>
          </cell>
          <cell r="Y26" t="str">
            <v>STAR ILIGAN</v>
          </cell>
          <cell r="AB26" t="str">
            <v>VACANT</v>
          </cell>
          <cell r="AE26" t="str">
            <v>EFG 5</v>
          </cell>
          <cell r="AH26" t="str">
            <v>VACANT</v>
          </cell>
        </row>
        <row r="27">
          <cell r="F27">
            <v>0.30555555555555558</v>
          </cell>
          <cell r="G27" t="str">
            <v>NEWLY DOCK</v>
          </cell>
          <cell r="P27" t="str">
            <v>NEW SECURED VESSEL</v>
          </cell>
          <cell r="V27" t="str">
            <v>NEW SECURED VESSEL</v>
          </cell>
          <cell r="X27">
            <v>0.79166666666666663</v>
          </cell>
          <cell r="Y27" t="str">
            <v>WAITING DELIVERY MATERIALS</v>
          </cell>
          <cell r="AD27">
            <v>0.6875</v>
          </cell>
          <cell r="AE27" t="str">
            <v>COMMENCE LOADING OPERATIONS</v>
          </cell>
        </row>
        <row r="28">
          <cell r="F28">
            <v>0.30555555555555558</v>
          </cell>
          <cell r="G28" t="str">
            <v>WAITING MATERIAL</v>
          </cell>
          <cell r="O28">
            <v>0.79166666666666663</v>
          </cell>
          <cell r="P28" t="str">
            <v>WAITING  DELIVERY MATERIALS</v>
          </cell>
          <cell r="U28">
            <v>0.79166666666666663</v>
          </cell>
          <cell r="V28" t="str">
            <v>WAITING DELIVERY MATERIALS</v>
          </cell>
          <cell r="X28">
            <v>0.83680555555555558</v>
          </cell>
          <cell r="Y28" t="str">
            <v>WAITING DELIVERY MATERIALS</v>
          </cell>
          <cell r="AD28">
            <v>0.70138888888888884</v>
          </cell>
          <cell r="AE28" t="str">
            <v>WAITING GEO TRUCKING</v>
          </cell>
        </row>
        <row r="29">
          <cell r="F29">
            <v>0.40277777777777779</v>
          </cell>
          <cell r="G29" t="str">
            <v>COMMENCE LOADING OPERATIONS</v>
          </cell>
          <cell r="O29">
            <v>0.84305555555555556</v>
          </cell>
          <cell r="P29" t="str">
            <v>WAITING  DELIVERY MATERIALS</v>
          </cell>
          <cell r="U29">
            <v>0.84097222222222223</v>
          </cell>
          <cell r="V29" t="str">
            <v>WAITING DELIVERY MATERIALS</v>
          </cell>
          <cell r="X29">
            <v>0.87847222222222221</v>
          </cell>
          <cell r="Y29" t="str">
            <v>WAITING FORKLIFT ONBOARD</v>
          </cell>
          <cell r="AD29">
            <v>0.79166666666666663</v>
          </cell>
          <cell r="AE29" t="str">
            <v>KY TOOLBOX</v>
          </cell>
        </row>
        <row r="30">
          <cell r="F30">
            <v>0.42430555555555555</v>
          </cell>
          <cell r="G30" t="str">
            <v xml:space="preserve">CONTINUE LOADING </v>
          </cell>
          <cell r="O30">
            <v>0.88888888888888884</v>
          </cell>
          <cell r="P30" t="str">
            <v>COMMENCE CEMENT LOADING</v>
          </cell>
          <cell r="U30">
            <v>0.89027777777777772</v>
          </cell>
          <cell r="V30" t="str">
            <v>WAITING DELIVERY MATERIALS</v>
          </cell>
          <cell r="X30">
            <v>0.9243055555555556</v>
          </cell>
          <cell r="Y30" t="str">
            <v>WAITING FORKLIFT ONBOARD</v>
          </cell>
          <cell r="AD30">
            <v>0.81597222222222221</v>
          </cell>
          <cell r="AE30" t="str">
            <v xml:space="preserve">RESUME LOADING </v>
          </cell>
        </row>
        <row r="31">
          <cell r="F31">
            <v>0.46180555555555558</v>
          </cell>
          <cell r="G31" t="str">
            <v xml:space="preserve">CONTINUE LOADING </v>
          </cell>
          <cell r="O31">
            <v>0.93402777777777779</v>
          </cell>
          <cell r="P31" t="str">
            <v>CONTINUE LOADING</v>
          </cell>
          <cell r="U31">
            <v>0.91736111111111107</v>
          </cell>
          <cell r="V31" t="str">
            <v>WAITING DELIVERY MATERIALS</v>
          </cell>
          <cell r="X31">
            <v>0.97777777777777775</v>
          </cell>
          <cell r="Y31" t="str">
            <v>WAITING FORKLIFT ONBOARD</v>
          </cell>
          <cell r="AD31">
            <v>0.8569444444444444</v>
          </cell>
          <cell r="AE31" t="str">
            <v>CONTINUE LOADING</v>
          </cell>
        </row>
        <row r="32">
          <cell r="AD32">
            <v>0.90347222222222223</v>
          </cell>
          <cell r="AE32" t="str">
            <v>ONGOINNG LOADING</v>
          </cell>
        </row>
        <row r="33">
          <cell r="AD33">
            <v>0.9243055555555556</v>
          </cell>
          <cell r="AE33" t="str">
            <v>CONTINUE LOADING</v>
          </cell>
        </row>
        <row r="34">
          <cell r="F34">
            <v>0.5</v>
          </cell>
          <cell r="G34" t="str">
            <v>LUNCHBREAK</v>
          </cell>
          <cell r="O34">
            <v>0.95902777777777781</v>
          </cell>
          <cell r="P34" t="str">
            <v>CONTINUE LOADING</v>
          </cell>
          <cell r="U34">
            <v>0.97777777777777775</v>
          </cell>
          <cell r="V34" t="str">
            <v>WAITING DELIVERY MATERIALS</v>
          </cell>
          <cell r="X34">
            <v>6.9444444444444447E-4</v>
          </cell>
          <cell r="Y34" t="str">
            <v>WAITING FORKLIFT ONBOARD</v>
          </cell>
          <cell r="AD34">
            <v>0.95486111111111116</v>
          </cell>
          <cell r="AE34" t="str">
            <v>CONTINUE LOADING</v>
          </cell>
        </row>
        <row r="35">
          <cell r="F35">
            <v>0.54166666666666663</v>
          </cell>
          <cell r="G35" t="str">
            <v>RESUME LOADING</v>
          </cell>
          <cell r="O35">
            <v>1.5277777777777777E-2</v>
          </cell>
          <cell r="P35" t="str">
            <v>CONTINUE LOADING</v>
          </cell>
          <cell r="U35">
            <v>3.472222222222222E-3</v>
          </cell>
          <cell r="V35" t="str">
            <v>WAITING DELIVERY MATERIALS</v>
          </cell>
          <cell r="X35">
            <v>4.1666666666666664E-2</v>
          </cell>
          <cell r="Y35" t="str">
            <v>WAITING FORKLIFT ONBOARD</v>
          </cell>
          <cell r="AD35">
            <v>0.97638888888888886</v>
          </cell>
          <cell r="AE35" t="str">
            <v>CONTINUE LOADING</v>
          </cell>
        </row>
        <row r="36">
          <cell r="F36">
            <v>0.58333333333333337</v>
          </cell>
          <cell r="G36" t="str">
            <v xml:space="preserve">CONTINUE LOADING </v>
          </cell>
          <cell r="O36">
            <v>5.2777777777777778E-2</v>
          </cell>
          <cell r="P36" t="str">
            <v>CONTINUE LOADING</v>
          </cell>
          <cell r="U36">
            <v>4.3055555555555555E-2</v>
          </cell>
          <cell r="V36" t="str">
            <v>WAITING DELIVERY MATERIALS</v>
          </cell>
          <cell r="X36">
            <v>8.3333333333333329E-2</v>
          </cell>
          <cell r="Y36" t="str">
            <v>WAITING FORKLIFT ONBOARD</v>
          </cell>
          <cell r="AD36">
            <v>0.99583333333333335</v>
          </cell>
          <cell r="AE36" t="str">
            <v>CONTINUE LOADING</v>
          </cell>
        </row>
        <row r="37">
          <cell r="F37">
            <v>0.59375</v>
          </cell>
          <cell r="G37" t="str">
            <v xml:space="preserve">CONTINUE LOADING </v>
          </cell>
          <cell r="O37">
            <v>0.10277777777777777</v>
          </cell>
          <cell r="P37" t="str">
            <v>CONTINUE LOADING</v>
          </cell>
          <cell r="U37">
            <v>9.0277777777777776E-2</v>
          </cell>
          <cell r="V37" t="str">
            <v>WAITING DELIVERY MATERIALS</v>
          </cell>
          <cell r="X37">
            <v>0.125</v>
          </cell>
          <cell r="Y37" t="str">
            <v>WAITINGFORKLIFT  ONBOARD</v>
          </cell>
          <cell r="AD37">
            <v>2.2916666666666665E-2</v>
          </cell>
          <cell r="AE37" t="str">
            <v>CONTINUE LOADING</v>
          </cell>
        </row>
        <row r="38">
          <cell r="F38">
            <v>0.60416666666666663</v>
          </cell>
          <cell r="G38" t="str">
            <v xml:space="preserve">CONTINUE LOADING </v>
          </cell>
          <cell r="O38">
            <v>0.14583333333333334</v>
          </cell>
          <cell r="P38" t="str">
            <v>WAITING FORKLIFT LOADING BAY</v>
          </cell>
          <cell r="U38">
            <v>0.125</v>
          </cell>
          <cell r="V38" t="str">
            <v>WAITING DELIVERY MATERIALS</v>
          </cell>
          <cell r="X38">
            <v>0.16666666666666666</v>
          </cell>
          <cell r="Y38" t="str">
            <v>WAITING FORKLIFT ONBOARD</v>
          </cell>
          <cell r="AD38">
            <v>5.1388888888888887E-2</v>
          </cell>
          <cell r="AE38" t="str">
            <v>CONTINUE LOADING</v>
          </cell>
        </row>
        <row r="39">
          <cell r="F39">
            <v>0.63194444444444442</v>
          </cell>
          <cell r="G39" t="str">
            <v xml:space="preserve">CONTINUE LOADING </v>
          </cell>
          <cell r="O39">
            <v>0.17986111111111111</v>
          </cell>
          <cell r="P39" t="str">
            <v>WAITING FORKLIFT LOADING BAY</v>
          </cell>
          <cell r="U39">
            <v>0.1673611111111111</v>
          </cell>
          <cell r="V39" t="str">
            <v>WAITING DELIVERY MATERIALS</v>
          </cell>
          <cell r="X39">
            <v>0.20833333333333334</v>
          </cell>
          <cell r="Y39" t="str">
            <v>WAITING FORKLIFT ONBOARD</v>
          </cell>
          <cell r="AD39">
            <v>0.10277777777777777</v>
          </cell>
          <cell r="AE39" t="str">
            <v>CONTINUE LOADING</v>
          </cell>
        </row>
        <row r="40">
          <cell r="F40">
            <v>0.66666666666666663</v>
          </cell>
          <cell r="G40" t="str">
            <v xml:space="preserve">CONTINUE LOADING </v>
          </cell>
          <cell r="O40">
            <v>0.21180555555555555</v>
          </cell>
          <cell r="P40" t="str">
            <v>WAITING FORKLIFT LOADING BAY</v>
          </cell>
          <cell r="U40">
            <v>0.20833333333333334</v>
          </cell>
          <cell r="V40" t="str">
            <v>WAITING DELIVERY MATERIALS</v>
          </cell>
          <cell r="X40">
            <v>0.22916666666666666</v>
          </cell>
          <cell r="Y40" t="str">
            <v>WAITING FORKLIFT ONBOARD</v>
          </cell>
          <cell r="AD40">
            <v>0.14583333333333334</v>
          </cell>
          <cell r="AE40" t="str">
            <v>CONTINUE LOADING</v>
          </cell>
        </row>
        <row r="41">
          <cell r="F41">
            <v>0.67361111111111116</v>
          </cell>
          <cell r="G41" t="str">
            <v xml:space="preserve">CONTINUE LOADING </v>
          </cell>
          <cell r="O41">
            <v>0.2326388888888889</v>
          </cell>
          <cell r="P41" t="str">
            <v>WAITING FORKLIFT LOADING BAY</v>
          </cell>
          <cell r="U41">
            <v>0.22916666666666666</v>
          </cell>
          <cell r="V41" t="str">
            <v>WAITING DELIVERY MATERIALS</v>
          </cell>
          <cell r="X41">
            <v>0.25</v>
          </cell>
          <cell r="Y41" t="str">
            <v>VESSEL BREAK</v>
          </cell>
          <cell r="AD41">
            <v>0.18194444444444444</v>
          </cell>
          <cell r="AE41" t="str">
            <v>CONTINUE LOADING</v>
          </cell>
        </row>
        <row r="42">
          <cell r="F42">
            <v>0.69444444444444442</v>
          </cell>
          <cell r="G42" t="str">
            <v xml:space="preserve">CONTINUE LOADING </v>
          </cell>
          <cell r="O42">
            <v>0.25</v>
          </cell>
          <cell r="P42" t="str">
            <v>VESSEL BREAK</v>
          </cell>
          <cell r="U42">
            <v>0.25</v>
          </cell>
          <cell r="V42" t="str">
            <v>VESSEL BREAK</v>
          </cell>
          <cell r="AD42">
            <v>0.20972222222222223</v>
          </cell>
          <cell r="AE42" t="str">
            <v>CONTINUE LOADING</v>
          </cell>
        </row>
        <row r="43">
          <cell r="F43">
            <v>0.68402777777777779</v>
          </cell>
          <cell r="G43" t="str">
            <v xml:space="preserve">CONTINUE LOADING </v>
          </cell>
          <cell r="AD43">
            <v>0.22916666666666666</v>
          </cell>
          <cell r="AE43" t="str">
            <v>CONTINUE LOADING</v>
          </cell>
        </row>
        <row r="44">
          <cell r="F44">
            <v>0.71527777777777779</v>
          </cell>
          <cell r="G44" t="str">
            <v xml:space="preserve">CONTINUE LOADING </v>
          </cell>
          <cell r="AD44">
            <v>0.25</v>
          </cell>
          <cell r="AE44" t="str">
            <v>VESSEL BREAK</v>
          </cell>
        </row>
        <row r="45">
          <cell r="F45">
            <v>0.72222222222222221</v>
          </cell>
          <cell r="G45" t="str">
            <v xml:space="preserve">CONTINUE LOADING </v>
          </cell>
        </row>
        <row r="46">
          <cell r="F46">
            <v>0.6875</v>
          </cell>
          <cell r="G46" t="str">
            <v>STOP LOADING</v>
          </cell>
        </row>
        <row r="47">
          <cell r="F47">
            <v>0.79166666666666663</v>
          </cell>
          <cell r="G47" t="str">
            <v>KY TOOLBOX</v>
          </cell>
        </row>
        <row r="48">
          <cell r="F48">
            <v>0.81597222222222221</v>
          </cell>
          <cell r="G48" t="str">
            <v>RESUME LOADING</v>
          </cell>
        </row>
        <row r="49">
          <cell r="F49">
            <v>0.83194444444444449</v>
          </cell>
          <cell r="G49" t="str">
            <v xml:space="preserve">CONTINUE LOADING </v>
          </cell>
        </row>
        <row r="50">
          <cell r="F50">
            <v>0.8569444444444444</v>
          </cell>
          <cell r="G50" t="str">
            <v xml:space="preserve">CONTINUE LOADING </v>
          </cell>
        </row>
        <row r="51">
          <cell r="F51">
            <v>0.90694444444444444</v>
          </cell>
          <cell r="G51" t="str">
            <v xml:space="preserve">CONTINUE LOADING </v>
          </cell>
        </row>
        <row r="52">
          <cell r="F52">
            <v>0.95486111111111116</v>
          </cell>
          <cell r="G52" t="str">
            <v xml:space="preserve">CONTINUE LOADING </v>
          </cell>
        </row>
        <row r="53">
          <cell r="F53">
            <v>0.97499999999999998</v>
          </cell>
          <cell r="G53" t="str">
            <v xml:space="preserve">CONTINUE LOADING </v>
          </cell>
        </row>
        <row r="54">
          <cell r="F54">
            <v>1.5277777777777777E-2</v>
          </cell>
          <cell r="G54" t="str">
            <v xml:space="preserve">CONTINUE LOADING </v>
          </cell>
        </row>
        <row r="55">
          <cell r="F55">
            <v>5.2083333333333336E-2</v>
          </cell>
          <cell r="G55" t="str">
            <v xml:space="preserve">CONTINUE LOADING </v>
          </cell>
        </row>
        <row r="56">
          <cell r="F56">
            <v>0.10208333333333333</v>
          </cell>
          <cell r="G56" t="str">
            <v xml:space="preserve">CONTINUE LOADING </v>
          </cell>
        </row>
        <row r="57">
          <cell r="F57">
            <v>0.15138888888888888</v>
          </cell>
          <cell r="G57" t="str">
            <v xml:space="preserve">CONTINUE LOADING </v>
          </cell>
        </row>
        <row r="58">
          <cell r="F58">
            <v>0.18194444444444444</v>
          </cell>
          <cell r="G58" t="str">
            <v xml:space="preserve">CONTINUE LOADING </v>
          </cell>
        </row>
        <row r="59">
          <cell r="F59">
            <v>0.20902777777777778</v>
          </cell>
          <cell r="G59" t="str">
            <v xml:space="preserve">CONTINUE LOADING </v>
          </cell>
        </row>
        <row r="60">
          <cell r="F60">
            <v>0.22916666666666666</v>
          </cell>
          <cell r="G60" t="str">
            <v xml:space="preserve">CONTINUE LOADING </v>
          </cell>
        </row>
        <row r="61">
          <cell r="F61">
            <v>0.25</v>
          </cell>
          <cell r="G61" t="str">
            <v>VESSEL BREAK</v>
          </cell>
        </row>
        <row r="62">
          <cell r="C62" t="str">
            <v>Time</v>
          </cell>
          <cell r="D62" t="str">
            <v>BERTH 1</v>
          </cell>
          <cell r="F62" t="str">
            <v>Time</v>
          </cell>
          <cell r="G62" t="str">
            <v>BERTH 2</v>
          </cell>
          <cell r="I62" t="str">
            <v>Time</v>
          </cell>
          <cell r="J62" t="str">
            <v>BERTH 3</v>
          </cell>
          <cell r="L62" t="str">
            <v>Time</v>
          </cell>
          <cell r="M62" t="str">
            <v>BERTH 4</v>
          </cell>
          <cell r="O62" t="str">
            <v>Time</v>
          </cell>
          <cell r="P62" t="str">
            <v>BERTH 5</v>
          </cell>
          <cell r="R62" t="str">
            <v>Time</v>
          </cell>
          <cell r="S62" t="str">
            <v>BERTH 6</v>
          </cell>
          <cell r="U62" t="str">
            <v>Time</v>
          </cell>
          <cell r="V62" t="str">
            <v>BERTH 7</v>
          </cell>
          <cell r="X62" t="str">
            <v>Time</v>
          </cell>
          <cell r="Y62" t="str">
            <v>BERTH 8</v>
          </cell>
          <cell r="AA62" t="str">
            <v>Time</v>
          </cell>
          <cell r="AB62" t="str">
            <v>BERTH 9</v>
          </cell>
          <cell r="AD62" t="str">
            <v>Time</v>
          </cell>
          <cell r="AE62" t="str">
            <v>BERTH 10</v>
          </cell>
          <cell r="AG62" t="str">
            <v>Time</v>
          </cell>
          <cell r="AH62" t="str">
            <v>Jetty</v>
          </cell>
        </row>
        <row r="63">
          <cell r="D63" t="str">
            <v>VACANT</v>
          </cell>
          <cell r="G63" t="str">
            <v>HAN HORIZON</v>
          </cell>
          <cell r="J63" t="str">
            <v>VACANT</v>
          </cell>
          <cell r="M63" t="str">
            <v>EASTERN CEBU</v>
          </cell>
          <cell r="P63" t="str">
            <v>LADY OF COURAGE</v>
          </cell>
          <cell r="S63" t="str">
            <v>VACANT</v>
          </cell>
          <cell r="V63" t="str">
            <v>LADY OF PEACE</v>
          </cell>
          <cell r="Y63" t="str">
            <v>STAR ILIGAN</v>
          </cell>
          <cell r="AB63" t="str">
            <v>SALVACION VI</v>
          </cell>
          <cell r="AE63" t="str">
            <v>EFG 5</v>
          </cell>
          <cell r="AH63" t="str">
            <v>VACANT</v>
          </cell>
        </row>
        <row r="64">
          <cell r="F64">
            <v>0.29166666666666669</v>
          </cell>
          <cell r="G64" t="str">
            <v>KY TOOLBOX</v>
          </cell>
          <cell r="M64" t="str">
            <v>NO BOOKING</v>
          </cell>
          <cell r="O64">
            <v>0.29166666666666669</v>
          </cell>
          <cell r="P64" t="str">
            <v>KY TOOLBOX</v>
          </cell>
          <cell r="U64">
            <v>0.54166666666666663</v>
          </cell>
          <cell r="V64" t="str">
            <v xml:space="preserve">WAITING FL ONBOARD </v>
          </cell>
          <cell r="X64">
            <v>0.29166666666666669</v>
          </cell>
          <cell r="Y64" t="str">
            <v>KY TOOLBOX</v>
          </cell>
          <cell r="AA64">
            <v>0.63194444444444442</v>
          </cell>
          <cell r="AB64" t="str">
            <v>COMMENCE LOADING OPERATIONS</v>
          </cell>
          <cell r="AD64">
            <v>0.29166666666666669</v>
          </cell>
          <cell r="AE64" t="str">
            <v>KY TOOLBOX</v>
          </cell>
        </row>
        <row r="65">
          <cell r="F65">
            <v>0.3125</v>
          </cell>
          <cell r="G65" t="str">
            <v>RESUME LOADING</v>
          </cell>
          <cell r="O65">
            <v>0.3125</v>
          </cell>
          <cell r="P65" t="str">
            <v>RESUME LOADING</v>
          </cell>
          <cell r="U65">
            <v>0.6333333333333333</v>
          </cell>
          <cell r="V65" t="str">
            <v>COMMENCE LOADING</v>
          </cell>
          <cell r="X65">
            <v>0.3125</v>
          </cell>
          <cell r="Y65" t="str">
            <v>RESUME LOADING</v>
          </cell>
          <cell r="AA65">
            <v>0.66666666666666663</v>
          </cell>
          <cell r="AB65" t="str">
            <v>CONTINUE LOADING</v>
          </cell>
          <cell r="AD65">
            <v>0.3125</v>
          </cell>
          <cell r="AE65" t="str">
            <v xml:space="preserve">RESUME LOADING </v>
          </cell>
        </row>
        <row r="66">
          <cell r="F66">
            <v>0.36805555555555558</v>
          </cell>
          <cell r="G66" t="str">
            <v xml:space="preserve">CONTINUE LOADING </v>
          </cell>
          <cell r="O66">
            <v>0.35555555555555557</v>
          </cell>
          <cell r="P66" t="str">
            <v>CONTINUE LOADING</v>
          </cell>
          <cell r="U66">
            <v>0.65138888888888891</v>
          </cell>
          <cell r="V66" t="str">
            <v xml:space="preserve">ONGOING LOADING </v>
          </cell>
          <cell r="X66">
            <v>0.39374999999999999</v>
          </cell>
          <cell r="Y66" t="str">
            <v>CONTINUE LOADING</v>
          </cell>
          <cell r="AA66">
            <v>0.67361111111111116</v>
          </cell>
          <cell r="AB66" t="str">
            <v>ONGOING LOADING</v>
          </cell>
          <cell r="AD66">
            <v>0.36180555555555555</v>
          </cell>
          <cell r="AE66" t="str">
            <v>CONTINUE LOADING</v>
          </cell>
          <cell r="AG66" t="str">
            <v xml:space="preserve"> </v>
          </cell>
        </row>
        <row r="67">
          <cell r="F67">
            <v>0.40625</v>
          </cell>
          <cell r="G67" t="str">
            <v xml:space="preserve">CONTINUE LOADING </v>
          </cell>
          <cell r="O67">
            <v>0.37916666666666665</v>
          </cell>
          <cell r="P67" t="str">
            <v>CONTINUE LOADING</v>
          </cell>
          <cell r="U67">
            <v>0.68055555555555558</v>
          </cell>
          <cell r="V67" t="str">
            <v xml:space="preserve">CONTINUE LOADING </v>
          </cell>
          <cell r="X67">
            <v>0.4201388888888889</v>
          </cell>
          <cell r="Y67" t="str">
            <v>CONTINUE LOADING</v>
          </cell>
          <cell r="AA67">
            <v>0.79166666666666663</v>
          </cell>
          <cell r="AB67" t="str">
            <v>KY TOOLBOX</v>
          </cell>
          <cell r="AD67">
            <v>0.37777777777777777</v>
          </cell>
          <cell r="AE67" t="str">
            <v>CONTINUE LOADING</v>
          </cell>
          <cell r="AG67" t="str">
            <v xml:space="preserve"> </v>
          </cell>
        </row>
        <row r="68">
          <cell r="F68">
            <v>0.54166666666666663</v>
          </cell>
          <cell r="G68" t="str">
            <v>RESUME LOADING</v>
          </cell>
          <cell r="O68">
            <v>0.43611111111111112</v>
          </cell>
          <cell r="P68" t="str">
            <v>CONTINUE LOADING</v>
          </cell>
          <cell r="U68">
            <v>0.72013888888888888</v>
          </cell>
          <cell r="V68" t="str">
            <v xml:space="preserve">ONGOING LOADING </v>
          </cell>
          <cell r="X68">
            <v>0.45555555555555555</v>
          </cell>
          <cell r="Y68" t="str">
            <v>CONTINUE LOADING</v>
          </cell>
          <cell r="AA68">
            <v>0.8125</v>
          </cell>
          <cell r="AB68" t="str">
            <v>CONTINUE LOADING</v>
          </cell>
          <cell r="AD68">
            <v>0.39374999999999999</v>
          </cell>
          <cell r="AE68" t="str">
            <v>CONTINUE LOADING</v>
          </cell>
          <cell r="AG68" t="str">
            <v xml:space="preserve"> </v>
          </cell>
        </row>
        <row r="69">
          <cell r="F69">
            <v>0.57638888888888884</v>
          </cell>
          <cell r="G69" t="str">
            <v xml:space="preserve">CONTINUE LOADING </v>
          </cell>
          <cell r="O69">
            <v>0.54166666666666663</v>
          </cell>
          <cell r="P69" t="str">
            <v>RESUME LOADING</v>
          </cell>
          <cell r="U69">
            <v>0.79166666666666663</v>
          </cell>
          <cell r="V69" t="str">
            <v>KY TOOLBOX</v>
          </cell>
          <cell r="X69">
            <v>0.54166666666666663</v>
          </cell>
          <cell r="Y69" t="str">
            <v>RESUME LOADING</v>
          </cell>
          <cell r="AA69">
            <v>0.84861111111111109</v>
          </cell>
          <cell r="AB69" t="str">
            <v>CONTINUE LOADING</v>
          </cell>
          <cell r="AD69">
            <v>0.4201388888888889</v>
          </cell>
          <cell r="AE69" t="str">
            <v>CONTINUE LOADING</v>
          </cell>
          <cell r="AG69" t="str">
            <v xml:space="preserve"> </v>
          </cell>
        </row>
        <row r="70">
          <cell r="F70">
            <v>0.60069444444444442</v>
          </cell>
          <cell r="G70" t="str">
            <v xml:space="preserve">CONTINUE LOADING </v>
          </cell>
          <cell r="O70">
            <v>0.55902777777777779</v>
          </cell>
          <cell r="P70" t="str">
            <v>CONTINUE LOADING</v>
          </cell>
          <cell r="U70">
            <v>0.8125</v>
          </cell>
          <cell r="V70" t="str">
            <v xml:space="preserve">CONTINUE LOADING </v>
          </cell>
          <cell r="X70">
            <v>0.57152777777777775</v>
          </cell>
          <cell r="Y70" t="str">
            <v>CONTINUE LOADING</v>
          </cell>
          <cell r="AA70">
            <v>0.91805555555555551</v>
          </cell>
          <cell r="AB70" t="str">
            <v>CONTINUE LOADING</v>
          </cell>
          <cell r="AD70">
            <v>0.45833333333333331</v>
          </cell>
          <cell r="AE70" t="str">
            <v>CONTINUE LOADING</v>
          </cell>
          <cell r="AG70" t="str">
            <v xml:space="preserve"> </v>
          </cell>
        </row>
        <row r="71">
          <cell r="F71">
            <v>0.61458333333333337</v>
          </cell>
          <cell r="G71" t="str">
            <v xml:space="preserve">CONTINUE LOADING </v>
          </cell>
          <cell r="O71">
            <v>0.58680555555555558</v>
          </cell>
          <cell r="P71" t="str">
            <v xml:space="preserve">STOP LOADING </v>
          </cell>
          <cell r="U71">
            <v>0.9194444444444444</v>
          </cell>
          <cell r="V71" t="str">
            <v xml:space="preserve">CONTINUE LOADING </v>
          </cell>
          <cell r="X71">
            <v>0.61527777777777781</v>
          </cell>
          <cell r="Y71" t="str">
            <v>ONGOING LOADING</v>
          </cell>
          <cell r="AA71">
            <v>0.9604166666666667</v>
          </cell>
          <cell r="AB71" t="str">
            <v>CONTINUE LOADING</v>
          </cell>
          <cell r="AD71">
            <v>0.5</v>
          </cell>
          <cell r="AE71" t="str">
            <v xml:space="preserve">STOP LOADING </v>
          </cell>
          <cell r="AG71" t="str">
            <v xml:space="preserve"> </v>
          </cell>
        </row>
        <row r="72">
          <cell r="F72">
            <v>0.64583333333333337</v>
          </cell>
          <cell r="G72" t="str">
            <v>ONGOING LOADING</v>
          </cell>
          <cell r="O72">
            <v>0.79166666666666663</v>
          </cell>
          <cell r="P72" t="str">
            <v>KY TOOLBOX</v>
          </cell>
          <cell r="U72">
            <v>0.96111111111111114</v>
          </cell>
          <cell r="V72" t="str">
            <v xml:space="preserve">CONTINUE LOADING </v>
          </cell>
          <cell r="X72">
            <v>0.66388888888888886</v>
          </cell>
          <cell r="Y72" t="str">
            <v>CONTINUE LOADING</v>
          </cell>
          <cell r="AA72">
            <v>5.9027777777777776E-2</v>
          </cell>
          <cell r="AB72" t="str">
            <v>CONTINUE LOADING</v>
          </cell>
          <cell r="AD72">
            <v>0.55902777777777779</v>
          </cell>
          <cell r="AE72" t="str">
            <v xml:space="preserve">RESUME LOADING </v>
          </cell>
          <cell r="AG72" t="str">
            <v xml:space="preserve"> </v>
          </cell>
        </row>
        <row r="73">
          <cell r="F73">
            <v>0.71527777777777779</v>
          </cell>
          <cell r="G73" t="str">
            <v xml:space="preserve">CONTINUE LOADING </v>
          </cell>
          <cell r="O73">
            <v>0.8125</v>
          </cell>
          <cell r="P73" t="str">
            <v>STOP LOADING</v>
          </cell>
          <cell r="U73">
            <v>5.9027777777777776E-2</v>
          </cell>
          <cell r="V73" t="str">
            <v xml:space="preserve">CONTINUE LOADING </v>
          </cell>
          <cell r="X73">
            <v>0.68611111111111112</v>
          </cell>
          <cell r="Y73" t="str">
            <v>ONGOING LOADING</v>
          </cell>
          <cell r="AA73">
            <v>0.10416666666666667</v>
          </cell>
          <cell r="AB73" t="str">
            <v>VESSEL CRANE OPERATOR TAKE REST</v>
          </cell>
          <cell r="AD73">
            <v>0.58333333333333337</v>
          </cell>
          <cell r="AE73" t="str">
            <v>CONTINUE LOADING</v>
          </cell>
          <cell r="AG73" t="str">
            <v xml:space="preserve"> </v>
          </cell>
          <cell r="AH73" t="str">
            <v>VACANT</v>
          </cell>
        </row>
        <row r="74">
          <cell r="F74">
            <v>0.71875</v>
          </cell>
          <cell r="G74" t="str">
            <v>ONGOING LOADING</v>
          </cell>
          <cell r="O74">
            <v>0.92083333333333328</v>
          </cell>
          <cell r="P74" t="str">
            <v>STOP LOADING</v>
          </cell>
          <cell r="U74">
            <v>0.11041666666666666</v>
          </cell>
          <cell r="V74" t="str">
            <v xml:space="preserve">CONTINUE LOADING </v>
          </cell>
          <cell r="X74">
            <v>0.71875</v>
          </cell>
          <cell r="Y74" t="str">
            <v>CONTINUE LOADING</v>
          </cell>
          <cell r="AA74">
            <v>0.14583333333333334</v>
          </cell>
          <cell r="AB74" t="str">
            <v>VESSEL CRANE OPERATOR TAKE REST</v>
          </cell>
          <cell r="AD74">
            <v>0.67222222222222228</v>
          </cell>
          <cell r="AE74" t="str">
            <v>ONGOINNG LOADING</v>
          </cell>
        </row>
        <row r="75">
          <cell r="F75">
            <v>0.79166666666666663</v>
          </cell>
          <cell r="G75" t="str">
            <v>KY TOOLBOX</v>
          </cell>
          <cell r="O75">
            <v>0.95972222222222225</v>
          </cell>
          <cell r="P75" t="str">
            <v>STOP LOADING</v>
          </cell>
          <cell r="U75">
            <v>0.12569444444444444</v>
          </cell>
          <cell r="V75" t="str">
            <v xml:space="preserve">CONTINUE LOADING </v>
          </cell>
          <cell r="X75">
            <v>0.79166666666666663</v>
          </cell>
          <cell r="Y75" t="str">
            <v>KY TOOLBOX</v>
          </cell>
          <cell r="AA75">
            <v>0.18194444444444444</v>
          </cell>
          <cell r="AB75" t="str">
            <v>VESSEL CRANE OPERATOR TAKE REST</v>
          </cell>
          <cell r="AD75">
            <v>0.68541666666666667</v>
          </cell>
          <cell r="AE75" t="str">
            <v>CONTINUE LOADING</v>
          </cell>
        </row>
        <row r="76">
          <cell r="F76">
            <v>0.8125</v>
          </cell>
          <cell r="G76" t="str">
            <v xml:space="preserve">CONTINUE LOADING </v>
          </cell>
          <cell r="O76">
            <v>1.5972222222222221E-2</v>
          </cell>
          <cell r="P76" t="str">
            <v>CONTINUE LOADING</v>
          </cell>
          <cell r="U76">
            <v>0.2</v>
          </cell>
          <cell r="V76" t="str">
            <v xml:space="preserve">CONTINUE LOADING </v>
          </cell>
          <cell r="X76">
            <v>0.8125</v>
          </cell>
          <cell r="Y76" t="str">
            <v>CONTINUE LOADING</v>
          </cell>
          <cell r="AA76">
            <v>0.22916666666666666</v>
          </cell>
          <cell r="AB76" t="str">
            <v>VESSEL CRANE OPERATOR TAKE REST</v>
          </cell>
          <cell r="AD76">
            <v>0.68541666666666667</v>
          </cell>
          <cell r="AE76" t="str">
            <v>WAITING MATERIAL</v>
          </cell>
        </row>
        <row r="77">
          <cell r="F77">
            <v>0.91874999999999996</v>
          </cell>
          <cell r="G77" t="str">
            <v xml:space="preserve">CONTINUE LOADING </v>
          </cell>
          <cell r="O77">
            <v>8.3333333333333329E-2</v>
          </cell>
          <cell r="P77" t="str">
            <v>CONTINUE LOADING</v>
          </cell>
          <cell r="U77">
            <v>0.22361111111111112</v>
          </cell>
          <cell r="V77" t="str">
            <v xml:space="preserve">CONTINUE LOADING </v>
          </cell>
          <cell r="X77">
            <v>0.92013888888888884</v>
          </cell>
          <cell r="Y77" t="str">
            <v>CONTINUE LOADING</v>
          </cell>
          <cell r="AA77">
            <v>0.25</v>
          </cell>
          <cell r="AB77" t="str">
            <v>VESSEL CRANE OPERATOR TAKE REST</v>
          </cell>
          <cell r="AD77">
            <v>0.79166666666666663</v>
          </cell>
          <cell r="AE77" t="str">
            <v>KY TOOLBOX</v>
          </cell>
        </row>
        <row r="78">
          <cell r="F78">
            <v>0.96111111111111114</v>
          </cell>
          <cell r="G78" t="str">
            <v xml:space="preserve">CONTINUE LOADING </v>
          </cell>
          <cell r="O78">
            <v>0.14027777777777778</v>
          </cell>
          <cell r="P78" t="str">
            <v>CONTINUE LOADING</v>
          </cell>
          <cell r="U78">
            <v>0.22916666666666666</v>
          </cell>
          <cell r="V78" t="str">
            <v xml:space="preserve">CONTINUE LOADING </v>
          </cell>
          <cell r="X78">
            <v>0.96180555555555558</v>
          </cell>
          <cell r="Y78" t="str">
            <v>CONTINUE LOADING</v>
          </cell>
          <cell r="AD78">
            <v>0.8125</v>
          </cell>
          <cell r="AE78" t="str">
            <v>CONTINUE LOADING</v>
          </cell>
        </row>
        <row r="79">
          <cell r="F79">
            <v>2.0833333333333332E-2</v>
          </cell>
          <cell r="G79" t="str">
            <v>WAITING SORE CRANE</v>
          </cell>
          <cell r="O79">
            <v>0.19930555555555557</v>
          </cell>
          <cell r="P79" t="str">
            <v>CONTINUE LOADING</v>
          </cell>
          <cell r="U79">
            <v>0.25</v>
          </cell>
          <cell r="V79" t="str">
            <v>VESSEL BREAK</v>
          </cell>
          <cell r="X79">
            <v>5.9027777777777776E-2</v>
          </cell>
          <cell r="Y79" t="str">
            <v>CONTINUE LOADING</v>
          </cell>
          <cell r="AD79">
            <v>0.92083333333333328</v>
          </cell>
          <cell r="AE79" t="str">
            <v>CONTINUE LOADING</v>
          </cell>
        </row>
        <row r="80">
          <cell r="F80">
            <v>6.25E-2</v>
          </cell>
          <cell r="G80" t="str">
            <v>WAITING SORE CRANE</v>
          </cell>
          <cell r="O80">
            <v>0.2361111111111111</v>
          </cell>
          <cell r="P80" t="str">
            <v>CONTINUE LOADING</v>
          </cell>
          <cell r="X80">
            <v>9.8611111111111108E-2</v>
          </cell>
          <cell r="Y80" t="str">
            <v>CONTINUE LOADING</v>
          </cell>
          <cell r="AD80">
            <v>0.95972222222222225</v>
          </cell>
          <cell r="AE80" t="str">
            <v>CONTINUE LOADING</v>
          </cell>
        </row>
        <row r="81">
          <cell r="F81">
            <v>9.8611111111111108E-2</v>
          </cell>
          <cell r="G81" t="str">
            <v>WAITING SORE CRANE</v>
          </cell>
          <cell r="O81">
            <v>0.25</v>
          </cell>
          <cell r="P81" t="str">
            <v>VESSEL BREAK</v>
          </cell>
          <cell r="X81">
            <v>0.125</v>
          </cell>
          <cell r="Y81" t="str">
            <v>CONTINUE LOADING</v>
          </cell>
          <cell r="AD81">
            <v>5.9722222222222225E-2</v>
          </cell>
          <cell r="AE81" t="str">
            <v>COMPLETE LOAD</v>
          </cell>
        </row>
        <row r="82">
          <cell r="F82">
            <v>0.12569444444444444</v>
          </cell>
          <cell r="G82" t="str">
            <v>WAITING SORE CRANE</v>
          </cell>
          <cell r="X82">
            <v>0.1875</v>
          </cell>
          <cell r="Y82" t="str">
            <v>CONTINUE LOADING</v>
          </cell>
        </row>
        <row r="83">
          <cell r="F83">
            <v>0.18194444444444444</v>
          </cell>
          <cell r="G83" t="str">
            <v>WAITING SORE CRANE</v>
          </cell>
          <cell r="X83">
            <v>0.22916666666666666</v>
          </cell>
          <cell r="Y83" t="str">
            <v>CONTINUE LOADING</v>
          </cell>
        </row>
        <row r="84">
          <cell r="F84">
            <v>0.22916666666666666</v>
          </cell>
          <cell r="G84" t="str">
            <v>WAITING SORE CRANE</v>
          </cell>
          <cell r="X84">
            <v>0.25</v>
          </cell>
          <cell r="Y84" t="str">
            <v>VESSEL BREAK</v>
          </cell>
        </row>
        <row r="85">
          <cell r="F85">
            <v>0.25</v>
          </cell>
          <cell r="G85" t="str">
            <v>VESSEL BREAK</v>
          </cell>
        </row>
        <row r="86">
          <cell r="C86" t="str">
            <v>Time</v>
          </cell>
          <cell r="D86" t="str">
            <v>BERTH 1</v>
          </cell>
          <cell r="F86" t="str">
            <v>Time</v>
          </cell>
          <cell r="G86" t="str">
            <v>BERTH 2</v>
          </cell>
          <cell r="I86" t="str">
            <v>Time</v>
          </cell>
          <cell r="J86" t="str">
            <v>BERTH 3</v>
          </cell>
          <cell r="L86" t="str">
            <v>Time</v>
          </cell>
          <cell r="M86" t="str">
            <v>BERTH 4</v>
          </cell>
          <cell r="O86" t="str">
            <v>Time</v>
          </cell>
          <cell r="P86" t="str">
            <v>BERTH 5</v>
          </cell>
          <cell r="R86" t="str">
            <v>Time</v>
          </cell>
          <cell r="S86" t="str">
            <v>BERTH 6</v>
          </cell>
          <cell r="U86" t="str">
            <v>Time</v>
          </cell>
          <cell r="V86" t="str">
            <v>BERTH 7</v>
          </cell>
          <cell r="X86" t="str">
            <v>Time</v>
          </cell>
          <cell r="Y86" t="str">
            <v>BERTH 8</v>
          </cell>
          <cell r="AA86" t="str">
            <v>Time</v>
          </cell>
          <cell r="AB86" t="str">
            <v>BERTH 9</v>
          </cell>
          <cell r="AD86" t="str">
            <v>Time</v>
          </cell>
          <cell r="AE86" t="str">
            <v>BERTH 10</v>
          </cell>
          <cell r="AG86" t="str">
            <v>Time</v>
          </cell>
          <cell r="AH86" t="str">
            <v>Jetty</v>
          </cell>
        </row>
        <row r="87">
          <cell r="C87">
            <v>0.25</v>
          </cell>
          <cell r="D87" t="str">
            <v>VACANT</v>
          </cell>
          <cell r="G87" t="str">
            <v>HAN HORIZON</v>
          </cell>
          <cell r="I87">
            <v>0.25</v>
          </cell>
          <cell r="J87" t="str">
            <v>VACANT</v>
          </cell>
          <cell r="M87" t="str">
            <v>EASTERN CEBU</v>
          </cell>
          <cell r="P87" t="str">
            <v>LADY OF COURAGE</v>
          </cell>
          <cell r="S87" t="str">
            <v>LADY OF DIVINE GRACE</v>
          </cell>
          <cell r="V87" t="str">
            <v>LADY OF PEACE</v>
          </cell>
          <cell r="X87">
            <v>0.25</v>
          </cell>
          <cell r="Y87" t="str">
            <v>VACANT</v>
          </cell>
          <cell r="AB87" t="str">
            <v>SALVACION VI</v>
          </cell>
          <cell r="AE87" t="str">
            <v>NAPOLI</v>
          </cell>
          <cell r="AH87" t="str">
            <v>EFG 5</v>
          </cell>
        </row>
        <row r="88">
          <cell r="F88">
            <v>0.29166666666666669</v>
          </cell>
          <cell r="G88" t="str">
            <v>KY TOOLBOX</v>
          </cell>
          <cell r="L88">
            <v>0.54166666666666663</v>
          </cell>
          <cell r="M88" t="str">
            <v>PUMP OUT</v>
          </cell>
          <cell r="O88">
            <v>0.29166666666666669</v>
          </cell>
          <cell r="P88" t="str">
            <v>KY TOOLBOX</v>
          </cell>
          <cell r="S88" t="str">
            <v>NEW VESSEL</v>
          </cell>
          <cell r="U88">
            <v>0.29166666666666669</v>
          </cell>
          <cell r="V88" t="str">
            <v>KY TOOLBOX</v>
          </cell>
          <cell r="AA88">
            <v>0.29166666666666669</v>
          </cell>
          <cell r="AB88" t="str">
            <v>KY TOOLBOX</v>
          </cell>
          <cell r="AD88">
            <v>0.33333333333333331</v>
          </cell>
          <cell r="AE88" t="str">
            <v>NEW VESSEL</v>
          </cell>
          <cell r="AG88">
            <v>0.25</v>
          </cell>
          <cell r="AH88" t="str">
            <v>VESSEL COMPLETE</v>
          </cell>
        </row>
        <row r="89">
          <cell r="F89">
            <v>0.3125</v>
          </cell>
          <cell r="G89" t="str">
            <v>RESUME LOADING</v>
          </cell>
          <cell r="L89">
            <v>0.58333333333333337</v>
          </cell>
          <cell r="M89" t="str">
            <v>COMMENCE LOADING</v>
          </cell>
          <cell r="O89">
            <v>0.3125</v>
          </cell>
          <cell r="P89" t="str">
            <v>RESUME LOADING</v>
          </cell>
          <cell r="R89">
            <v>0.57638888888888884</v>
          </cell>
          <cell r="S89" t="str">
            <v>COMMENCE LOADING</v>
          </cell>
          <cell r="U89">
            <v>0.3125</v>
          </cell>
          <cell r="V89" t="str">
            <v>RESUME LOADING</v>
          </cell>
          <cell r="AA89">
            <v>0.3125</v>
          </cell>
          <cell r="AB89" t="str">
            <v>RESUME LOADING</v>
          </cell>
          <cell r="AD89">
            <v>0.69930555555555551</v>
          </cell>
          <cell r="AE89" t="str">
            <v>COMMENCE LOADING OPERATIONS</v>
          </cell>
        </row>
        <row r="90">
          <cell r="F90">
            <v>0.3923611111111111</v>
          </cell>
          <cell r="G90" t="str">
            <v xml:space="preserve">CONTINUE LOADING </v>
          </cell>
          <cell r="L90">
            <v>0.5854166666666667</v>
          </cell>
          <cell r="M90" t="str">
            <v>CONTINUE LOADING</v>
          </cell>
          <cell r="O90">
            <v>0.34722222222222221</v>
          </cell>
          <cell r="P90" t="str">
            <v>CONTINUE LOADING</v>
          </cell>
          <cell r="R90">
            <v>0.6</v>
          </cell>
          <cell r="S90" t="str">
            <v>ONGOING LOADING</v>
          </cell>
          <cell r="U90">
            <v>0.36805555555555558</v>
          </cell>
          <cell r="V90" t="str">
            <v xml:space="preserve">CONTINUE LOADING </v>
          </cell>
          <cell r="AA90">
            <v>0.34027777777777779</v>
          </cell>
          <cell r="AB90" t="str">
            <v>CONTINUE LOADING</v>
          </cell>
          <cell r="AD90">
            <v>0.75</v>
          </cell>
          <cell r="AE90" t="str">
            <v>VESSEL BREAK</v>
          </cell>
        </row>
        <row r="91">
          <cell r="F91">
            <v>0.4236111111111111</v>
          </cell>
          <cell r="G91" t="str">
            <v>ONGOING LOADING</v>
          </cell>
          <cell r="L91">
            <v>0.62083333333333335</v>
          </cell>
          <cell r="M91" t="str">
            <v xml:space="preserve">.ONGOING LOADING </v>
          </cell>
          <cell r="O91">
            <v>0.37847222222222221</v>
          </cell>
          <cell r="P91" t="str">
            <v>ONGOING LOADING</v>
          </cell>
          <cell r="R91">
            <v>0.61527777777777781</v>
          </cell>
          <cell r="S91" t="str">
            <v>WAITING MATERIAL</v>
          </cell>
          <cell r="U91">
            <v>0.38680555555555557</v>
          </cell>
          <cell r="V91" t="str">
            <v xml:space="preserve">ONGOING LOADING </v>
          </cell>
          <cell r="AA91">
            <v>0.36458333333333331</v>
          </cell>
          <cell r="AB91" t="str">
            <v>ONGOING LOADING.</v>
          </cell>
          <cell r="AD91">
            <v>0.79166666666666663</v>
          </cell>
          <cell r="AE91" t="str">
            <v>KY TOOLBOX</v>
          </cell>
        </row>
        <row r="92">
          <cell r="F92">
            <v>0.4513888888888889</v>
          </cell>
          <cell r="G92" t="str">
            <v xml:space="preserve">CONTINUE LOADING </v>
          </cell>
          <cell r="L92">
            <v>0.63541666666666663</v>
          </cell>
          <cell r="M92" t="str">
            <v xml:space="preserve">.CONTINUE LOADING </v>
          </cell>
          <cell r="O92">
            <v>0.43263888888888891</v>
          </cell>
          <cell r="P92" t="str">
            <v>CONTINUE LOADING</v>
          </cell>
          <cell r="R92">
            <v>0.67013888888888884</v>
          </cell>
          <cell r="S92" t="str">
            <v xml:space="preserve">.RESUME LOADING </v>
          </cell>
          <cell r="U92">
            <v>0.40833333333333333</v>
          </cell>
          <cell r="V92" t="str">
            <v>RESUME LOADING</v>
          </cell>
          <cell r="AA92">
            <v>0.4548611111111111</v>
          </cell>
          <cell r="AB92" t="str">
            <v>CONTINUE LOADING</v>
          </cell>
          <cell r="AD92">
            <v>0.8125</v>
          </cell>
          <cell r="AE92" t="str">
            <v>CONTINUE LOADING</v>
          </cell>
        </row>
        <row r="93">
          <cell r="F93">
            <v>0.47916666666666669</v>
          </cell>
          <cell r="G93" t="str">
            <v>WAITING MATERIAL</v>
          </cell>
          <cell r="L93">
            <v>0.65208333333333335</v>
          </cell>
          <cell r="M93" t="str">
            <v xml:space="preserve">.ONGOING LOADING </v>
          </cell>
          <cell r="O93">
            <v>0.47916666666666669</v>
          </cell>
          <cell r="P93" t="str">
            <v>WAITING MATERIAL</v>
          </cell>
          <cell r="R93">
            <v>0.71736111111111112</v>
          </cell>
          <cell r="S93" t="str">
            <v xml:space="preserve">.CONTINUE LOADING </v>
          </cell>
          <cell r="U93">
            <v>0.4465277777777778</v>
          </cell>
          <cell r="V93" t="str">
            <v xml:space="preserve">CONTINUE LOADING </v>
          </cell>
          <cell r="AA93">
            <v>0.5</v>
          </cell>
          <cell r="AB93" t="str">
            <v>LUNCHBREAK</v>
          </cell>
          <cell r="AD93">
            <v>0.85833333333333328</v>
          </cell>
          <cell r="AE93" t="str">
            <v>CONTINUE LOADING</v>
          </cell>
        </row>
        <row r="94">
          <cell r="F94">
            <v>0.5</v>
          </cell>
          <cell r="G94" t="str">
            <v>LUNCHBREAK</v>
          </cell>
          <cell r="L94">
            <v>0.70138888888888884</v>
          </cell>
          <cell r="M94" t="str">
            <v xml:space="preserve">.CONTINUE LOADING </v>
          </cell>
          <cell r="O94">
            <v>0.5</v>
          </cell>
          <cell r="P94" t="str">
            <v>LUNCHBREAK</v>
          </cell>
          <cell r="R94">
            <v>0.79166666666666663</v>
          </cell>
          <cell r="S94" t="str">
            <v>KY TOOLBOX</v>
          </cell>
          <cell r="U94">
            <v>0.5</v>
          </cell>
          <cell r="V94" t="str">
            <v>LUNCHBREAK</v>
          </cell>
          <cell r="AA94">
            <v>0.54166666666666663</v>
          </cell>
          <cell r="AB94" t="str">
            <v>RESUME LOADING</v>
          </cell>
          <cell r="AD94">
            <v>0.87638888888888888</v>
          </cell>
          <cell r="AE94" t="str">
            <v>CONTINUE LOADING</v>
          </cell>
        </row>
        <row r="95">
          <cell r="F95">
            <v>0.56944444444444442</v>
          </cell>
          <cell r="G95" t="str">
            <v>RESUME LOADING</v>
          </cell>
          <cell r="L95">
            <v>0.79166666666666663</v>
          </cell>
          <cell r="M95" t="str">
            <v>KY TOOLBOX</v>
          </cell>
          <cell r="O95">
            <v>0.54166666666666663</v>
          </cell>
          <cell r="P95" t="str">
            <v>RESUME LOADING</v>
          </cell>
          <cell r="R95">
            <v>0.8125</v>
          </cell>
          <cell r="S95" t="str">
            <v>WAITING MATERIAL</v>
          </cell>
          <cell r="U95">
            <v>0.56874999999999998</v>
          </cell>
          <cell r="V95" t="str">
            <v>RESUME LOADING</v>
          </cell>
          <cell r="AA95">
            <v>0.56597222222222221</v>
          </cell>
          <cell r="AB95" t="str">
            <v>.ONGOING LOADING</v>
          </cell>
          <cell r="AD95">
            <v>0.93263888888888891</v>
          </cell>
          <cell r="AE95" t="str">
            <v>CONTINUE LOADING</v>
          </cell>
        </row>
        <row r="96">
          <cell r="F96">
            <v>0.59027777777777779</v>
          </cell>
          <cell r="G96" t="str">
            <v>.ONGOING LOADING</v>
          </cell>
          <cell r="L96">
            <v>0.8125</v>
          </cell>
          <cell r="M96" t="str">
            <v>ONGOING  ONBOARD FORKLIFT</v>
          </cell>
          <cell r="O96">
            <v>0.56944444444444442</v>
          </cell>
          <cell r="P96" t="str">
            <v>BUNKERING</v>
          </cell>
          <cell r="R96">
            <v>0.83333333333333337</v>
          </cell>
          <cell r="S96" t="str">
            <v>WAITING MATERIAL</v>
          </cell>
          <cell r="U96">
            <v>0.59027777777777779</v>
          </cell>
          <cell r="V96" t="str">
            <v xml:space="preserve">.ONGOING LOADING </v>
          </cell>
          <cell r="AA96">
            <v>0.59583333333333333</v>
          </cell>
          <cell r="AB96" t="str">
            <v>.CONTINUE LOADING</v>
          </cell>
          <cell r="AD96">
            <v>0.95902777777777781</v>
          </cell>
          <cell r="AE96" t="str">
            <v>CONTINUE LOADING</v>
          </cell>
        </row>
        <row r="97">
          <cell r="F97">
            <v>0.63194444444444442</v>
          </cell>
          <cell r="G97" t="str">
            <v xml:space="preserve">.CONTINUE LOADING </v>
          </cell>
          <cell r="L97">
            <v>0.81944444444444442</v>
          </cell>
          <cell r="M97" t="str">
            <v>CONTINUE LOADING</v>
          </cell>
          <cell r="O97">
            <v>0.59861111111111109</v>
          </cell>
          <cell r="P97" t="str">
            <v>.RESUME LOADING</v>
          </cell>
          <cell r="R97">
            <v>0.90555555555555556</v>
          </cell>
          <cell r="S97" t="str">
            <v>CONTINUE LOADING</v>
          </cell>
          <cell r="U97">
            <v>0.63194444444444442</v>
          </cell>
          <cell r="V97" t="str">
            <v xml:space="preserve">.CONTINUE LOADING </v>
          </cell>
          <cell r="AA97">
            <v>0.64236111111111116</v>
          </cell>
          <cell r="AB97" t="str">
            <v>.ONGOING LOADING</v>
          </cell>
          <cell r="AD97">
            <v>3.6111111111111108E-2</v>
          </cell>
          <cell r="AE97" t="str">
            <v>CONTINUE LOADING</v>
          </cell>
        </row>
        <row r="98">
          <cell r="F98">
            <v>0.67361111111111116</v>
          </cell>
          <cell r="G98" t="str">
            <v>.ONGOING LOADING</v>
          </cell>
          <cell r="L98">
            <v>0.85763888888888884</v>
          </cell>
          <cell r="M98" t="str">
            <v>CONTINUE LOADING</v>
          </cell>
          <cell r="O98">
            <v>0.75</v>
          </cell>
          <cell r="P98" t="str">
            <v>VESSEL BREAK</v>
          </cell>
          <cell r="R98">
            <v>0.94305555555555554</v>
          </cell>
          <cell r="S98" t="str">
            <v>WAITING MATERIAL</v>
          </cell>
          <cell r="U98">
            <v>0.65069444444444446</v>
          </cell>
          <cell r="V98" t="str">
            <v xml:space="preserve">.ONGOING LOADING </v>
          </cell>
          <cell r="AA98">
            <v>0.70416666666666672</v>
          </cell>
          <cell r="AB98" t="str">
            <v>.CONTINUE LOADING</v>
          </cell>
          <cell r="AD98">
            <v>5.6944444444444443E-2</v>
          </cell>
          <cell r="AE98" t="str">
            <v>CONTINUE LOADING</v>
          </cell>
        </row>
        <row r="99">
          <cell r="F99">
            <v>0.75</v>
          </cell>
          <cell r="G99" t="str">
            <v>VESSEL BREAK</v>
          </cell>
          <cell r="L99">
            <v>0.90625</v>
          </cell>
          <cell r="M99" t="str">
            <v>CONTINUE LOADING</v>
          </cell>
          <cell r="O99">
            <v>0.79166666666666663</v>
          </cell>
          <cell r="P99" t="str">
            <v>KY TOOLBOX</v>
          </cell>
          <cell r="R99">
            <v>0.97361111111111109</v>
          </cell>
          <cell r="S99" t="str">
            <v>WAITING MATERIAL</v>
          </cell>
          <cell r="U99">
            <v>0.66527777777777775</v>
          </cell>
          <cell r="V99" t="str">
            <v>WAITING MATERIAL PORTLAND</v>
          </cell>
          <cell r="AA99">
            <v>0.75</v>
          </cell>
          <cell r="AB99" t="str">
            <v>VESSEL BREAK</v>
          </cell>
          <cell r="AD99">
            <v>8.6805555555555552E-2</v>
          </cell>
          <cell r="AE99" t="str">
            <v>CONTINUE LOADING</v>
          </cell>
        </row>
        <row r="100">
          <cell r="F100">
            <v>0.79166666666666663</v>
          </cell>
          <cell r="G100" t="str">
            <v>KY TOOLBOX</v>
          </cell>
          <cell r="L100" t="str">
            <v>22::28</v>
          </cell>
          <cell r="M100" t="str">
            <v>CONTINUE LOADING</v>
          </cell>
          <cell r="O100">
            <v>0.8125</v>
          </cell>
          <cell r="P100" t="str">
            <v xml:space="preserve">WAITING DELIVERY </v>
          </cell>
          <cell r="R100">
            <v>3.125E-2</v>
          </cell>
          <cell r="S100" t="str">
            <v>CONTINUE LOADING</v>
          </cell>
          <cell r="U100">
            <v>0.79166666666666663</v>
          </cell>
          <cell r="V100" t="str">
            <v>KY TOOLBOX</v>
          </cell>
          <cell r="AA100">
            <v>0.79166666666666663</v>
          </cell>
          <cell r="AB100" t="str">
            <v>KY TOOLBOX</v>
          </cell>
          <cell r="AD100">
            <v>0.14027777777777778</v>
          </cell>
          <cell r="AE100" t="str">
            <v>CONTINUE LOADING</v>
          </cell>
        </row>
        <row r="101">
          <cell r="F101">
            <v>0.8125</v>
          </cell>
          <cell r="G101" t="str">
            <v xml:space="preserve">CONTINUE LOADING </v>
          </cell>
          <cell r="L101">
            <v>0.96319444444444446</v>
          </cell>
          <cell r="M101" t="str">
            <v>CONTINUE LOADING</v>
          </cell>
          <cell r="O101">
            <v>0.83472222222222225</v>
          </cell>
          <cell r="P101" t="str">
            <v xml:space="preserve">WAITING DELIVERY </v>
          </cell>
          <cell r="R101">
            <v>6.458333333333334E-2</v>
          </cell>
          <cell r="S101" t="str">
            <v>CONTINUE LOADING</v>
          </cell>
          <cell r="U101">
            <v>0.8125</v>
          </cell>
          <cell r="V101" t="str">
            <v xml:space="preserve">CONTINUE LOADING </v>
          </cell>
          <cell r="AA101">
            <v>0.8125</v>
          </cell>
          <cell r="AB101" t="str">
            <v>CONTINUE LOADING</v>
          </cell>
          <cell r="AD101">
            <v>0.1673611111111111</v>
          </cell>
          <cell r="AE101" t="str">
            <v>CONTINUE LOADING</v>
          </cell>
        </row>
        <row r="102">
          <cell r="F102">
            <v>0.85416666666666663</v>
          </cell>
          <cell r="G102" t="str">
            <v xml:space="preserve">CONTINUE LOADING </v>
          </cell>
          <cell r="L102">
            <v>1.5277777777777777E-2</v>
          </cell>
          <cell r="M102" t="str">
            <v>CONTINUE LOADING</v>
          </cell>
          <cell r="O102">
            <v>0.89027777777777772</v>
          </cell>
          <cell r="P102" t="str">
            <v xml:space="preserve">WAITING DELIVERY </v>
          </cell>
          <cell r="R102">
            <v>0.1111111111111111</v>
          </cell>
          <cell r="S102" t="str">
            <v>WAITING MATERIAL</v>
          </cell>
          <cell r="U102">
            <v>0.875</v>
          </cell>
          <cell r="V102" t="str">
            <v>COMPLETE LOADING</v>
          </cell>
          <cell r="AA102">
            <v>0.85763888888888884</v>
          </cell>
          <cell r="AB102" t="str">
            <v>CONTINUE LOADING</v>
          </cell>
          <cell r="AD102">
            <v>0.18055555555555555</v>
          </cell>
          <cell r="AE102" t="str">
            <v>VESSEL CLOSE</v>
          </cell>
        </row>
        <row r="103">
          <cell r="F103">
            <v>0.87847222222222221</v>
          </cell>
          <cell r="G103" t="str">
            <v>WAITING DELIVERY MATERIALS</v>
          </cell>
          <cell r="L103">
            <v>5.7638888888888892E-2</v>
          </cell>
          <cell r="M103" t="str">
            <v>CONTINUE LOADING</v>
          </cell>
          <cell r="O103">
            <v>0.91805555555555551</v>
          </cell>
          <cell r="P103" t="str">
            <v xml:space="preserve">WAITING DELIVERY </v>
          </cell>
          <cell r="R103">
            <v>0.14166666666666666</v>
          </cell>
          <cell r="S103" t="str">
            <v>WAITING MATERIAL</v>
          </cell>
          <cell r="AA103">
            <v>0.89236111111111116</v>
          </cell>
          <cell r="AB103" t="str">
            <v>CONTINUE LOADING</v>
          </cell>
        </row>
        <row r="104">
          <cell r="F104">
            <v>0.93194444444444446</v>
          </cell>
          <cell r="G104" t="str">
            <v>WAITING DELIVERY MATERIALS</v>
          </cell>
          <cell r="L104" t="str">
            <v>2::33</v>
          </cell>
          <cell r="M104" t="str">
            <v>CONTINUE LOADING</v>
          </cell>
          <cell r="O104">
            <v>0.95972222222222225</v>
          </cell>
          <cell r="P104" t="str">
            <v xml:space="preserve">WAITING DELIVERY </v>
          </cell>
          <cell r="R104">
            <v>0.18055555555555555</v>
          </cell>
          <cell r="S104" t="str">
            <v>VESSEL CLOSE</v>
          </cell>
          <cell r="AA104">
            <v>0.94444444444444442</v>
          </cell>
          <cell r="AB104" t="str">
            <v>CONTINUE LOADING</v>
          </cell>
        </row>
        <row r="105">
          <cell r="F105">
            <v>0.97569444444444442</v>
          </cell>
          <cell r="G105" t="str">
            <v xml:space="preserve">CONTINUE LOADING </v>
          </cell>
          <cell r="L105">
            <v>0.15972222222222221</v>
          </cell>
          <cell r="M105" t="str">
            <v>CONTINUE LOADING</v>
          </cell>
          <cell r="O105">
            <v>6.9444444444444447E-4</v>
          </cell>
          <cell r="P105" t="str">
            <v xml:space="preserve">WAITING DELIVERY </v>
          </cell>
          <cell r="AA105">
            <v>0.98124999999999996</v>
          </cell>
          <cell r="AB105" t="str">
            <v>CONTINUE LOADING</v>
          </cell>
        </row>
        <row r="106">
          <cell r="F106">
            <v>1.3888888888888889E-3</v>
          </cell>
          <cell r="G106" t="str">
            <v>WAITING DELIVERY MATERIALS</v>
          </cell>
          <cell r="L106">
            <v>0.18055555555555555</v>
          </cell>
          <cell r="M106" t="str">
            <v>VESSEL CLOSE</v>
          </cell>
          <cell r="O106">
            <v>5.6944444444444443E-2</v>
          </cell>
          <cell r="P106" t="str">
            <v>CONTINUE LOADING</v>
          </cell>
          <cell r="AA106">
            <v>1.3888888888888889E-3</v>
          </cell>
          <cell r="AB106" t="str">
            <v>CONTINUE LOADING</v>
          </cell>
        </row>
        <row r="107">
          <cell r="F107">
            <v>5.6944444444444443E-2</v>
          </cell>
          <cell r="G107" t="str">
            <v>WAITING DELIVERY MATERIALS</v>
          </cell>
          <cell r="O107">
            <v>8.4722222222222227E-2</v>
          </cell>
          <cell r="P107" t="str">
            <v>CONTINUE LOADING</v>
          </cell>
          <cell r="AA107">
            <v>5.0694444444444445E-2</v>
          </cell>
          <cell r="AB107" t="str">
            <v>CONTINUE LOADING</v>
          </cell>
        </row>
        <row r="108">
          <cell r="F108">
            <v>0.10486111111111111</v>
          </cell>
          <cell r="G108" t="str">
            <v xml:space="preserve">CONTINUE LOADING </v>
          </cell>
          <cell r="O108">
            <v>0.15555555555555556</v>
          </cell>
          <cell r="P108" t="str">
            <v>CONTINUE LOADING</v>
          </cell>
          <cell r="AA108">
            <v>9.3055555555555558E-2</v>
          </cell>
          <cell r="AB108" t="str">
            <v>CONTINUE LOADING</v>
          </cell>
        </row>
        <row r="109">
          <cell r="F109">
            <v>0.12708333333333333</v>
          </cell>
          <cell r="G109" t="str">
            <v xml:space="preserve">CONTINUE LOADING </v>
          </cell>
          <cell r="O109">
            <v>0.18055555555555555</v>
          </cell>
          <cell r="P109" t="str">
            <v>VESSEL CLOSE</v>
          </cell>
          <cell r="AA109">
            <v>0.18055555555555555</v>
          </cell>
          <cell r="AB109" t="str">
            <v>VESSEL CLOSE</v>
          </cell>
        </row>
        <row r="110">
          <cell r="F110">
            <v>0.18055555555555555</v>
          </cell>
          <cell r="G110" t="str">
            <v xml:space="preserve">VESSEL CLOSE </v>
          </cell>
        </row>
        <row r="111">
          <cell r="D111" t="str">
            <v>VACANT</v>
          </cell>
          <cell r="G111" t="str">
            <v>HAN HORIZON</v>
          </cell>
          <cell r="J111" t="str">
            <v xml:space="preserve">STAR SOGOD </v>
          </cell>
          <cell r="M111" t="str">
            <v>EASTERN CEBU</v>
          </cell>
          <cell r="P111" t="str">
            <v>LADY OF COURAGE</v>
          </cell>
          <cell r="S111" t="str">
            <v>LADY OF DIVINE GRACE</v>
          </cell>
          <cell r="V111" t="str">
            <v>EMERALD STAR</v>
          </cell>
          <cell r="Y111" t="str">
            <v>ADOLFO SR</v>
          </cell>
          <cell r="AB111" t="str">
            <v>SALVACION VI</v>
          </cell>
          <cell r="AE111" t="str">
            <v>NAPOLI</v>
          </cell>
        </row>
        <row r="112">
          <cell r="F112">
            <v>0.33333333333333331</v>
          </cell>
          <cell r="G112" t="str">
            <v>VESSEL CLOSED</v>
          </cell>
          <cell r="I112">
            <v>0.45833333333333331</v>
          </cell>
          <cell r="J112" t="str">
            <v>NEW SECURED VESSEL</v>
          </cell>
          <cell r="L112">
            <v>0.33333333333333331</v>
          </cell>
          <cell r="M112" t="str">
            <v>VESSEL CLOSED</v>
          </cell>
          <cell r="O112">
            <v>0.33333333333333331</v>
          </cell>
          <cell r="P112" t="str">
            <v xml:space="preserve">VESSEL CLOSE </v>
          </cell>
          <cell r="R112">
            <v>0.33333333333333331</v>
          </cell>
          <cell r="S112" t="str">
            <v>VESSEL CLOSED</v>
          </cell>
          <cell r="U112">
            <v>0.625</v>
          </cell>
          <cell r="V112" t="str">
            <v>NEW SECURED VESSEL</v>
          </cell>
          <cell r="X112">
            <v>0.34722222222222221</v>
          </cell>
          <cell r="Y112" t="str">
            <v>NEW SECURED VESSEL</v>
          </cell>
          <cell r="AA112">
            <v>0.33333333333333331</v>
          </cell>
          <cell r="AB112" t="str">
            <v>VESSEL CLOSED</v>
          </cell>
          <cell r="AD112">
            <v>0.33333333333333331</v>
          </cell>
          <cell r="AE112" t="str">
            <v>VESSEL CLOSE</v>
          </cell>
          <cell r="AG112">
            <v>0.25</v>
          </cell>
          <cell r="AH112" t="str">
            <v>vacant</v>
          </cell>
        </row>
        <row r="113">
          <cell r="F113">
            <v>0.375</v>
          </cell>
          <cell r="G113" t="str">
            <v>VESSELS ONGOING OPEN HATCH</v>
          </cell>
          <cell r="I113">
            <v>0.85902777777777772</v>
          </cell>
          <cell r="J113" t="str">
            <v>COMMENCE LOADING</v>
          </cell>
          <cell r="L113">
            <v>0.375</v>
          </cell>
          <cell r="M113" t="str">
            <v>VESSELS ONGOING OPEN HATCH</v>
          </cell>
          <cell r="O113">
            <v>0.41666666666666669</v>
          </cell>
          <cell r="P113" t="str">
            <v>WAITING MATERIAL</v>
          </cell>
          <cell r="R113">
            <v>0.375</v>
          </cell>
          <cell r="S113" t="str">
            <v>WAITING SHORECRANE TO ASSIST BASE</v>
          </cell>
          <cell r="U113">
            <v>0.83333333333333337</v>
          </cell>
          <cell r="V113" t="str">
            <v>VESSEL CLOSE HATCH</v>
          </cell>
          <cell r="X113">
            <v>0.375</v>
          </cell>
          <cell r="Y113" t="str">
            <v>WAITING MATERIAL</v>
          </cell>
          <cell r="AA113">
            <v>0.375</v>
          </cell>
          <cell r="AB113" t="str">
            <v>VESSELS ONGOING OPEN HATCH</v>
          </cell>
          <cell r="AD113">
            <v>0.375</v>
          </cell>
          <cell r="AE113" t="str">
            <v>VESSELS ONGOING OPEN HATCH</v>
          </cell>
        </row>
        <row r="114">
          <cell r="F114">
            <v>0.41666666666666669</v>
          </cell>
          <cell r="G114" t="str">
            <v>WAITING GEO TRUCKING</v>
          </cell>
          <cell r="I114">
            <v>0.8833333333333333</v>
          </cell>
          <cell r="J114" t="str">
            <v xml:space="preserve">.CONTINUE LOADING </v>
          </cell>
          <cell r="L114">
            <v>0.39861111111111114</v>
          </cell>
          <cell r="M114" t="str">
            <v>RESUME LOADING</v>
          </cell>
          <cell r="O114">
            <v>0.54166666666666663</v>
          </cell>
          <cell r="P114" t="str">
            <v>WAITING MATERIAL</v>
          </cell>
          <cell r="R114">
            <v>0.54166666666666663</v>
          </cell>
          <cell r="S114" t="str">
            <v>.WAITING SHORECRANE TO ASSIST BASE</v>
          </cell>
          <cell r="U114">
            <v>0.99791666666666667</v>
          </cell>
          <cell r="V114" t="str">
            <v>COMMENCE LOADING</v>
          </cell>
          <cell r="X114">
            <v>0.54166666666666663</v>
          </cell>
          <cell r="Y114" t="str">
            <v xml:space="preserve">WAITING AVAILABLE STEVEDORES </v>
          </cell>
          <cell r="AA114">
            <v>0.39930555555555558</v>
          </cell>
          <cell r="AB114" t="str">
            <v>.RESUME LOADING</v>
          </cell>
          <cell r="AD114">
            <v>0.4152777777777778</v>
          </cell>
          <cell r="AE114" t="str">
            <v>RESUME LOADING</v>
          </cell>
        </row>
        <row r="115">
          <cell r="F115">
            <v>0.4548611111111111</v>
          </cell>
          <cell r="G115" t="str">
            <v>.RESUME LOADING</v>
          </cell>
          <cell r="I115">
            <v>0.90972222222222221</v>
          </cell>
          <cell r="J115" t="str">
            <v>.ONGOING LOADING</v>
          </cell>
          <cell r="L115">
            <v>0.41875000000000001</v>
          </cell>
          <cell r="M115" t="str">
            <v xml:space="preserve">.ONGOING LOADING </v>
          </cell>
          <cell r="O115">
            <v>0.56111111111111112</v>
          </cell>
          <cell r="P115" t="str">
            <v>RESUME LOADING</v>
          </cell>
          <cell r="R115">
            <v>0.58333333333333337</v>
          </cell>
          <cell r="S115" t="str">
            <v xml:space="preserve">RESUME LOADING </v>
          </cell>
          <cell r="U115">
            <v>2.0833333333333332E-2</v>
          </cell>
          <cell r="V115" t="str">
            <v xml:space="preserve">.CONTINUE LOADING </v>
          </cell>
          <cell r="X115">
            <v>0.8125</v>
          </cell>
          <cell r="Y115" t="str">
            <v>WAITING FORKLIFT ONBOARD</v>
          </cell>
          <cell r="AA115">
            <v>0.43402777777777779</v>
          </cell>
          <cell r="AB115" t="str">
            <v xml:space="preserve">.ONGOING LOADING </v>
          </cell>
          <cell r="AD115">
            <v>0.43472222222222223</v>
          </cell>
          <cell r="AE115" t="str">
            <v xml:space="preserve">.ONGOING LOADING </v>
          </cell>
        </row>
        <row r="116">
          <cell r="F116">
            <v>0.5</v>
          </cell>
          <cell r="G116" t="str">
            <v>LUNCHBREAK</v>
          </cell>
          <cell r="I116">
            <v>0.9375</v>
          </cell>
          <cell r="J116" t="str">
            <v xml:space="preserve">.CONTINUE LOADING </v>
          </cell>
          <cell r="L116">
            <v>0.43263888888888891</v>
          </cell>
          <cell r="M116" t="str">
            <v>.CONTINUE LOADING</v>
          </cell>
          <cell r="O116">
            <v>0.60416666666666663</v>
          </cell>
          <cell r="P116" t="str">
            <v xml:space="preserve">VESSEL CLOSE </v>
          </cell>
          <cell r="R116">
            <v>0.60416666666666663</v>
          </cell>
          <cell r="S116" t="str">
            <v>VESSEL CLOSED</v>
          </cell>
          <cell r="U116">
            <v>4.6527777777777779E-2</v>
          </cell>
          <cell r="V116" t="str">
            <v xml:space="preserve">.ONGOING LOADING </v>
          </cell>
          <cell r="X116">
            <v>5.5555555555555552E-2</v>
          </cell>
          <cell r="Y116" t="str">
            <v>FORKLIFT ONBOARD READY</v>
          </cell>
          <cell r="AA116">
            <v>0.5</v>
          </cell>
          <cell r="AB116" t="str">
            <v>LUNCHBREAK</v>
          </cell>
          <cell r="AD116">
            <v>0.45694444444444443</v>
          </cell>
          <cell r="AE116" t="str">
            <v xml:space="preserve">.CONTINUE LOADING </v>
          </cell>
        </row>
        <row r="117">
          <cell r="F117">
            <v>0.56944444444444442</v>
          </cell>
          <cell r="G117" t="str">
            <v>.RESUME LOADING</v>
          </cell>
          <cell r="I117">
            <v>0.95833333333333337</v>
          </cell>
          <cell r="J117" t="str">
            <v>STEVEDORES BREAK</v>
          </cell>
          <cell r="L117">
            <v>0.4513888888888889</v>
          </cell>
          <cell r="M117" t="str">
            <v xml:space="preserve">.ONGOING LOADING </v>
          </cell>
          <cell r="O117">
            <v>0.6875</v>
          </cell>
          <cell r="P117" t="str">
            <v>RESUME LOADING</v>
          </cell>
          <cell r="R117">
            <v>0.6875</v>
          </cell>
          <cell r="S117" t="str">
            <v xml:space="preserve">RESUME LOADING </v>
          </cell>
          <cell r="U117">
            <v>9.583333333333334E-2</v>
          </cell>
          <cell r="V117" t="str">
            <v xml:space="preserve">.CONTINUE LOADING </v>
          </cell>
          <cell r="X117">
            <v>9.2361111111111116E-2</v>
          </cell>
          <cell r="Y117" t="str">
            <v>COMMENCE LOADING LOOSEBAGS</v>
          </cell>
          <cell r="AA117">
            <v>0.54166666666666663</v>
          </cell>
          <cell r="AB117" t="str">
            <v>WAITING MATERIAL</v>
          </cell>
          <cell r="AD117">
            <v>0.5</v>
          </cell>
          <cell r="AE117" t="str">
            <v>LUNCHBREAK</v>
          </cell>
        </row>
        <row r="118">
          <cell r="F118">
            <v>0.58680555555555558</v>
          </cell>
          <cell r="G118" t="str">
            <v xml:space="preserve">.CONTINUE LOADING </v>
          </cell>
          <cell r="I118">
            <v>4.4444444444444446E-2</v>
          </cell>
          <cell r="J118" t="str">
            <v>RESUME LOADING</v>
          </cell>
          <cell r="L118">
            <v>0.47222222222222221</v>
          </cell>
          <cell r="M118" t="str">
            <v xml:space="preserve">STOP LOADING </v>
          </cell>
          <cell r="O118">
            <v>0.75</v>
          </cell>
          <cell r="P118" t="str">
            <v>CHANGE SHIFT</v>
          </cell>
          <cell r="R118">
            <v>0.75</v>
          </cell>
          <cell r="S118" t="str">
            <v>CHANGE SHIFT</v>
          </cell>
          <cell r="U118">
            <v>0.20694444444444443</v>
          </cell>
          <cell r="V118" t="str">
            <v xml:space="preserve">.ONGOING LOADING </v>
          </cell>
          <cell r="X118">
            <v>0.1763888888888889</v>
          </cell>
          <cell r="Y118" t="str">
            <v>.CONTINUE LOADING LOOSEBAGS</v>
          </cell>
          <cell r="AA118">
            <v>0.60416666666666663</v>
          </cell>
          <cell r="AB118" t="str">
            <v>VESSEL CLOSED</v>
          </cell>
          <cell r="AD118">
            <v>0.55972222222222223</v>
          </cell>
          <cell r="AE118" t="str">
            <v>RESUME LOADING</v>
          </cell>
        </row>
        <row r="119">
          <cell r="F119">
            <v>0.60763888888888884</v>
          </cell>
          <cell r="G119" t="str">
            <v>VESSEL CLOSED</v>
          </cell>
          <cell r="I119">
            <v>7.3611111111111113E-2</v>
          </cell>
          <cell r="J119" t="str">
            <v xml:space="preserve">.CONTINUE LOADING </v>
          </cell>
          <cell r="L119">
            <v>0.5</v>
          </cell>
          <cell r="M119" t="str">
            <v>LUNCHBREAK</v>
          </cell>
          <cell r="O119">
            <v>0.8125</v>
          </cell>
          <cell r="P119" t="str">
            <v xml:space="preserve">WAITING LAPU LAPU </v>
          </cell>
          <cell r="R119">
            <v>0.8125</v>
          </cell>
          <cell r="S119" t="str">
            <v>WAITING MATERIAL</v>
          </cell>
          <cell r="U119">
            <v>0.25</v>
          </cell>
          <cell r="V119" t="str">
            <v>CHANGE SHIFT</v>
          </cell>
          <cell r="X119">
            <v>0.25</v>
          </cell>
          <cell r="Y119" t="str">
            <v>CHANGE SHIFT</v>
          </cell>
          <cell r="AA119">
            <v>0.6875</v>
          </cell>
          <cell r="AB119" t="str">
            <v>RESUME LOADING</v>
          </cell>
          <cell r="AD119">
            <v>0.58333333333333337</v>
          </cell>
          <cell r="AE119" t="str">
            <v xml:space="preserve">.ONGOING LOADING </v>
          </cell>
        </row>
        <row r="120">
          <cell r="F120">
            <v>0.6875</v>
          </cell>
          <cell r="G120" t="str">
            <v>RESUME LOADING</v>
          </cell>
          <cell r="I120">
            <v>9.7222222222222224E-2</v>
          </cell>
          <cell r="J120" t="str">
            <v>.ONGOING LOADING</v>
          </cell>
          <cell r="L120">
            <v>0.56736111111111109</v>
          </cell>
          <cell r="M120" t="str">
            <v>RESUME LOADING</v>
          </cell>
          <cell r="O120">
            <v>0.89722222222222225</v>
          </cell>
          <cell r="P120" t="str">
            <v>RESUME LOADING</v>
          </cell>
          <cell r="R120">
            <v>0.95833333333333337</v>
          </cell>
          <cell r="S120" t="str">
            <v>STEVEDORES BREAK</v>
          </cell>
          <cell r="AA120">
            <v>0.70833333333333337</v>
          </cell>
          <cell r="AB120" t="str">
            <v>.ONGOING LOADING</v>
          </cell>
          <cell r="AD120">
            <v>0.60416666666666663</v>
          </cell>
          <cell r="AE120" t="str">
            <v>VESSEL CLOSE</v>
          </cell>
        </row>
        <row r="121">
          <cell r="F121">
            <v>0.72916666666666663</v>
          </cell>
          <cell r="G121" t="str">
            <v>WAITING AVAILABLE STEVEDORES</v>
          </cell>
          <cell r="I121">
            <v>0.19305555555555556</v>
          </cell>
          <cell r="J121" t="str">
            <v xml:space="preserve">.CONTINUE LOADING </v>
          </cell>
          <cell r="L121">
            <v>0.60416666666666663</v>
          </cell>
          <cell r="M121" t="str">
            <v>VESSEL CLOSED</v>
          </cell>
          <cell r="O121">
            <v>0.92083333333333328</v>
          </cell>
          <cell r="P121" t="str">
            <v>LOADING COMPLETE</v>
          </cell>
          <cell r="R121">
            <v>0</v>
          </cell>
          <cell r="S121" t="str">
            <v>WAITING MATERIAL</v>
          </cell>
          <cell r="AA121">
            <v>0.75</v>
          </cell>
          <cell r="AB121" t="str">
            <v>CHANGE SHIFT</v>
          </cell>
          <cell r="AD121">
            <v>0.6875</v>
          </cell>
          <cell r="AE121" t="str">
            <v>RESUME LOADING</v>
          </cell>
        </row>
        <row r="122">
          <cell r="F122">
            <v>0.75</v>
          </cell>
          <cell r="G122" t="str">
            <v>CHANGE SHIFT</v>
          </cell>
          <cell r="L122">
            <v>0.6875</v>
          </cell>
          <cell r="M122" t="str">
            <v>RESUME LOADING</v>
          </cell>
          <cell r="R122">
            <v>5.9722222222222225E-2</v>
          </cell>
          <cell r="S122" t="str">
            <v xml:space="preserve">RESUME LOADING </v>
          </cell>
          <cell r="AA122">
            <v>0.8354166666666667</v>
          </cell>
          <cell r="AB122" t="str">
            <v>RESUME LOADING</v>
          </cell>
          <cell r="AD122">
            <v>0.75</v>
          </cell>
          <cell r="AE122" t="str">
            <v>CHANGE SHIFT</v>
          </cell>
        </row>
        <row r="123">
          <cell r="F123">
            <v>0.8125</v>
          </cell>
          <cell r="G123" t="str">
            <v>RESUME LOADING</v>
          </cell>
          <cell r="L123">
            <v>0.70138888888888884</v>
          </cell>
          <cell r="M123" t="str">
            <v>RESUME LOADING</v>
          </cell>
          <cell r="R123">
            <v>8.1250000000000003E-2</v>
          </cell>
          <cell r="S123" t="str">
            <v xml:space="preserve">.CONTINUE LOADING </v>
          </cell>
          <cell r="AA123">
            <v>0.85763888888888884</v>
          </cell>
          <cell r="AB123" t="str">
            <v xml:space="preserve">.ONGOING LOADING </v>
          </cell>
          <cell r="AD123">
            <v>0.82708333333333328</v>
          </cell>
          <cell r="AE123" t="str">
            <v>RESUME LOADING</v>
          </cell>
        </row>
        <row r="124">
          <cell r="F124">
            <v>0.85416666666666663</v>
          </cell>
          <cell r="G124" t="str">
            <v xml:space="preserve">.CONTINUE LOADING </v>
          </cell>
          <cell r="L124">
            <v>0.71458333333333335</v>
          </cell>
          <cell r="M124" t="str">
            <v>VESSEL COMPLETE</v>
          </cell>
          <cell r="R124">
            <v>0.12847222222222221</v>
          </cell>
          <cell r="S124" t="str">
            <v xml:space="preserve">.ONGOING LOADING </v>
          </cell>
          <cell r="AA124">
            <v>0.875</v>
          </cell>
          <cell r="AB124" t="str">
            <v>WAITING MATERIAL</v>
          </cell>
          <cell r="AD124">
            <v>0.84930555555555554</v>
          </cell>
          <cell r="AE124" t="str">
            <v xml:space="preserve">.ONGOING LOADING </v>
          </cell>
        </row>
        <row r="125">
          <cell r="F125">
            <v>0.9375</v>
          </cell>
          <cell r="G125" t="str">
            <v>LOADING COMPLETE</v>
          </cell>
          <cell r="R125">
            <v>0.15277777777777779</v>
          </cell>
          <cell r="S125" t="str">
            <v>WAITING MATERIAL</v>
          </cell>
          <cell r="AA125">
            <v>0.95833333333333337</v>
          </cell>
          <cell r="AB125" t="str">
            <v>STEVEDORES BREAK</v>
          </cell>
          <cell r="AD125">
            <v>0.87361111111111112</v>
          </cell>
          <cell r="AE125" t="str">
            <v xml:space="preserve">.CONTINUE LOADING </v>
          </cell>
        </row>
        <row r="126">
          <cell r="R126">
            <v>0.25</v>
          </cell>
          <cell r="S126" t="str">
            <v>CHANGE SHIFT</v>
          </cell>
          <cell r="AA126">
            <v>3.8194444444444448E-2</v>
          </cell>
          <cell r="AB126" t="str">
            <v>RESUME LOADING</v>
          </cell>
          <cell r="AD126">
            <v>0.89652777777777781</v>
          </cell>
          <cell r="AE126" t="str">
            <v xml:space="preserve">.CONTINUE LOADING </v>
          </cell>
        </row>
        <row r="127">
          <cell r="AD127">
            <v>0.95972222222222225</v>
          </cell>
          <cell r="AE127" t="str">
            <v xml:space="preserve">.CONTINUE LOADING </v>
          </cell>
        </row>
        <row r="128">
          <cell r="AD128">
            <v>0.97916666666666663</v>
          </cell>
          <cell r="AE128" t="str">
            <v xml:space="preserve">.ONGOING LOADING </v>
          </cell>
        </row>
        <row r="129">
          <cell r="AD129">
            <v>0.97916666666666663</v>
          </cell>
          <cell r="AE129" t="str">
            <v>WAITING MATERIAL</v>
          </cell>
        </row>
        <row r="130">
          <cell r="AD130">
            <v>6.25E-2</v>
          </cell>
          <cell r="AE130" t="str">
            <v xml:space="preserve">RESUME LOADING </v>
          </cell>
        </row>
        <row r="131">
          <cell r="AD131">
            <v>8.0555555555555561E-2</v>
          </cell>
          <cell r="AE131" t="str">
            <v xml:space="preserve">.CONTINUE LOADING </v>
          </cell>
        </row>
        <row r="132">
          <cell r="AD132">
            <v>9.3055555555555558E-2</v>
          </cell>
          <cell r="AE132" t="str">
            <v>LOADING COMPELETE</v>
          </cell>
        </row>
        <row r="133">
          <cell r="C133">
            <v>0.25</v>
          </cell>
          <cell r="D133" t="str">
            <v>VACANT</v>
          </cell>
          <cell r="G133" t="str">
            <v>VACANT</v>
          </cell>
          <cell r="J133" t="str">
            <v xml:space="preserve">STAR SOGOD </v>
          </cell>
          <cell r="M133" t="str">
            <v>STAR FREEDOM</v>
          </cell>
          <cell r="P133" t="str">
            <v>QUEEN CAROLYN</v>
          </cell>
          <cell r="S133" t="str">
            <v>LADY OF DIVINE GRACE</v>
          </cell>
          <cell r="V133" t="str">
            <v>EMERALD STAR</v>
          </cell>
          <cell r="Y133" t="str">
            <v>ADOLFO SR</v>
          </cell>
          <cell r="AB133" t="str">
            <v>LADY OF WISDOM</v>
          </cell>
          <cell r="AE133" t="str">
            <v>VACANT</v>
          </cell>
        </row>
        <row r="134">
          <cell r="C134">
            <v>0.75</v>
          </cell>
          <cell r="F134">
            <v>0.75</v>
          </cell>
          <cell r="G134" t="str">
            <v>VACANT</v>
          </cell>
          <cell r="I134">
            <v>0.3125</v>
          </cell>
          <cell r="J134" t="str">
            <v>RESUME LOADING</v>
          </cell>
          <cell r="L134">
            <v>0.25</v>
          </cell>
          <cell r="M134" t="str">
            <v>NEWLY SECURED DOCK</v>
          </cell>
          <cell r="O134">
            <v>0.54166666666666663</v>
          </cell>
          <cell r="P134" t="str">
            <v>NEW VESSEL</v>
          </cell>
          <cell r="R134">
            <v>0.3125</v>
          </cell>
          <cell r="S134" t="str">
            <v>WAITING MATERIAL</v>
          </cell>
          <cell r="U134">
            <v>0.3125</v>
          </cell>
          <cell r="V134" t="str">
            <v>RESUME LOADING</v>
          </cell>
          <cell r="X134">
            <v>0.3125</v>
          </cell>
          <cell r="Y134" t="str">
            <v>RESUME LOADING</v>
          </cell>
          <cell r="AA134">
            <v>0.80555555555555558</v>
          </cell>
          <cell r="AB134" t="str">
            <v>NEWLY SECURED DOCK</v>
          </cell>
          <cell r="AD134">
            <v>0.75</v>
          </cell>
          <cell r="AE134" t="str">
            <v>VACANT</v>
          </cell>
          <cell r="AG134">
            <v>0.75</v>
          </cell>
          <cell r="AH134" t="str">
            <v>VACANTS</v>
          </cell>
        </row>
        <row r="135">
          <cell r="I135">
            <v>0.36388888888888887</v>
          </cell>
          <cell r="J135" t="str">
            <v>CONTINUE LOADING</v>
          </cell>
          <cell r="O135">
            <v>0.8125</v>
          </cell>
          <cell r="P135" t="str">
            <v>KY TOOLBOX</v>
          </cell>
          <cell r="R135">
            <v>0.39583333333333331</v>
          </cell>
          <cell r="S135" t="str">
            <v>RESUME LOADING</v>
          </cell>
          <cell r="U135">
            <v>0.3659722222222222</v>
          </cell>
          <cell r="V135" t="str">
            <v>CONTINUE LOADING</v>
          </cell>
          <cell r="X135">
            <v>0.34722222222222221</v>
          </cell>
          <cell r="Y135" t="str">
            <v>CONTINUE LOADING</v>
          </cell>
        </row>
        <row r="136">
          <cell r="I136">
            <v>0.40972222222222221</v>
          </cell>
          <cell r="J136" t="str">
            <v>CONTINUE LOADING</v>
          </cell>
          <cell r="O136">
            <v>0.85069444444444442</v>
          </cell>
          <cell r="P136" t="str">
            <v>COMMENCE CEMENT LOADING</v>
          </cell>
          <cell r="R136">
            <v>0.39444444444444443</v>
          </cell>
          <cell r="S136" t="str">
            <v>CONTINUE LOADING</v>
          </cell>
          <cell r="U136">
            <v>0.3888888888888889</v>
          </cell>
          <cell r="V136" t="str">
            <v>CONTINUE LOADING</v>
          </cell>
          <cell r="X136">
            <v>0.42916666666666664</v>
          </cell>
          <cell r="Y136" t="str">
            <v xml:space="preserve">.ONGOING LOADING </v>
          </cell>
        </row>
        <row r="137">
          <cell r="I137">
            <v>0.5</v>
          </cell>
          <cell r="J137" t="str">
            <v>LUNCHBREAK</v>
          </cell>
          <cell r="O137">
            <v>0.88680555555555551</v>
          </cell>
          <cell r="P137" t="str">
            <v>CONTINUE LOADING</v>
          </cell>
          <cell r="R137">
            <v>0.45833333333333331</v>
          </cell>
          <cell r="S137" t="str">
            <v>WAITING LAPU LAPU</v>
          </cell>
          <cell r="U137">
            <v>0.40277777777777779</v>
          </cell>
          <cell r="V137" t="str">
            <v>CONTINUE LOADING</v>
          </cell>
          <cell r="X137">
            <v>0.5</v>
          </cell>
          <cell r="Y137" t="str">
            <v>LUNCHBREAK</v>
          </cell>
        </row>
        <row r="138">
          <cell r="I138">
            <v>0.56805555555555554</v>
          </cell>
          <cell r="J138" t="str">
            <v>RESUME LOADING</v>
          </cell>
          <cell r="O138">
            <v>0.91666666666666663</v>
          </cell>
          <cell r="P138" t="str">
            <v>CONTINUE LOADING</v>
          </cell>
          <cell r="R138">
            <v>0.5</v>
          </cell>
          <cell r="S138" t="str">
            <v>LUNCHBREAK</v>
          </cell>
          <cell r="U138">
            <v>0.42638888888888887</v>
          </cell>
          <cell r="V138" t="str">
            <v>CONTINUE LOADING</v>
          </cell>
          <cell r="X138">
            <v>0.5625</v>
          </cell>
          <cell r="Y138" t="str">
            <v>RESUME LOADING</v>
          </cell>
        </row>
        <row r="139">
          <cell r="I139">
            <v>0.60069444444444442</v>
          </cell>
          <cell r="J139" t="str">
            <v xml:space="preserve">.ONGOING LOADING </v>
          </cell>
          <cell r="O139">
            <v>0.96180555555555558</v>
          </cell>
          <cell r="P139" t="str">
            <v>CONTINUE LOADING</v>
          </cell>
          <cell r="R139">
            <v>0.56458333333333333</v>
          </cell>
          <cell r="S139" t="str">
            <v>RESUME LOADING</v>
          </cell>
          <cell r="U139">
            <v>0.43958333333333333</v>
          </cell>
          <cell r="V139" t="str">
            <v>.ONGOING LOADING</v>
          </cell>
          <cell r="X139">
            <v>0.66319444444444442</v>
          </cell>
          <cell r="Y139" t="str">
            <v>.CONTINUE LOADING</v>
          </cell>
        </row>
        <row r="140">
          <cell r="I140">
            <v>0.66041666666666665</v>
          </cell>
          <cell r="J140" t="str">
            <v xml:space="preserve">.CONTINUE LOADING </v>
          </cell>
          <cell r="O140">
            <v>6.9444444444444447E-4</v>
          </cell>
          <cell r="P140" t="str">
            <v>CONTINUE LOADING</v>
          </cell>
          <cell r="R140">
            <v>0.58680555555555558</v>
          </cell>
          <cell r="S140" t="str">
            <v xml:space="preserve">.CONTINUE LOADING </v>
          </cell>
          <cell r="U140">
            <v>0.45416666666666666</v>
          </cell>
          <cell r="V140" t="str">
            <v>.CONTINUE LOADING</v>
          </cell>
          <cell r="X140">
            <v>0.68055555555555558</v>
          </cell>
          <cell r="Y140" t="str">
            <v xml:space="preserve">.ONGOING LOADING </v>
          </cell>
        </row>
        <row r="141">
          <cell r="I141">
            <v>0.70625000000000004</v>
          </cell>
          <cell r="J141" t="str">
            <v xml:space="preserve">.ONGOING LOADING </v>
          </cell>
          <cell r="O141">
            <v>5.5555555555555552E-2</v>
          </cell>
          <cell r="P141" t="str">
            <v>CONTINUE LOADING</v>
          </cell>
          <cell r="R141">
            <v>0.62430555555555556</v>
          </cell>
          <cell r="S141" t="str">
            <v xml:space="preserve">.ONGOING LOADING </v>
          </cell>
          <cell r="U141">
            <v>0.5</v>
          </cell>
          <cell r="V141" t="str">
            <v>LUNCHBREAK</v>
          </cell>
          <cell r="X141">
            <v>0.71875</v>
          </cell>
          <cell r="Y141" t="str">
            <v>.CONTINUE LOADING</v>
          </cell>
        </row>
        <row r="142">
          <cell r="I142">
            <v>0.79166666666666663</v>
          </cell>
          <cell r="J142" t="str">
            <v>KY TOOLBOX</v>
          </cell>
          <cell r="O142">
            <v>8.4027777777777785E-2</v>
          </cell>
          <cell r="P142" t="str">
            <v>CONTINUE LOADING</v>
          </cell>
          <cell r="R142">
            <v>0.65972222222222221</v>
          </cell>
          <cell r="S142" t="str">
            <v xml:space="preserve">.CONTINUE LOADING </v>
          </cell>
          <cell r="U142">
            <v>0.56736111111111109</v>
          </cell>
          <cell r="V142" t="str">
            <v>RESUME LOADING</v>
          </cell>
          <cell r="X142">
            <v>0.79166666666666663</v>
          </cell>
          <cell r="Y142" t="str">
            <v>KY TOOLBOX</v>
          </cell>
        </row>
        <row r="143">
          <cell r="I143">
            <v>0.8125</v>
          </cell>
          <cell r="J143" t="str">
            <v>WAITING DELIVERY MATERIALS</v>
          </cell>
          <cell r="O143">
            <v>0.13263888888888889</v>
          </cell>
          <cell r="P143" t="str">
            <v>CONTINUE LOADING</v>
          </cell>
          <cell r="R143">
            <v>0.68055555555555558</v>
          </cell>
          <cell r="S143" t="str">
            <v xml:space="preserve">.ONGOING LOADING </v>
          </cell>
          <cell r="U143">
            <v>0.58333333333333337</v>
          </cell>
          <cell r="V143" t="str">
            <v xml:space="preserve">STOP LOADING </v>
          </cell>
          <cell r="X143">
            <v>0.8125</v>
          </cell>
          <cell r="Y143" t="str">
            <v>CONTINUE LOADING</v>
          </cell>
        </row>
        <row r="144">
          <cell r="I144">
            <v>0.8354166666666667</v>
          </cell>
          <cell r="J144" t="str">
            <v>WAITING DELIVERY MATERIALS</v>
          </cell>
          <cell r="O144">
            <v>0.1673611111111111</v>
          </cell>
          <cell r="P144" t="str">
            <v xml:space="preserve">WAITING DELIVERY </v>
          </cell>
          <cell r="R144">
            <v>0.7006944444444444</v>
          </cell>
          <cell r="S144" t="str">
            <v xml:space="preserve">.CONTINUE LOADING </v>
          </cell>
          <cell r="U144">
            <v>0.70208333333333328</v>
          </cell>
          <cell r="V144" t="str">
            <v>RESUME LOADING</v>
          </cell>
          <cell r="X144">
            <v>0.86805555555555558</v>
          </cell>
          <cell r="Y144" t="str">
            <v>CONTINUE LOADING</v>
          </cell>
        </row>
        <row r="145">
          <cell r="I145">
            <v>0.89027777777777772</v>
          </cell>
          <cell r="J145" t="str">
            <v>WAITING DELIVERY MATERIALS</v>
          </cell>
          <cell r="O145">
            <v>0.22916666666666666</v>
          </cell>
          <cell r="P145" t="str">
            <v xml:space="preserve">WAITING DELIVERY </v>
          </cell>
          <cell r="R145">
            <v>0.71180555555555558</v>
          </cell>
          <cell r="S145" t="str">
            <v xml:space="preserve">.ONGOING LOADING </v>
          </cell>
          <cell r="U145">
            <v>0.72152777777777777</v>
          </cell>
          <cell r="V145" t="str">
            <v>.CONTINUE LOADING</v>
          </cell>
          <cell r="X145">
            <v>0.875</v>
          </cell>
          <cell r="Y145" t="str">
            <v>WAITING DELIVERY MATERIALS</v>
          </cell>
        </row>
        <row r="146">
          <cell r="I146">
            <v>0.93958333333333333</v>
          </cell>
          <cell r="J146" t="str">
            <v>WAITING DELIVERY MATERIALS</v>
          </cell>
          <cell r="O146">
            <v>0.25</v>
          </cell>
          <cell r="P146" t="str">
            <v>VESSEL BREAK</v>
          </cell>
          <cell r="R146">
            <v>0.72430555555555554</v>
          </cell>
          <cell r="S146" t="str">
            <v>LOADING COMPLETE</v>
          </cell>
          <cell r="U146">
            <v>0.79166666666666663</v>
          </cell>
          <cell r="V146" t="str">
            <v>KY TOOLBOX</v>
          </cell>
          <cell r="X146">
            <v>0.93263888888888891</v>
          </cell>
          <cell r="Y146" t="str">
            <v>CONTINUE LOADING</v>
          </cell>
        </row>
        <row r="147">
          <cell r="I147">
            <v>0.95902777777777781</v>
          </cell>
          <cell r="J147" t="str">
            <v>WAITING DELIVERY MATERIALS</v>
          </cell>
          <cell r="U147">
            <v>0.83125000000000004</v>
          </cell>
          <cell r="V147" t="str">
            <v>CONTINUE LOADING</v>
          </cell>
          <cell r="X147">
            <v>0.96180555555555558</v>
          </cell>
          <cell r="Y147" t="str">
            <v>CONTINUE LOADING</v>
          </cell>
        </row>
        <row r="148">
          <cell r="I148">
            <v>1.5277777777777777E-2</v>
          </cell>
          <cell r="J148" t="str">
            <v>WAITING DELIVERY MATERIALS</v>
          </cell>
          <cell r="U148">
            <v>0.87291666666666667</v>
          </cell>
          <cell r="V148" t="str">
            <v xml:space="preserve">CONTINUE LOADING </v>
          </cell>
          <cell r="X148">
            <v>1.4583333333333334E-2</v>
          </cell>
          <cell r="Y148" t="str">
            <v>CONTINUE LOADING</v>
          </cell>
        </row>
        <row r="149">
          <cell r="I149">
            <v>4.2361111111111113E-2</v>
          </cell>
          <cell r="J149" t="str">
            <v>WAITING DELIVERY MATERIALS</v>
          </cell>
          <cell r="U149">
            <v>0.89930555555555558</v>
          </cell>
          <cell r="V149" t="str">
            <v>CONTINUE LOADING</v>
          </cell>
          <cell r="X149">
            <v>4.3055555555555555E-2</v>
          </cell>
          <cell r="Y149" t="str">
            <v>CONTINUE LOADING</v>
          </cell>
        </row>
        <row r="150">
          <cell r="I150">
            <v>0.10625</v>
          </cell>
          <cell r="J150" t="str">
            <v>WAITING DELIVERY MATERIALS</v>
          </cell>
          <cell r="U150">
            <v>0.92638888888888893</v>
          </cell>
          <cell r="V150" t="str">
            <v>CONTINUE LOADING</v>
          </cell>
          <cell r="X150">
            <v>0.10069444444444445</v>
          </cell>
          <cell r="Y150" t="str">
            <v>CONTINUE LOADING</v>
          </cell>
        </row>
        <row r="151">
          <cell r="I151">
            <v>0.16180555555555556</v>
          </cell>
          <cell r="J151" t="str">
            <v>CONTINUE LOADING</v>
          </cell>
          <cell r="U151">
            <v>0.95972222222222225</v>
          </cell>
          <cell r="V151" t="str">
            <v>CONTINUE LOADING</v>
          </cell>
          <cell r="X151">
            <v>0.13263888888888889</v>
          </cell>
          <cell r="Y151" t="str">
            <v>CONTINUE LOADING</v>
          </cell>
        </row>
        <row r="152">
          <cell r="I152">
            <v>0.18055555555555555</v>
          </cell>
          <cell r="J152" t="str">
            <v>CONTINUE LOADING</v>
          </cell>
          <cell r="U152">
            <v>1.1111111111111112E-2</v>
          </cell>
          <cell r="V152" t="str">
            <v xml:space="preserve">CONTINUE LOADING </v>
          </cell>
          <cell r="X152">
            <v>0.1763888888888889</v>
          </cell>
          <cell r="Y152" t="str">
            <v>CONTINUE LOADING</v>
          </cell>
        </row>
        <row r="153">
          <cell r="I153">
            <v>0.22916666666666666</v>
          </cell>
          <cell r="J153" t="str">
            <v>CONTINUE LOADING</v>
          </cell>
          <cell r="U153">
            <v>4.6527777777777779E-2</v>
          </cell>
          <cell r="V153" t="str">
            <v xml:space="preserve">CONTINUE  LOADING </v>
          </cell>
          <cell r="X153">
            <v>0.22916666666666666</v>
          </cell>
          <cell r="Y153" t="str">
            <v>CONTINUE LOADING</v>
          </cell>
        </row>
        <row r="154">
          <cell r="I154">
            <v>0.25</v>
          </cell>
          <cell r="J154" t="str">
            <v>VESSEL BREAK</v>
          </cell>
          <cell r="U154">
            <v>9.930555555555555E-2</v>
          </cell>
          <cell r="V154" t="str">
            <v>CONTINUE LOADING</v>
          </cell>
          <cell r="X154">
            <v>0.25</v>
          </cell>
          <cell r="Y154" t="str">
            <v>VESSEL BREAK</v>
          </cell>
        </row>
        <row r="155">
          <cell r="U155">
            <v>0.14097222222222222</v>
          </cell>
          <cell r="V155" t="str">
            <v xml:space="preserve">CONTINUE LOADING </v>
          </cell>
        </row>
        <row r="156">
          <cell r="U156">
            <v>0.18194444444444444</v>
          </cell>
          <cell r="V156" t="str">
            <v xml:space="preserve">CONTINUE LOADING </v>
          </cell>
        </row>
        <row r="157">
          <cell r="U157">
            <v>0.22916666666666666</v>
          </cell>
          <cell r="V157" t="str">
            <v xml:space="preserve">CONTINUE LOADING </v>
          </cell>
        </row>
        <row r="158">
          <cell r="U158">
            <v>0.25</v>
          </cell>
          <cell r="V158" t="str">
            <v>VESSEL BREAK</v>
          </cell>
        </row>
        <row r="159">
          <cell r="C159">
            <v>0.29166666666666669</v>
          </cell>
          <cell r="D159" t="str">
            <v>VACANT</v>
          </cell>
          <cell r="F159">
            <v>0.36805555555555558</v>
          </cell>
          <cell r="G159" t="str">
            <v>SALVACION 8</v>
          </cell>
          <cell r="I159">
            <v>0.29166666666666669</v>
          </cell>
          <cell r="J159" t="str">
            <v xml:space="preserve">STAR SOGOD </v>
          </cell>
          <cell r="L159">
            <v>0.29166666666666669</v>
          </cell>
          <cell r="M159" t="str">
            <v>STAR FREEDOM</v>
          </cell>
          <cell r="O159">
            <v>0.29166666666666669</v>
          </cell>
          <cell r="P159" t="str">
            <v>QUEEN CAROLYN</v>
          </cell>
          <cell r="R159">
            <v>0.29166666666666669</v>
          </cell>
          <cell r="S159" t="str">
            <v>VACANT</v>
          </cell>
          <cell r="U159">
            <v>0.47708333333333336</v>
          </cell>
          <cell r="V159" t="str">
            <v>VACANT</v>
          </cell>
          <cell r="X159">
            <v>0.32291666666666669</v>
          </cell>
          <cell r="Y159" t="str">
            <v>ADOLFO SR</v>
          </cell>
          <cell r="AA159">
            <v>0.29166666666666669</v>
          </cell>
          <cell r="AB159" t="str">
            <v>LADY OF WISDOM</v>
          </cell>
          <cell r="AD159">
            <v>0.33333333333333331</v>
          </cell>
          <cell r="AE159" t="str">
            <v>LADY ARMOR</v>
          </cell>
          <cell r="AG159">
            <v>0.29166666666666669</v>
          </cell>
          <cell r="AH159" t="str">
            <v>VACANT</v>
          </cell>
        </row>
        <row r="160">
          <cell r="F160">
            <v>0.45833333333333331</v>
          </cell>
          <cell r="G160" t="str">
            <v>WAITING FOR BOOKING</v>
          </cell>
          <cell r="I160">
            <v>0.33333333333333331</v>
          </cell>
          <cell r="J160" t="str">
            <v>WAITING MATERIAL</v>
          </cell>
          <cell r="L160">
            <v>0.40694444444444444</v>
          </cell>
          <cell r="M160" t="str">
            <v>COMMENCE LOADING</v>
          </cell>
          <cell r="O160">
            <v>0.33333333333333331</v>
          </cell>
          <cell r="P160" t="str">
            <v>WAITING MATERIAL</v>
          </cell>
          <cell r="X160">
            <v>0.34722222222222221</v>
          </cell>
          <cell r="Y160" t="str">
            <v>RESUME LOADING LOOSE BAG</v>
          </cell>
          <cell r="AA160">
            <v>0.33333333333333331</v>
          </cell>
          <cell r="AB160" t="str">
            <v>WAITING MATERIAL</v>
          </cell>
          <cell r="AD160">
            <v>0.45833333333333331</v>
          </cell>
          <cell r="AE160" t="str">
            <v>WAITING FOR BOOKING</v>
          </cell>
        </row>
        <row r="161">
          <cell r="F161">
            <v>0.5</v>
          </cell>
          <cell r="G161" t="str">
            <v>WAITING MATERIAL</v>
          </cell>
          <cell r="I161">
            <v>0.375</v>
          </cell>
          <cell r="J161" t="str">
            <v>WAITING MATERIAL</v>
          </cell>
          <cell r="L161">
            <v>0.42499999999999999</v>
          </cell>
          <cell r="M161" t="str">
            <v>CONTINUE LOADING</v>
          </cell>
          <cell r="O161">
            <v>0.375</v>
          </cell>
          <cell r="P161" t="str">
            <v>WAITING MATERIAL</v>
          </cell>
          <cell r="X161">
            <v>0.42708333333333331</v>
          </cell>
          <cell r="Y161" t="str">
            <v>RESUME LOADING LOOSE BAG</v>
          </cell>
          <cell r="AA161">
            <v>0.375</v>
          </cell>
          <cell r="AB161" t="str">
            <v>WAITING MATERIAL</v>
          </cell>
          <cell r="AD161">
            <v>0.58333333333333337</v>
          </cell>
          <cell r="AE161" t="str">
            <v>VESSEL CRANE UNDER INSPECTION</v>
          </cell>
        </row>
        <row r="162">
          <cell r="F162">
            <v>0.54166666666666663</v>
          </cell>
          <cell r="G162" t="str">
            <v>WAITING MATERIAL</v>
          </cell>
          <cell r="I162">
            <v>0.41666666666666669</v>
          </cell>
          <cell r="J162" t="str">
            <v>WAITING MATERIAL</v>
          </cell>
          <cell r="L162">
            <v>0.44166666666666665</v>
          </cell>
          <cell r="M162" t="str">
            <v>CONTINUE LOADING</v>
          </cell>
          <cell r="O162">
            <v>0.41666666666666669</v>
          </cell>
          <cell r="P162" t="str">
            <v>WAITING MATERIAL</v>
          </cell>
          <cell r="X162">
            <v>0.58125000000000004</v>
          </cell>
          <cell r="Y162" t="str">
            <v>RESUME LOADING LOOSE BAG</v>
          </cell>
          <cell r="AA162">
            <v>0.41666666666666669</v>
          </cell>
          <cell r="AB162" t="str">
            <v>WAITING MATERIAL</v>
          </cell>
          <cell r="AD162">
            <v>0.64583333333333337</v>
          </cell>
          <cell r="AE162" t="str">
            <v>RESUME LOADING</v>
          </cell>
        </row>
        <row r="163">
          <cell r="F163">
            <v>0.79166666666666663</v>
          </cell>
          <cell r="G163" t="str">
            <v>WAITING MATERIAL</v>
          </cell>
          <cell r="I163">
            <v>0.45833333333333331</v>
          </cell>
          <cell r="J163" t="str">
            <v>WAITING MATERIAL</v>
          </cell>
          <cell r="L163">
            <v>0.45833333333333331</v>
          </cell>
          <cell r="M163" t="str">
            <v>WAITING MATERIAL</v>
          </cell>
          <cell r="O163">
            <v>0.45833333333333331</v>
          </cell>
          <cell r="P163" t="str">
            <v>WAITING MATERIAL</v>
          </cell>
          <cell r="X163">
            <v>0.66249999999999998</v>
          </cell>
          <cell r="Y163" t="str">
            <v>CONTINUE LOADING</v>
          </cell>
          <cell r="AA163">
            <v>0.45833333333333331</v>
          </cell>
          <cell r="AB163" t="str">
            <v>WAITING MATERIAL</v>
          </cell>
          <cell r="AD163">
            <v>0.68055555555555558</v>
          </cell>
          <cell r="AE163" t="str">
            <v>CONTINUE LOADING</v>
          </cell>
        </row>
        <row r="164">
          <cell r="F164">
            <v>0.875</v>
          </cell>
          <cell r="G164" t="str">
            <v>WAITING MATERIAL</v>
          </cell>
          <cell r="I164">
            <v>0.5625</v>
          </cell>
          <cell r="J164" t="str">
            <v>RESUME LOADING</v>
          </cell>
          <cell r="L164">
            <v>0.5</v>
          </cell>
          <cell r="M164" t="str">
            <v>TEMP STOP LOADING</v>
          </cell>
          <cell r="O164">
            <v>0.5805555555555556</v>
          </cell>
          <cell r="P164" t="str">
            <v>RESUME LOADING</v>
          </cell>
          <cell r="X164">
            <v>0.6791666666666667</v>
          </cell>
          <cell r="Y164" t="str">
            <v>CONTINUE LOADING</v>
          </cell>
          <cell r="AA164">
            <v>0.5</v>
          </cell>
          <cell r="AB164" t="str">
            <v>WAITING MATERIAL</v>
          </cell>
          <cell r="AD164">
            <v>0.72222222222222221</v>
          </cell>
          <cell r="AE164" t="str">
            <v>VESSEL CLOSE DUE TO RAIN</v>
          </cell>
        </row>
        <row r="165">
          <cell r="F165">
            <v>0.91666666666666663</v>
          </cell>
          <cell r="G165" t="str">
            <v>WAITING MATERIAL</v>
          </cell>
          <cell r="I165">
            <v>0.64375000000000004</v>
          </cell>
          <cell r="J165" t="str">
            <v>CONTINUE LOADING</v>
          </cell>
          <cell r="L165">
            <v>0.57152777777777775</v>
          </cell>
          <cell r="M165" t="str">
            <v>CONTINUE LOADING</v>
          </cell>
          <cell r="O165">
            <v>0.61805555555555558</v>
          </cell>
          <cell r="P165" t="str">
            <v>CONTINUE LOADING</v>
          </cell>
          <cell r="X165">
            <v>0.70416666666666672</v>
          </cell>
          <cell r="Y165" t="str">
            <v>CONTINUE LOADING</v>
          </cell>
          <cell r="AD165">
            <v>0.75</v>
          </cell>
          <cell r="AE165" t="str">
            <v>RAIN</v>
          </cell>
        </row>
        <row r="166">
          <cell r="F166">
            <v>0.95833333333333337</v>
          </cell>
          <cell r="G166" t="str">
            <v>WAITING MATERIAL</v>
          </cell>
          <cell r="I166">
            <v>0.67986111111111114</v>
          </cell>
          <cell r="J166" t="str">
            <v>CONTINUE LOADING</v>
          </cell>
          <cell r="L166">
            <v>0.5805555555555556</v>
          </cell>
          <cell r="M166" t="str">
            <v>RESUME LOADING</v>
          </cell>
          <cell r="O166">
            <v>0.6791666666666667</v>
          </cell>
          <cell r="P166" t="str">
            <v>CONTINUE LOADING</v>
          </cell>
          <cell r="X166">
            <v>0.72222222222222221</v>
          </cell>
          <cell r="Y166" t="str">
            <v>VESSEL CLOSE DUE TO RAIN</v>
          </cell>
          <cell r="AA166">
            <v>0.54166666666666663</v>
          </cell>
          <cell r="AB166" t="str">
            <v>WAITING MATERIAL</v>
          </cell>
          <cell r="AD166">
            <v>0.79166666666666663</v>
          </cell>
          <cell r="AE166" t="str">
            <v>RAIN</v>
          </cell>
        </row>
        <row r="167">
          <cell r="F167">
            <v>0</v>
          </cell>
          <cell r="G167" t="str">
            <v>WAITING MATERIAL/RAIN</v>
          </cell>
          <cell r="I167">
            <v>0.72222222222222221</v>
          </cell>
          <cell r="J167" t="str">
            <v>VESSEL CLOSE DUE TO RAIN</v>
          </cell>
          <cell r="L167">
            <v>0.60624999999999996</v>
          </cell>
          <cell r="M167" t="str">
            <v>CONTINUE LOADING</v>
          </cell>
          <cell r="O167">
            <v>0.7055555555555556</v>
          </cell>
          <cell r="P167" t="str">
            <v>CONTINUE LOADING</v>
          </cell>
          <cell r="X167">
            <v>0.8125</v>
          </cell>
          <cell r="Y167" t="str">
            <v>VESSEL CLOSE DUE TO RAIN</v>
          </cell>
          <cell r="AA167">
            <v>0.8125</v>
          </cell>
          <cell r="AB167" t="str">
            <v>VESSEL CLOSE DUE TO RAIN</v>
          </cell>
          <cell r="AD167">
            <v>0.8125</v>
          </cell>
          <cell r="AE167" t="str">
            <v>VESSEL CLOSE DUE TO RAIN</v>
          </cell>
        </row>
        <row r="168">
          <cell r="F168">
            <v>4.1666666666666664E-2</v>
          </cell>
          <cell r="G168" t="str">
            <v>WAITING MATERIAL/RAIN</v>
          </cell>
          <cell r="I168">
            <v>0.8125</v>
          </cell>
          <cell r="J168" t="str">
            <v>VESSEL CLOSE DUE TO RAIN</v>
          </cell>
          <cell r="L168">
            <v>0.64861111111111114</v>
          </cell>
          <cell r="M168" t="str">
            <v>CONTINUE LOADING</v>
          </cell>
          <cell r="O168">
            <v>0.72222222222222221</v>
          </cell>
          <cell r="P168" t="str">
            <v>VESSEL CLOSE DUE TO RAIN</v>
          </cell>
          <cell r="X168">
            <v>0.86041666666666672</v>
          </cell>
          <cell r="Y168" t="str">
            <v>RESUME LOADING OPEN TYPE</v>
          </cell>
          <cell r="AA168">
            <v>0.875</v>
          </cell>
          <cell r="AB168" t="str">
            <v>WAITING MATERIAL</v>
          </cell>
          <cell r="AD168">
            <v>0.875</v>
          </cell>
          <cell r="AE168" t="str">
            <v>VESSEL CLOSED REFUSED TO OPEN</v>
          </cell>
        </row>
        <row r="169">
          <cell r="F169">
            <v>8.3333333333333329E-2</v>
          </cell>
          <cell r="G169" t="str">
            <v>WAITING MATERIAL/RAIN</v>
          </cell>
          <cell r="I169">
            <v>0.86458333333333337</v>
          </cell>
          <cell r="J169" t="str">
            <v>RESUME LOADING</v>
          </cell>
          <cell r="L169">
            <v>0.67361111111111116</v>
          </cell>
          <cell r="M169" t="str">
            <v>CONTINUE LOADING</v>
          </cell>
          <cell r="O169">
            <v>0.8125</v>
          </cell>
          <cell r="P169" t="str">
            <v>VESSEL CLOSE DUE TO RAIN</v>
          </cell>
          <cell r="X169">
            <v>0.87847222222222221</v>
          </cell>
          <cell r="Y169" t="str">
            <v>CONTINUE LOADING</v>
          </cell>
          <cell r="AA169">
            <v>0.91666666666666663</v>
          </cell>
          <cell r="AB169" t="str">
            <v>WAITING MATERIAL</v>
          </cell>
          <cell r="AD169">
            <v>0.91666666666666663</v>
          </cell>
          <cell r="AE169" t="str">
            <v>VESSEL CLOSED REFUSED TO OPEN</v>
          </cell>
        </row>
        <row r="170">
          <cell r="F170">
            <v>0.125</v>
          </cell>
          <cell r="G170" t="str">
            <v>WAITING MATERIAL/RAIN</v>
          </cell>
          <cell r="I170">
            <v>0.88402777777777775</v>
          </cell>
          <cell r="J170" t="str">
            <v>CONTINUE LOADING</v>
          </cell>
          <cell r="L170">
            <v>0.68611111111111112</v>
          </cell>
          <cell r="M170" t="str">
            <v>CONTINUE LOADING</v>
          </cell>
          <cell r="O170">
            <v>0.88472222222222219</v>
          </cell>
          <cell r="P170" t="str">
            <v>RESUME LOADING POUCH TYPE</v>
          </cell>
          <cell r="X170">
            <v>0.90069444444444446</v>
          </cell>
          <cell r="Y170" t="str">
            <v>CONTINUE LOADING</v>
          </cell>
          <cell r="AA170">
            <v>0.95833333333333337</v>
          </cell>
          <cell r="AB170" t="str">
            <v>WAITING MATERIAL</v>
          </cell>
          <cell r="AD170">
            <v>0.95833333333333337</v>
          </cell>
          <cell r="AE170" t="str">
            <v>VESSEL CLOSED REFUSED TO OPEN</v>
          </cell>
        </row>
        <row r="171">
          <cell r="F171">
            <v>0.16666666666666666</v>
          </cell>
          <cell r="G171" t="str">
            <v>WAITING MATERIAL/RAIN</v>
          </cell>
          <cell r="I171">
            <v>0.88888888888888884</v>
          </cell>
          <cell r="J171" t="str">
            <v>VESSEL COMPLETE</v>
          </cell>
          <cell r="L171">
            <v>0.70138888888888884</v>
          </cell>
          <cell r="M171" t="str">
            <v>CONTINUE LOADING</v>
          </cell>
          <cell r="O171">
            <v>0.93125000000000002</v>
          </cell>
          <cell r="P171" t="str">
            <v>CONTINUE LOADING</v>
          </cell>
          <cell r="X171">
            <v>0.92500000000000004</v>
          </cell>
          <cell r="Y171" t="str">
            <v>CONTINUE LOADING</v>
          </cell>
          <cell r="AA171">
            <v>0</v>
          </cell>
          <cell r="AB171" t="str">
            <v>WAITING MATERIAL</v>
          </cell>
          <cell r="AD171">
            <v>4.1666666666666664E-2</v>
          </cell>
          <cell r="AE171" t="str">
            <v>VESSEL CLOSED DUE TO BADWEATHER</v>
          </cell>
        </row>
        <row r="172">
          <cell r="F172">
            <v>0.20833333333333334</v>
          </cell>
          <cell r="G172" t="str">
            <v>WAITING MATERIAL/RAIN</v>
          </cell>
          <cell r="L172">
            <v>0.71388888888888891</v>
          </cell>
          <cell r="M172" t="str">
            <v>CONTINUE LOADING</v>
          </cell>
          <cell r="O172">
            <v>0.95833333333333337</v>
          </cell>
          <cell r="P172" t="str">
            <v>WAITING MATERIAL</v>
          </cell>
          <cell r="X172">
            <v>0.93680555555555556</v>
          </cell>
          <cell r="Y172" t="str">
            <v>CONTINUE LOADING</v>
          </cell>
          <cell r="AA172">
            <v>4.1666666666666664E-2</v>
          </cell>
          <cell r="AB172" t="str">
            <v>WAITING MATERIAL</v>
          </cell>
          <cell r="AD172">
            <v>0.125</v>
          </cell>
          <cell r="AE172" t="str">
            <v>VESSEL CLOSED DUE TO BADWEATHER</v>
          </cell>
        </row>
        <row r="173">
          <cell r="F173">
            <v>0.25</v>
          </cell>
          <cell r="G173" t="str">
            <v>WAITING MATERIAL/RAIN</v>
          </cell>
          <cell r="L173">
            <v>0.72222222222222221</v>
          </cell>
          <cell r="M173" t="str">
            <v>VESSEL CLOSE DUE TO RAIN</v>
          </cell>
          <cell r="O173">
            <v>0</v>
          </cell>
          <cell r="P173" t="str">
            <v>STEVEDORE BREAKTIME</v>
          </cell>
          <cell r="X173">
            <v>0.95347222222222228</v>
          </cell>
          <cell r="Y173" t="str">
            <v>CONTINUE LOADING</v>
          </cell>
          <cell r="AA173">
            <v>0.125</v>
          </cell>
          <cell r="AB173" t="str">
            <v>WAITING MATERIAL</v>
          </cell>
          <cell r="AD173">
            <v>0.16666666666666666</v>
          </cell>
          <cell r="AE173" t="str">
            <v>VESSEL CLOSED DUE TO BADWEATHER</v>
          </cell>
        </row>
        <row r="174">
          <cell r="F174">
            <v>0.29166666666666669</v>
          </cell>
          <cell r="G174" t="str">
            <v>WAITING MATERIAL/RAIN</v>
          </cell>
          <cell r="L174">
            <v>0.8125</v>
          </cell>
          <cell r="M174" t="str">
            <v>VESSEL CLOSE DUE TO RAIN</v>
          </cell>
          <cell r="O174">
            <v>6.9444444444444441E-3</v>
          </cell>
          <cell r="P174" t="str">
            <v xml:space="preserve">WAITING DELIVERY </v>
          </cell>
          <cell r="X174">
            <v>0.96388888888888891</v>
          </cell>
          <cell r="Y174" t="str">
            <v>VESSEL COMPLETE</v>
          </cell>
          <cell r="AA174">
            <v>0.16666666666666666</v>
          </cell>
          <cell r="AB174" t="str">
            <v>WAITING MATERIAL/ CLOSED DUE TO BADWEATHER</v>
          </cell>
          <cell r="AD174">
            <v>0.20833333333333334</v>
          </cell>
          <cell r="AE174" t="str">
            <v>VESSEL CLOSED DUE TO BADWEATHER</v>
          </cell>
        </row>
        <row r="175">
          <cell r="L175">
            <v>0.85277777777777775</v>
          </cell>
          <cell r="M175" t="str">
            <v>RESUME LOADING</v>
          </cell>
          <cell r="O175">
            <v>0.125</v>
          </cell>
          <cell r="P175" t="str">
            <v>VESSEL CLOSED DUE TO BADWEATHER</v>
          </cell>
          <cell r="AA175">
            <v>0.20833333333333334</v>
          </cell>
          <cell r="AB175" t="str">
            <v>WAITING MATERIAL/ CLOSED DUE TO BADWEATHER</v>
          </cell>
          <cell r="AD175">
            <v>0.25</v>
          </cell>
          <cell r="AE175" t="str">
            <v>RAIN</v>
          </cell>
        </row>
        <row r="176">
          <cell r="L176">
            <v>0.90625</v>
          </cell>
          <cell r="M176" t="str">
            <v>CONTINUE LOADING</v>
          </cell>
          <cell r="O176">
            <v>0.16666666666666666</v>
          </cell>
          <cell r="P176" t="str">
            <v>VESSEL CLOSED DUE TO BADWEATHER</v>
          </cell>
          <cell r="AA176">
            <v>0.25</v>
          </cell>
          <cell r="AB176" t="str">
            <v>WAITING MATERIAL/RAIN</v>
          </cell>
          <cell r="AD176">
            <v>0.29166666666666669</v>
          </cell>
          <cell r="AE176" t="str">
            <v>RAIN</v>
          </cell>
        </row>
        <row r="177">
          <cell r="L177">
            <v>0.91666666666666663</v>
          </cell>
          <cell r="M177" t="str">
            <v>VESSEL CLOSED DUE TO BADWEATHER</v>
          </cell>
          <cell r="O177">
            <v>0.20833333333333334</v>
          </cell>
          <cell r="P177" t="str">
            <v>VESSEL CLOSED DUE TO BADWEATHER</v>
          </cell>
          <cell r="AA177">
            <v>0.29166666666666669</v>
          </cell>
          <cell r="AB177" t="str">
            <v>WAITNG MATERIAL.RAIN</v>
          </cell>
        </row>
        <row r="178">
          <cell r="L178">
            <v>0.95833333333333337</v>
          </cell>
          <cell r="M178" t="str">
            <v>RESUME LOADING/ ONBOARD FORKLIFT</v>
          </cell>
          <cell r="O178">
            <v>0.25</v>
          </cell>
          <cell r="P178" t="str">
            <v>VESSEL CLOSE DUE RAIN</v>
          </cell>
        </row>
        <row r="179">
          <cell r="L179">
            <v>6.9444444444444441E-3</v>
          </cell>
          <cell r="M179" t="str">
            <v>VESSEL CLOSED DUE TO BADWEATHER</v>
          </cell>
          <cell r="O179">
            <v>0.29166666666666669</v>
          </cell>
          <cell r="P179" t="str">
            <v>RAIN</v>
          </cell>
        </row>
        <row r="180">
          <cell r="L180">
            <v>4.1666666666666664E-2</v>
          </cell>
          <cell r="M180" t="str">
            <v>VESSEL CLOSED DUE TO BADWEATHER</v>
          </cell>
        </row>
        <row r="181">
          <cell r="L181">
            <v>0.125</v>
          </cell>
          <cell r="M181" t="str">
            <v>VESSEL CLOSED DUE TO BADWEATHER</v>
          </cell>
        </row>
        <row r="182">
          <cell r="L182">
            <v>0.16666666666666666</v>
          </cell>
          <cell r="M182" t="str">
            <v>VESSEL CLOSED DUE TO BADWEATHER</v>
          </cell>
        </row>
        <row r="183">
          <cell r="L183">
            <v>0.20833333333333334</v>
          </cell>
          <cell r="M183" t="str">
            <v>VESSEL CLOSED DUE TO BADWEATHER</v>
          </cell>
        </row>
        <row r="184">
          <cell r="L184">
            <v>0.25</v>
          </cell>
          <cell r="M184" t="str">
            <v>VESSEL CLOSE DUE TO RAIN</v>
          </cell>
        </row>
        <row r="185">
          <cell r="L185">
            <v>0.29166666666666669</v>
          </cell>
          <cell r="M185" t="str">
            <v>VESSEL CLOSE DUE TO RAIN</v>
          </cell>
        </row>
        <row r="186">
          <cell r="D186" t="str">
            <v>EFG  8</v>
          </cell>
          <cell r="G186" t="str">
            <v>SALVACION 8</v>
          </cell>
          <cell r="J186" t="str">
            <v>VACANT</v>
          </cell>
          <cell r="M186" t="str">
            <v>STAR FREEDOM</v>
          </cell>
          <cell r="P186" t="str">
            <v>QUEEN CAROLYN</v>
          </cell>
          <cell r="S186" t="str">
            <v>VACANT</v>
          </cell>
          <cell r="V186" t="str">
            <v>LADY OF REMEDY</v>
          </cell>
          <cell r="Y186" t="str">
            <v>ADOLFO SR</v>
          </cell>
          <cell r="AB186" t="str">
            <v>LADY OF WISDOM</v>
          </cell>
          <cell r="AE186" t="str">
            <v>LADY ARMOR</v>
          </cell>
          <cell r="AH186" t="str">
            <v>VACANT</v>
          </cell>
        </row>
        <row r="187">
          <cell r="C187">
            <v>0.39930555555555558</v>
          </cell>
          <cell r="D187" t="str">
            <v>NEW DOCKING VESEL</v>
          </cell>
          <cell r="F187">
            <v>0.29166666666666669</v>
          </cell>
          <cell r="G187" t="str">
            <v>WAITING MATERIAL</v>
          </cell>
          <cell r="J187" t="str">
            <v>NO ASSIGN VESSEL</v>
          </cell>
          <cell r="L187">
            <v>0.29166666666666669</v>
          </cell>
          <cell r="M187" t="str">
            <v>VESSEL STILL CLOSE DUE TO RAIN</v>
          </cell>
          <cell r="O187">
            <v>0.29166666666666669</v>
          </cell>
          <cell r="P187" t="str">
            <v>WAITING MATERIAL</v>
          </cell>
          <cell r="R187">
            <v>0.29166666666666669</v>
          </cell>
          <cell r="S187" t="str">
            <v>NO ASSIGN VESSEL</v>
          </cell>
          <cell r="V187" t="str">
            <v>NEW DOCKING VESSEL</v>
          </cell>
          <cell r="Y187" t="str">
            <v>NO ASSIGN VESSEL</v>
          </cell>
          <cell r="AA187">
            <v>0.29166666666666669</v>
          </cell>
          <cell r="AB187" t="str">
            <v>WAITING MATERIAL</v>
          </cell>
          <cell r="AD187">
            <v>0.29166666666666669</v>
          </cell>
          <cell r="AE187" t="str">
            <v>VESSEL CLOSE DUE TO RAIN</v>
          </cell>
          <cell r="AG187">
            <v>0.29166666666666669</v>
          </cell>
          <cell r="AH187" t="str">
            <v>NO ASSIGN VESSEL</v>
          </cell>
        </row>
        <row r="188">
          <cell r="F188">
            <v>0.33333333333333331</v>
          </cell>
          <cell r="G188" t="str">
            <v>WAITING MATERIAL</v>
          </cell>
          <cell r="L188">
            <v>0.33333333333333331</v>
          </cell>
          <cell r="M188" t="str">
            <v>STOP RAIN VESSEL START OPEN</v>
          </cell>
          <cell r="AD188">
            <v>0.33333333333333331</v>
          </cell>
          <cell r="AE188" t="str">
            <v xml:space="preserve">VESSEL START OPEN </v>
          </cell>
        </row>
        <row r="189">
          <cell r="F189">
            <v>0.375</v>
          </cell>
          <cell r="G189" t="str">
            <v>WAITING MATERIAL</v>
          </cell>
          <cell r="L189">
            <v>0.34375</v>
          </cell>
          <cell r="M189" t="str">
            <v>CONDUCT KY</v>
          </cell>
          <cell r="AD189">
            <v>0.36458333333333331</v>
          </cell>
          <cell r="AE189" t="str">
            <v>CONDUCT KY</v>
          </cell>
        </row>
        <row r="190">
          <cell r="F190">
            <v>0.41666666666666669</v>
          </cell>
          <cell r="G190" t="str">
            <v>WAITING MATERIAL</v>
          </cell>
          <cell r="L190">
            <v>0.36388888888888887</v>
          </cell>
          <cell r="M190" t="str">
            <v xml:space="preserve">RESUME LOADING </v>
          </cell>
          <cell r="AD190">
            <v>0.37152777777777779</v>
          </cell>
          <cell r="AE190" t="str">
            <v>RESUME LOADING</v>
          </cell>
        </row>
        <row r="191">
          <cell r="F191">
            <v>0.45833333333333331</v>
          </cell>
          <cell r="G191" t="str">
            <v>WAITING MATERIAL</v>
          </cell>
          <cell r="L191">
            <v>0.37361111111111112</v>
          </cell>
          <cell r="M191" t="str">
            <v>CONTINUE LOADING</v>
          </cell>
          <cell r="AD191">
            <v>0.3923611111111111</v>
          </cell>
          <cell r="AE191" t="str">
            <v>CONTINUE LOADING</v>
          </cell>
        </row>
        <row r="192">
          <cell r="F192">
            <v>0.5</v>
          </cell>
          <cell r="G192" t="str">
            <v>WAITING MATERIAL</v>
          </cell>
          <cell r="L192">
            <v>0.4</v>
          </cell>
          <cell r="M192" t="str">
            <v>CONTINUE LOADING</v>
          </cell>
          <cell r="AD192">
            <v>0.40625</v>
          </cell>
          <cell r="AE192" t="str">
            <v>CONTINUE LOADING</v>
          </cell>
        </row>
        <row r="193">
          <cell r="F193">
            <v>0.54166666666666663</v>
          </cell>
          <cell r="G193" t="str">
            <v>WAITING MATERIAL</v>
          </cell>
          <cell r="L193">
            <v>0.40902777777777777</v>
          </cell>
          <cell r="M193" t="str">
            <v>CONTINUE LOADING</v>
          </cell>
          <cell r="AD193">
            <v>0.44444444444444442</v>
          </cell>
          <cell r="AE193" t="str">
            <v>CONTINUE LOADING</v>
          </cell>
        </row>
        <row r="194">
          <cell r="F194">
            <v>0.58333333333333337</v>
          </cell>
          <cell r="G194" t="str">
            <v>WAITING MATERIAL</v>
          </cell>
          <cell r="L194">
            <v>0.42291666666666666</v>
          </cell>
          <cell r="M194" t="str">
            <v>CONTINUE LOADING</v>
          </cell>
          <cell r="AD194">
            <v>0.46527777777777779</v>
          </cell>
          <cell r="AE194" t="str">
            <v>CONTINUE LOADING</v>
          </cell>
        </row>
        <row r="195">
          <cell r="F195">
            <v>0.625</v>
          </cell>
          <cell r="G195" t="str">
            <v>WAITING MATERIAL</v>
          </cell>
          <cell r="L195">
            <v>0.45</v>
          </cell>
          <cell r="M195" t="str">
            <v>CONTINUE LOADING</v>
          </cell>
          <cell r="AD195">
            <v>0.5</v>
          </cell>
          <cell r="AE195" t="str">
            <v>LUNCH</v>
          </cell>
        </row>
        <row r="196">
          <cell r="F196">
            <v>0.66666666666666663</v>
          </cell>
          <cell r="G196" t="str">
            <v>WAITING MATERIAL</v>
          </cell>
          <cell r="L196">
            <v>0.46319444444444446</v>
          </cell>
          <cell r="M196" t="str">
            <v>CONTINUE LOADING</v>
          </cell>
          <cell r="AD196">
            <v>0.54166666666666663</v>
          </cell>
          <cell r="AE196" t="str">
            <v>NO SHORECRANE OPERATOR</v>
          </cell>
        </row>
        <row r="197">
          <cell r="L197">
            <v>0.47152777777777777</v>
          </cell>
          <cell r="M197" t="str">
            <v>CONTINUE LOADING</v>
          </cell>
          <cell r="AD197">
            <v>0.58333333333333337</v>
          </cell>
          <cell r="AE197" t="str">
            <v>NO SHORECRANE OPERATOR</v>
          </cell>
        </row>
        <row r="198">
          <cell r="L198">
            <v>0.4777777777777778</v>
          </cell>
          <cell r="M198" t="str">
            <v>CONTINUE LOADING</v>
          </cell>
          <cell r="AD198">
            <v>0.61111111111111116</v>
          </cell>
          <cell r="AE198" t="str">
            <v>RESUME LOADING SLING</v>
          </cell>
        </row>
        <row r="199">
          <cell r="L199">
            <v>0.48888888888888887</v>
          </cell>
          <cell r="M199" t="str">
            <v>CONTINUE LOADING</v>
          </cell>
          <cell r="AD199">
            <v>0.61805555555555558</v>
          </cell>
          <cell r="AE199" t="str">
            <v>CONTINUE LOADING TONNER</v>
          </cell>
        </row>
        <row r="200">
          <cell r="L200">
            <v>0.5</v>
          </cell>
          <cell r="M200" t="str">
            <v>VESSEL COMPLETE LOAD</v>
          </cell>
          <cell r="AD200">
            <v>0.625</v>
          </cell>
          <cell r="AE200" t="str">
            <v>CONTINUE LOADING</v>
          </cell>
        </row>
        <row r="201">
          <cell r="AD201">
            <v>0.65277777777777779</v>
          </cell>
          <cell r="AE201" t="str">
            <v>CONTINUE LOADING BB</v>
          </cell>
        </row>
        <row r="202">
          <cell r="AD202">
            <v>0.66666666666666663</v>
          </cell>
          <cell r="AE202" t="str">
            <v>CONTINUE LOADING BB</v>
          </cell>
        </row>
        <row r="203">
          <cell r="AD203">
            <v>0.67708333333333337</v>
          </cell>
          <cell r="AE203" t="str">
            <v>CONTINUE LOADING BB</v>
          </cell>
        </row>
        <row r="204">
          <cell r="AD204">
            <v>0.69166666666666665</v>
          </cell>
          <cell r="AE204" t="str">
            <v>CONTINUE LOADING BB</v>
          </cell>
        </row>
        <row r="205">
          <cell r="AD205">
            <v>0.71527777777777779</v>
          </cell>
          <cell r="AE205" t="str">
            <v>CONTINUE LOADING BB</v>
          </cell>
        </row>
        <row r="206">
          <cell r="AD206">
            <v>0.73124999999999996</v>
          </cell>
          <cell r="AE206" t="str">
            <v>CONTINUE LOADING BB</v>
          </cell>
        </row>
        <row r="207">
          <cell r="AD207">
            <v>0.73819444444444449</v>
          </cell>
          <cell r="AE207" t="str">
            <v>CONTINUE LOADING BB</v>
          </cell>
        </row>
        <row r="208">
          <cell r="AD208">
            <v>0.74305555555555558</v>
          </cell>
          <cell r="AE208" t="str">
            <v>LAST DR2 LOAD</v>
          </cell>
        </row>
        <row r="209">
          <cell r="D209" t="str">
            <v>EFG  8</v>
          </cell>
          <cell r="G209" t="str">
            <v>SALVACION 8</v>
          </cell>
          <cell r="J209" t="str">
            <v>AGRO MARINE 1</v>
          </cell>
          <cell r="M209" t="str">
            <v>CESAR ESTER</v>
          </cell>
          <cell r="P209" t="str">
            <v>QUEEN CAROLYN</v>
          </cell>
          <cell r="S209" t="str">
            <v>VACANT</v>
          </cell>
          <cell r="V209" t="str">
            <v>LADY OF PEACE</v>
          </cell>
          <cell r="Y209" t="str">
            <v>LADY OF REMEDY</v>
          </cell>
          <cell r="AB209" t="str">
            <v>LADY OF WISDOM</v>
          </cell>
          <cell r="AE209" t="str">
            <v>LADY ARMOR</v>
          </cell>
          <cell r="AH209" t="str">
            <v>VACANT</v>
          </cell>
        </row>
        <row r="210">
          <cell r="C210">
            <v>0.29166666666666669</v>
          </cell>
          <cell r="D210" t="str">
            <v>WAITING MATERIAL</v>
          </cell>
          <cell r="F210">
            <v>0.29166666666666669</v>
          </cell>
          <cell r="G210" t="str">
            <v>WAITING MATERIAL</v>
          </cell>
          <cell r="I210">
            <v>0.29166666666666669</v>
          </cell>
          <cell r="J210" t="str">
            <v>NO ASSIGN VESSEL</v>
          </cell>
          <cell r="L210">
            <v>0.3611111111111111</v>
          </cell>
          <cell r="M210" t="str">
            <v>NO ASSIGN VESSEL</v>
          </cell>
          <cell r="O210">
            <v>0.29166666666666669</v>
          </cell>
          <cell r="P210" t="str">
            <v>WAITING MATERIAL</v>
          </cell>
          <cell r="R210" t="str">
            <v xml:space="preserve"> </v>
          </cell>
          <cell r="S210" t="str">
            <v xml:space="preserve"> </v>
          </cell>
          <cell r="U210">
            <v>0.79166666666666663</v>
          </cell>
          <cell r="V210" t="str">
            <v>NO BOOKING</v>
          </cell>
          <cell r="X210">
            <v>0.29166666666666669</v>
          </cell>
          <cell r="Y210" t="str">
            <v>WAITING MATERIAL</v>
          </cell>
          <cell r="AA210">
            <v>0.29166666666666669</v>
          </cell>
          <cell r="AB210" t="str">
            <v>WAITING MATERIAL</v>
          </cell>
          <cell r="AD210">
            <v>0.29166666666666669</v>
          </cell>
          <cell r="AE210" t="str">
            <v>WAITING MATERIAL</v>
          </cell>
          <cell r="AG210" t="str">
            <v xml:space="preserve"> </v>
          </cell>
          <cell r="AH210" t="str">
            <v xml:space="preserve"> </v>
          </cell>
        </row>
        <row r="211">
          <cell r="C211">
            <v>0.33333333333333331</v>
          </cell>
          <cell r="D211" t="str">
            <v>WAITING MATERIAL</v>
          </cell>
          <cell r="F211">
            <v>0.33333333333333331</v>
          </cell>
          <cell r="G211" t="str">
            <v>WAITING MATERIAL</v>
          </cell>
          <cell r="I211">
            <v>0.33333333333333331</v>
          </cell>
          <cell r="J211" t="str">
            <v>NO ASSIGN VESSEL</v>
          </cell>
          <cell r="L211">
            <v>0.375</v>
          </cell>
          <cell r="M211" t="str">
            <v>NO ASSIGN VESSEL</v>
          </cell>
          <cell r="O211">
            <v>0.40833333333333333</v>
          </cell>
          <cell r="P211" t="str">
            <v xml:space="preserve">RESUME LOADING SLING </v>
          </cell>
          <cell r="R211" t="str">
            <v xml:space="preserve"> </v>
          </cell>
          <cell r="S211" t="str">
            <v xml:space="preserve"> </v>
          </cell>
          <cell r="X211">
            <v>0.33333333333333331</v>
          </cell>
          <cell r="Y211" t="str">
            <v>WAITING MATERIAL</v>
          </cell>
          <cell r="AA211">
            <v>0.33333333333333331</v>
          </cell>
          <cell r="AB211" t="str">
            <v>WAITING MATERIAL</v>
          </cell>
          <cell r="AD211">
            <v>0.33333333333333331</v>
          </cell>
          <cell r="AE211" t="str">
            <v>WAITING MATERIAL</v>
          </cell>
          <cell r="AG211" t="str">
            <v xml:space="preserve"> </v>
          </cell>
          <cell r="AH211" t="str">
            <v xml:space="preserve"> </v>
          </cell>
        </row>
        <row r="212">
          <cell r="C212">
            <v>0.375</v>
          </cell>
          <cell r="D212" t="str">
            <v>WAITING MATERIAL</v>
          </cell>
          <cell r="F212">
            <v>0.375</v>
          </cell>
          <cell r="G212" t="str">
            <v>WAITING MATERIAL</v>
          </cell>
          <cell r="I212">
            <v>0.375</v>
          </cell>
          <cell r="J212" t="str">
            <v>NO ASSIGN VESSEL</v>
          </cell>
          <cell r="L212">
            <v>0.41666666666666669</v>
          </cell>
          <cell r="M212" t="str">
            <v>NO ASSIGN VESSEL</v>
          </cell>
          <cell r="O212">
            <v>0.45624999999999999</v>
          </cell>
          <cell r="P212" t="str">
            <v>CONTINUE LOADING SLING</v>
          </cell>
          <cell r="R212" t="str">
            <v xml:space="preserve"> </v>
          </cell>
          <cell r="S212" t="str">
            <v xml:space="preserve"> </v>
          </cell>
          <cell r="X212">
            <v>0.375</v>
          </cell>
          <cell r="Y212" t="str">
            <v>WAITING MATERIAL</v>
          </cell>
          <cell r="AA212">
            <v>0.375</v>
          </cell>
          <cell r="AB212" t="str">
            <v>WAITING MATERIAL</v>
          </cell>
          <cell r="AD212">
            <v>0.375</v>
          </cell>
          <cell r="AE212" t="str">
            <v>WAITING MATERIAL</v>
          </cell>
          <cell r="AG212" t="str">
            <v xml:space="preserve"> </v>
          </cell>
          <cell r="AH212" t="str">
            <v xml:space="preserve"> </v>
          </cell>
        </row>
        <row r="213">
          <cell r="C213">
            <v>0.41666666666666669</v>
          </cell>
          <cell r="D213" t="str">
            <v>WAITING MATERIAL</v>
          </cell>
          <cell r="F213">
            <v>0.41666666666666669</v>
          </cell>
          <cell r="G213" t="str">
            <v>WAITING MATERIAL</v>
          </cell>
          <cell r="I213">
            <v>0.41666666666666669</v>
          </cell>
          <cell r="J213" t="str">
            <v>NO ASSIGN VESSEL</v>
          </cell>
          <cell r="L213">
            <v>0.45833333333333331</v>
          </cell>
          <cell r="M213" t="str">
            <v>NEW DOCKING VESSEL</v>
          </cell>
          <cell r="O213">
            <v>0.5</v>
          </cell>
          <cell r="P213" t="str">
            <v>LUNCH</v>
          </cell>
          <cell r="R213" t="str">
            <v xml:space="preserve"> </v>
          </cell>
          <cell r="S213" t="str">
            <v xml:space="preserve"> </v>
          </cell>
          <cell r="X213">
            <v>0.41666666666666669</v>
          </cell>
          <cell r="Y213" t="str">
            <v>WAITING MATERIAL</v>
          </cell>
          <cell r="AA213">
            <v>0.41666666666666669</v>
          </cell>
          <cell r="AB213" t="str">
            <v>WAITING MATERIAL</v>
          </cell>
          <cell r="AD213">
            <v>0.41666666666666669</v>
          </cell>
          <cell r="AE213" t="str">
            <v>WAITING MATERIAL</v>
          </cell>
          <cell r="AG213" t="str">
            <v xml:space="preserve"> </v>
          </cell>
          <cell r="AH213" t="str">
            <v xml:space="preserve">  </v>
          </cell>
        </row>
        <row r="214">
          <cell r="C214">
            <v>0.45833333333333331</v>
          </cell>
          <cell r="D214" t="str">
            <v>WAITING MATERIAL</v>
          </cell>
          <cell r="F214">
            <v>0.45833333333333331</v>
          </cell>
          <cell r="G214" t="str">
            <v>WAITING MATERIAL</v>
          </cell>
          <cell r="I214">
            <v>0.45833333333333331</v>
          </cell>
          <cell r="J214" t="str">
            <v>NO ASSIGN VESSEL</v>
          </cell>
          <cell r="L214">
            <v>0.5</v>
          </cell>
          <cell r="M214" t="str">
            <v>WAITING MATERIAL</v>
          </cell>
          <cell r="O214">
            <v>0.56111111111111112</v>
          </cell>
          <cell r="P214" t="str">
            <v xml:space="preserve">RESUME LOADING SLING </v>
          </cell>
          <cell r="R214" t="str">
            <v xml:space="preserve"> </v>
          </cell>
          <cell r="S214" t="str">
            <v xml:space="preserve"> </v>
          </cell>
          <cell r="X214">
            <v>0.4513888888888889</v>
          </cell>
          <cell r="Y214" t="str">
            <v>COMMENCE LOADING TONNER</v>
          </cell>
          <cell r="AA214">
            <v>0.45833333333333331</v>
          </cell>
          <cell r="AD214">
            <v>0.44444444444444442</v>
          </cell>
          <cell r="AE214" t="str">
            <v>RESUME LOADING TONNER</v>
          </cell>
          <cell r="AG214" t="str">
            <v xml:space="preserve"> </v>
          </cell>
          <cell r="AH214" t="str">
            <v xml:space="preserve"> </v>
          </cell>
        </row>
        <row r="215">
          <cell r="C215">
            <v>0.5</v>
          </cell>
          <cell r="D215" t="str">
            <v>WAITING MATERIAL</v>
          </cell>
          <cell r="F215">
            <v>0.5</v>
          </cell>
          <cell r="G215" t="str">
            <v>WAITING MATERIAL</v>
          </cell>
          <cell r="I215">
            <v>0.5</v>
          </cell>
          <cell r="J215" t="str">
            <v>NO ASSIGN VESSEL</v>
          </cell>
          <cell r="L215">
            <v>0.54166666666666663</v>
          </cell>
          <cell r="M215" t="str">
            <v>WAITING MATERIAL</v>
          </cell>
          <cell r="O215">
            <v>0.5805555555555556</v>
          </cell>
          <cell r="P215" t="str">
            <v>CONTINUE LOADING SLING</v>
          </cell>
          <cell r="R215" t="str">
            <v xml:space="preserve"> </v>
          </cell>
          <cell r="S215" t="str">
            <v xml:space="preserve"> </v>
          </cell>
          <cell r="X215">
            <v>0.5</v>
          </cell>
          <cell r="Y215" t="str">
            <v>LUNCH</v>
          </cell>
          <cell r="AA215">
            <v>0.5</v>
          </cell>
          <cell r="AD215">
            <v>0.47430555555555554</v>
          </cell>
          <cell r="AE215" t="str">
            <v>CONTINUE LOADING TONNER</v>
          </cell>
          <cell r="AG215" t="str">
            <v xml:space="preserve"> </v>
          </cell>
          <cell r="AH215" t="str">
            <v xml:space="preserve"> </v>
          </cell>
        </row>
        <row r="216">
          <cell r="C216">
            <v>0.54166666666666663</v>
          </cell>
          <cell r="D216" t="str">
            <v>WAITING MATERIAL</v>
          </cell>
          <cell r="F216">
            <v>0.54166666666666663</v>
          </cell>
          <cell r="G216" t="str">
            <v>WAITING MATERIAL</v>
          </cell>
          <cell r="I216">
            <v>0.54166666666666663</v>
          </cell>
          <cell r="J216" t="str">
            <v>NO ASSIGN VESSEL</v>
          </cell>
          <cell r="L216">
            <v>0.58333333333333337</v>
          </cell>
          <cell r="M216" t="str">
            <v>WAITING MATERIAL</v>
          </cell>
          <cell r="O216">
            <v>0.54305555555555551</v>
          </cell>
          <cell r="P216" t="str">
            <v>CONTINUE LOADING SLING</v>
          </cell>
          <cell r="R216" t="str">
            <v xml:space="preserve"> </v>
          </cell>
          <cell r="S216" t="str">
            <v xml:space="preserve"> </v>
          </cell>
          <cell r="X216">
            <v>0.54166666666666663</v>
          </cell>
          <cell r="Y216" t="str">
            <v>RESUME</v>
          </cell>
          <cell r="AA216">
            <v>0.54166666666666663</v>
          </cell>
          <cell r="AB216" t="str">
            <v>WAITING MATERIAL</v>
          </cell>
          <cell r="AD216">
            <v>0.47916666666666669</v>
          </cell>
          <cell r="AE216" t="str">
            <v>VESSEL COMPLETE</v>
          </cell>
          <cell r="AG216" t="str">
            <v xml:space="preserve"> </v>
          </cell>
          <cell r="AH216" t="str">
            <v xml:space="preserve"> </v>
          </cell>
        </row>
        <row r="217">
          <cell r="C217">
            <v>0.58333333333333337</v>
          </cell>
          <cell r="D217" t="str">
            <v>WAITING MATERIAL</v>
          </cell>
          <cell r="F217">
            <v>0.58333333333333337</v>
          </cell>
          <cell r="G217" t="str">
            <v>WAITING MATERIAL</v>
          </cell>
          <cell r="I217">
            <v>0.58333333333333337</v>
          </cell>
          <cell r="J217" t="str">
            <v>NO ASSIGN VESSEL</v>
          </cell>
          <cell r="L217">
            <v>0.625</v>
          </cell>
          <cell r="M217" t="str">
            <v>WAITING MATERIAL</v>
          </cell>
          <cell r="O217">
            <v>0.59861111111111109</v>
          </cell>
          <cell r="P217" t="str">
            <v>CONTINUE LOADING SLING</v>
          </cell>
          <cell r="R217" t="str">
            <v xml:space="preserve"> </v>
          </cell>
          <cell r="S217" t="str">
            <v xml:space="preserve"> </v>
          </cell>
          <cell r="X217">
            <v>0.56111111111111112</v>
          </cell>
          <cell r="Y217" t="str">
            <v>CONITNUE LOADING TONNER</v>
          </cell>
          <cell r="AA217">
            <v>0.58333333333333337</v>
          </cell>
          <cell r="AB217" t="str">
            <v>WAITING MATERIAL</v>
          </cell>
          <cell r="AD217">
            <v>0.5</v>
          </cell>
          <cell r="AE217" t="str">
            <v xml:space="preserve">STANDBY </v>
          </cell>
          <cell r="AG217" t="str">
            <v xml:space="preserve"> </v>
          </cell>
          <cell r="AH217" t="str">
            <v xml:space="preserve"> </v>
          </cell>
        </row>
        <row r="218">
          <cell r="C218">
            <v>0.58472222222222225</v>
          </cell>
          <cell r="D218" t="str">
            <v>COMMENCE LOADING</v>
          </cell>
          <cell r="F218">
            <v>0.625</v>
          </cell>
          <cell r="G218" t="str">
            <v>WAITING MATERIAL</v>
          </cell>
          <cell r="I218">
            <v>0.625</v>
          </cell>
          <cell r="J218" t="str">
            <v>NO ASSIGN VESSEL</v>
          </cell>
          <cell r="L218">
            <v>0.66666666666666663</v>
          </cell>
          <cell r="M218" t="str">
            <v>WAITING MATERIAL</v>
          </cell>
          <cell r="O218">
            <v>0.65416666666666667</v>
          </cell>
          <cell r="P218" t="str">
            <v>CONTINUE LOADING SLING</v>
          </cell>
          <cell r="R218" t="str">
            <v xml:space="preserve"> </v>
          </cell>
          <cell r="S218" t="str">
            <v xml:space="preserve"> </v>
          </cell>
          <cell r="X218">
            <v>0.58888888888888891</v>
          </cell>
          <cell r="Y218" t="str">
            <v>CONTINUE LOADING TONNER</v>
          </cell>
          <cell r="AA218">
            <v>0.625</v>
          </cell>
          <cell r="AB218" t="str">
            <v>WAITING MATERIAL</v>
          </cell>
          <cell r="AD218">
            <v>0.54166666666666663</v>
          </cell>
          <cell r="AE218" t="str">
            <v xml:space="preserve">STANDBY </v>
          </cell>
          <cell r="AG218" t="str">
            <v xml:space="preserve"> </v>
          </cell>
          <cell r="AH218" t="str">
            <v xml:space="preserve"> </v>
          </cell>
        </row>
        <row r="219">
          <cell r="C219">
            <v>0.60347222222222219</v>
          </cell>
          <cell r="D219" t="str">
            <v>CONTINUE LOADING SLING</v>
          </cell>
          <cell r="F219">
            <v>0.70277777777777772</v>
          </cell>
          <cell r="G219" t="str">
            <v>COMMENCE LOADING</v>
          </cell>
          <cell r="I219">
            <v>0.66666666666666663</v>
          </cell>
          <cell r="J219" t="str">
            <v>NO ASSIGN VESSEL</v>
          </cell>
          <cell r="L219">
            <v>0.70833333333333337</v>
          </cell>
          <cell r="M219" t="str">
            <v>WAITING MATERIAL</v>
          </cell>
          <cell r="O219">
            <v>0.69861111111111107</v>
          </cell>
          <cell r="P219" t="str">
            <v>CONTINUE LOADING SLING</v>
          </cell>
          <cell r="R219" t="str">
            <v xml:space="preserve"> </v>
          </cell>
          <cell r="S219" t="str">
            <v xml:space="preserve"> </v>
          </cell>
          <cell r="X219">
            <v>0.62361111111111112</v>
          </cell>
          <cell r="Y219" t="str">
            <v>CONTINUE LOADING TONNER</v>
          </cell>
          <cell r="AA219">
            <v>0.66666666666666663</v>
          </cell>
          <cell r="AB219" t="str">
            <v>WAITING MATERIAL</v>
          </cell>
          <cell r="AD219">
            <v>0.58333333333333337</v>
          </cell>
          <cell r="AE219" t="str">
            <v xml:space="preserve">STANDBY </v>
          </cell>
          <cell r="AG219" t="str">
            <v xml:space="preserve"> </v>
          </cell>
          <cell r="AH219" t="str">
            <v xml:space="preserve"> </v>
          </cell>
        </row>
        <row r="220">
          <cell r="C220">
            <v>0.64513888888888893</v>
          </cell>
          <cell r="D220" t="str">
            <v>CONTINUE LOADING TONNER</v>
          </cell>
          <cell r="F220">
            <v>0.79166666666666663</v>
          </cell>
          <cell r="G220" t="str">
            <v>KY TOOLBOX</v>
          </cell>
          <cell r="I220">
            <v>0.70833333333333337</v>
          </cell>
          <cell r="J220" t="str">
            <v>NEW DOCKING VESSEL</v>
          </cell>
          <cell r="L220">
            <v>0.79166666666666663</v>
          </cell>
          <cell r="M220" t="str">
            <v>KY TOOLBOX</v>
          </cell>
          <cell r="O220">
            <v>0.79166666666666663</v>
          </cell>
          <cell r="P220" t="str">
            <v>KY TOOLBOX</v>
          </cell>
          <cell r="R220" t="str">
            <v xml:space="preserve"> </v>
          </cell>
          <cell r="S220" t="str">
            <v xml:space="preserve"> </v>
          </cell>
          <cell r="X220">
            <v>0.64375000000000004</v>
          </cell>
          <cell r="Y220" t="str">
            <v>CONTINUE LOADING TONNER</v>
          </cell>
          <cell r="AA220">
            <v>0.70833333333333337</v>
          </cell>
          <cell r="AB220" t="str">
            <v>WAITING MATERIAL</v>
          </cell>
          <cell r="AD220">
            <v>0.625</v>
          </cell>
          <cell r="AE220" t="str">
            <v xml:space="preserve">STANDBY </v>
          </cell>
          <cell r="AG220" t="str">
            <v xml:space="preserve"> </v>
          </cell>
          <cell r="AH220" t="str">
            <v xml:space="preserve"> </v>
          </cell>
        </row>
        <row r="221">
          <cell r="C221">
            <v>0.67847222222222225</v>
          </cell>
          <cell r="D221" t="str">
            <v>CONTINUE LOADING TONNER</v>
          </cell>
          <cell r="F221">
            <v>0.82361111111111107</v>
          </cell>
          <cell r="G221" t="str">
            <v>RESUME LOADING</v>
          </cell>
          <cell r="I221">
            <v>0.79166666666666663</v>
          </cell>
          <cell r="J221" t="str">
            <v>KY TOOLBOX</v>
          </cell>
          <cell r="L221">
            <v>0.8125</v>
          </cell>
          <cell r="M221" t="str">
            <v>COMMENCE LOADING</v>
          </cell>
          <cell r="O221">
            <v>0.82499999999999996</v>
          </cell>
          <cell r="P221" t="str">
            <v>RESUME LOADING</v>
          </cell>
          <cell r="X221">
            <v>0.68888888888888888</v>
          </cell>
          <cell r="Y221" t="str">
            <v>CONTINUE LOADING TONNER</v>
          </cell>
          <cell r="AA221">
            <v>0.79166666666666663</v>
          </cell>
          <cell r="AB221" t="str">
            <v>KY TOOLBOX</v>
          </cell>
          <cell r="AD221">
            <v>0.66666666666666663</v>
          </cell>
          <cell r="AE221" t="str">
            <v xml:space="preserve">STANDBY </v>
          </cell>
        </row>
        <row r="222">
          <cell r="C222">
            <v>0.70277777777777772</v>
          </cell>
          <cell r="D222" t="str">
            <v>CONTINUE LOADING TONNER</v>
          </cell>
          <cell r="F222">
            <v>0.87708333333333333</v>
          </cell>
          <cell r="G222" t="str">
            <v xml:space="preserve">CONTINUE LOADING </v>
          </cell>
          <cell r="I222">
            <v>0.83333333333333337</v>
          </cell>
          <cell r="J222" t="str">
            <v>VESSEL DEBALLAST</v>
          </cell>
          <cell r="L222">
            <v>0.84791666666666665</v>
          </cell>
          <cell r="M222" t="str">
            <v xml:space="preserve">CONTINUE LOADING </v>
          </cell>
          <cell r="O222">
            <v>0.8666666666666667</v>
          </cell>
          <cell r="P222" t="str">
            <v xml:space="preserve">CONTINUE LOADING </v>
          </cell>
          <cell r="X222">
            <v>0.70833333333333337</v>
          </cell>
          <cell r="Y222" t="str">
            <v>WAITING MATERIAL</v>
          </cell>
          <cell r="AA222">
            <v>0.875</v>
          </cell>
          <cell r="AB222" t="str">
            <v xml:space="preserve">WAITING AVAILABLE FORKLIFT </v>
          </cell>
          <cell r="AD222">
            <v>0.70833333333333337</v>
          </cell>
          <cell r="AE222" t="str">
            <v xml:space="preserve">STANDBY </v>
          </cell>
        </row>
        <row r="223">
          <cell r="C223">
            <v>0.79166666666666663</v>
          </cell>
          <cell r="D223" t="str">
            <v>KY TOOLBOX</v>
          </cell>
          <cell r="F223">
            <v>0.93611111111111112</v>
          </cell>
          <cell r="G223" t="str">
            <v xml:space="preserve">.ONGOING LOADING </v>
          </cell>
          <cell r="I223">
            <v>0.93263888888888891</v>
          </cell>
          <cell r="J223" t="str">
            <v>COMMENCE LOADING</v>
          </cell>
          <cell r="L223">
            <v>0.87222222222222223</v>
          </cell>
          <cell r="M223" t="str">
            <v xml:space="preserve">.ONGOING LOADING </v>
          </cell>
          <cell r="O223">
            <v>0.89166666666666672</v>
          </cell>
          <cell r="P223" t="str">
            <v xml:space="preserve">.ONGOING LOADING </v>
          </cell>
          <cell r="X223">
            <v>0.79166666666666663</v>
          </cell>
          <cell r="Y223" t="str">
            <v>KY TOOLBOX</v>
          </cell>
          <cell r="AD223">
            <v>0.79166666666666663</v>
          </cell>
          <cell r="AE223" t="str">
            <v>VESSEL COMPLETE</v>
          </cell>
        </row>
        <row r="224">
          <cell r="C224">
            <v>0.84305555555555556</v>
          </cell>
          <cell r="D224" t="str">
            <v xml:space="preserve">RESUME LOADING </v>
          </cell>
          <cell r="F224">
            <v>0.95833333333333337</v>
          </cell>
          <cell r="G224" t="str">
            <v>STEVEDORES BREAK</v>
          </cell>
          <cell r="I224">
            <v>0.95833333333333337</v>
          </cell>
          <cell r="J224" t="str">
            <v>STEVEDORES BREAK</v>
          </cell>
          <cell r="L224" t="str">
            <v>21;43</v>
          </cell>
          <cell r="M224" t="str">
            <v xml:space="preserve">.CONTINUE LOADING </v>
          </cell>
          <cell r="O224">
            <v>0.95833333333333337</v>
          </cell>
          <cell r="P224" t="str">
            <v>STEVEDORES BREAK</v>
          </cell>
          <cell r="X224">
            <v>0.85277777777777775</v>
          </cell>
          <cell r="Y224" t="str">
            <v>RESUME LOADING</v>
          </cell>
        </row>
        <row r="225">
          <cell r="C225">
            <v>0.85416666666666663</v>
          </cell>
          <cell r="D225" t="str">
            <v xml:space="preserve">CONTINUE LOADING </v>
          </cell>
          <cell r="F225">
            <v>7.2916666666666671E-2</v>
          </cell>
          <cell r="G225" t="str">
            <v xml:space="preserve">RESUME LOADING </v>
          </cell>
          <cell r="I225">
            <v>0</v>
          </cell>
          <cell r="J225" t="str">
            <v>STOP LOADING</v>
          </cell>
          <cell r="L225">
            <v>0.91666666666666663</v>
          </cell>
          <cell r="M225" t="str">
            <v>WAITING MATERIAL</v>
          </cell>
          <cell r="O225">
            <v>4.8611111111111112E-2</v>
          </cell>
          <cell r="P225" t="str">
            <v xml:space="preserve">RESUME LOADING SLING </v>
          </cell>
          <cell r="X225">
            <v>0.87291666666666667</v>
          </cell>
          <cell r="Y225" t="str">
            <v xml:space="preserve">CONTINUE LOADING </v>
          </cell>
        </row>
        <row r="226">
          <cell r="C226">
            <v>0.87638888888888888</v>
          </cell>
          <cell r="D226" t="str">
            <v xml:space="preserve">.ONGOING LOADING </v>
          </cell>
          <cell r="F226">
            <v>0.10416666666666667</v>
          </cell>
          <cell r="G226" t="str">
            <v xml:space="preserve">.CONTINUE LOADING </v>
          </cell>
          <cell r="L226">
            <v>0.95833333333333337</v>
          </cell>
          <cell r="M226" t="str">
            <v>STEVEDORES BREAK</v>
          </cell>
          <cell r="O226">
            <v>0.10347222222222222</v>
          </cell>
          <cell r="P226" t="str">
            <v xml:space="preserve">.CONTINUE LOADING </v>
          </cell>
          <cell r="X226">
            <v>0.93125000000000002</v>
          </cell>
          <cell r="Y226" t="str">
            <v xml:space="preserve">.ONGOING LOADING </v>
          </cell>
        </row>
        <row r="227">
          <cell r="C227">
            <v>0.90486111111111112</v>
          </cell>
          <cell r="D227" t="str">
            <v>.CONTINUE LOADING</v>
          </cell>
          <cell r="F227">
            <v>0.1361111111111111</v>
          </cell>
          <cell r="G227" t="str">
            <v xml:space="preserve">.ONGOING LOADING </v>
          </cell>
          <cell r="L227">
            <v>6.9444444444444448E-2</v>
          </cell>
          <cell r="M227" t="str">
            <v xml:space="preserve">RESUME LOADING </v>
          </cell>
          <cell r="O227">
            <v>0.15347222222222223</v>
          </cell>
          <cell r="P227" t="str">
            <v xml:space="preserve">.CONTINUE LOADING </v>
          </cell>
          <cell r="X227">
            <v>0.95833333333333337</v>
          </cell>
          <cell r="Y227" t="str">
            <v>STEVEDORES BREAK</v>
          </cell>
        </row>
        <row r="228">
          <cell r="C228">
            <v>0.92361111111111116</v>
          </cell>
          <cell r="D228" t="str">
            <v xml:space="preserve">.ONGOING LOADING </v>
          </cell>
          <cell r="F228">
            <v>0.1875</v>
          </cell>
          <cell r="G228" t="str">
            <v xml:space="preserve">STOP LOADING </v>
          </cell>
          <cell r="L228">
            <v>0.1125</v>
          </cell>
          <cell r="M228" t="str">
            <v xml:space="preserve">.CONTINUE LOADING </v>
          </cell>
          <cell r="O228" t="str">
            <v xml:space="preserve"> 04:39</v>
          </cell>
          <cell r="P228" t="str">
            <v xml:space="preserve">.ONGOING LOADING </v>
          </cell>
          <cell r="X228">
            <v>8.0555555555555561E-2</v>
          </cell>
          <cell r="Y228" t="str">
            <v xml:space="preserve">RESUME LOADING </v>
          </cell>
        </row>
        <row r="229">
          <cell r="C229">
            <v>0.95833333333333337</v>
          </cell>
          <cell r="D229" t="str">
            <v>STEVEDORES BREAK</v>
          </cell>
          <cell r="L229">
            <v>0.14166666666666666</v>
          </cell>
          <cell r="M229" t="str">
            <v xml:space="preserve">.ONGOING LOADING </v>
          </cell>
          <cell r="O229">
            <v>0.20833333333333334</v>
          </cell>
          <cell r="P229" t="str">
            <v xml:space="preserve">STOP LOADING </v>
          </cell>
          <cell r="X229">
            <v>0.10208333333333333</v>
          </cell>
          <cell r="Y229" t="str">
            <v xml:space="preserve">.CONTINUE LOADING </v>
          </cell>
        </row>
        <row r="230">
          <cell r="C230">
            <v>8.3333333333333332E-3</v>
          </cell>
          <cell r="D230" t="str">
            <v xml:space="preserve">RESUME LOADING </v>
          </cell>
          <cell r="L230">
            <v>0.1875</v>
          </cell>
          <cell r="M230" t="str">
            <v xml:space="preserve">STOP LOADING </v>
          </cell>
          <cell r="X230">
            <v>0.1875</v>
          </cell>
          <cell r="Y230" t="str">
            <v xml:space="preserve">STOP LOADING </v>
          </cell>
        </row>
        <row r="231">
          <cell r="C231">
            <v>3.888888888888889E-2</v>
          </cell>
          <cell r="D231" t="str">
            <v>.CONTINUE LOADING</v>
          </cell>
        </row>
        <row r="232">
          <cell r="C232">
            <v>9.5138888888888884E-2</v>
          </cell>
          <cell r="D232" t="str">
            <v xml:space="preserve">.ONGOING LOADING </v>
          </cell>
        </row>
        <row r="233">
          <cell r="C233">
            <v>0.11944444444444445</v>
          </cell>
          <cell r="D233" t="str">
            <v>.CONTINUE LOADING</v>
          </cell>
        </row>
        <row r="234">
          <cell r="C234">
            <v>0.18680555555555556</v>
          </cell>
          <cell r="D234" t="str">
            <v xml:space="preserve">CONTINUE LOADING </v>
          </cell>
        </row>
        <row r="235">
          <cell r="C235">
            <v>0.20833333333333334</v>
          </cell>
          <cell r="D235" t="str">
            <v>WAITING MATERIAL</v>
          </cell>
        </row>
        <row r="236">
          <cell r="D236" t="str">
            <v>EFG  8</v>
          </cell>
          <cell r="G236" t="str">
            <v>SALVACION 8</v>
          </cell>
          <cell r="J236" t="str">
            <v xml:space="preserve">AGRO MARINE </v>
          </cell>
          <cell r="M236" t="str">
            <v>CESAR ESTER</v>
          </cell>
          <cell r="P236" t="str">
            <v>QUEEN CAROLYN</v>
          </cell>
          <cell r="S236" t="str">
            <v>VACANT</v>
          </cell>
          <cell r="V236" t="str">
            <v>LADY OF PEACE</v>
          </cell>
          <cell r="Y236" t="str">
            <v>LADY OF REMEDY</v>
          </cell>
          <cell r="AB236" t="str">
            <v>LADY OF WISDOM</v>
          </cell>
          <cell r="AE236" t="str">
            <v>VACANT</v>
          </cell>
          <cell r="AH236" t="str">
            <v>EFG 7</v>
          </cell>
        </row>
        <row r="237">
          <cell r="C237">
            <v>0.42638888888888887</v>
          </cell>
          <cell r="D237" t="str">
            <v>RESUME LOADING TONNER</v>
          </cell>
          <cell r="F237">
            <v>0.29166666666666669</v>
          </cell>
          <cell r="G237" t="str">
            <v>WAITING  ASSIST SHORE CRANE</v>
          </cell>
          <cell r="I237">
            <v>0.35138888888888886</v>
          </cell>
          <cell r="J237" t="str">
            <v>RESUME LOADING SLING</v>
          </cell>
          <cell r="L237">
            <v>0.37986111111111109</v>
          </cell>
          <cell r="M237" t="str">
            <v>RESUME LOADING SLING</v>
          </cell>
          <cell r="O237">
            <v>0.34791666666666665</v>
          </cell>
          <cell r="P237" t="str">
            <v>RESUME LOADING SLING</v>
          </cell>
          <cell r="R237">
            <v>0.29166666666666669</v>
          </cell>
          <cell r="S237" t="str">
            <v>NO ASSIGN VESSEL</v>
          </cell>
          <cell r="U237">
            <v>0.29166666666666669</v>
          </cell>
          <cell r="V237" t="str">
            <v>WAITING MATERIAL</v>
          </cell>
          <cell r="X237">
            <v>0.33402777777777776</v>
          </cell>
          <cell r="Y237" t="str">
            <v>RESUME LOADING TONNER</v>
          </cell>
          <cell r="AA237">
            <v>0.34305555555555556</v>
          </cell>
          <cell r="AB237" t="str">
            <v>RESUME LOADING SLING</v>
          </cell>
          <cell r="AD237">
            <v>0.29166666666666669</v>
          </cell>
          <cell r="AE237" t="str">
            <v>NO ASSIGN VESSEL</v>
          </cell>
          <cell r="AG237">
            <v>0.29166666666666669</v>
          </cell>
          <cell r="AH237" t="str">
            <v xml:space="preserve"> </v>
          </cell>
        </row>
        <row r="238">
          <cell r="C238">
            <v>0.5</v>
          </cell>
          <cell r="D238" t="str">
            <v>LUNCH BREAK</v>
          </cell>
          <cell r="F238">
            <v>0.33333333333333331</v>
          </cell>
          <cell r="G238" t="str">
            <v>WAITING  ASSIST SHORE CRANE</v>
          </cell>
          <cell r="I238">
            <v>0.41458333333333336</v>
          </cell>
          <cell r="J238" t="str">
            <v>CONTINUE LOADING SLING</v>
          </cell>
          <cell r="L238">
            <v>0.5</v>
          </cell>
          <cell r="M238" t="str">
            <v>LUNCH BREAK</v>
          </cell>
          <cell r="O238">
            <v>0.36249999999999999</v>
          </cell>
          <cell r="P238" t="str">
            <v>CONTINUE LOADING SLING</v>
          </cell>
          <cell r="R238">
            <v>0.33333333333333331</v>
          </cell>
          <cell r="S238" t="str">
            <v>NO ASSIGN VESSEL</v>
          </cell>
          <cell r="U238">
            <v>0.33333333333333331</v>
          </cell>
          <cell r="V238" t="str">
            <v>WAITING MATERIAL</v>
          </cell>
          <cell r="X238">
            <v>0.35833333333333334</v>
          </cell>
          <cell r="Y238" t="str">
            <v>CONTINUE LOADING TONNER</v>
          </cell>
          <cell r="AA238">
            <v>0.36527777777777776</v>
          </cell>
          <cell r="AB238" t="str">
            <v>CONTINUE LOADING SLING</v>
          </cell>
          <cell r="AD238">
            <v>0.33333333333333331</v>
          </cell>
          <cell r="AE238" t="str">
            <v>NO ASSIGN VESSEL</v>
          </cell>
          <cell r="AG238">
            <v>0.33333333333333331</v>
          </cell>
          <cell r="AH238" t="str">
            <v xml:space="preserve">  </v>
          </cell>
        </row>
        <row r="239">
          <cell r="C239">
            <v>0.57777777777777772</v>
          </cell>
          <cell r="D239" t="str">
            <v>CONTINUE LOADING TONNER</v>
          </cell>
          <cell r="F239">
            <v>0.375</v>
          </cell>
          <cell r="G239" t="str">
            <v>WAITING  ASSIST SHORE CRANE</v>
          </cell>
          <cell r="I239">
            <v>0.45347222222222222</v>
          </cell>
          <cell r="J239" t="str">
            <v>CONTINUE LOADING SLING</v>
          </cell>
          <cell r="L239">
            <v>0.58263888888888893</v>
          </cell>
          <cell r="M239" t="str">
            <v xml:space="preserve">CONTINUE LOADING </v>
          </cell>
          <cell r="O239">
            <v>0.41666666666666669</v>
          </cell>
          <cell r="P239" t="str">
            <v>CONTINUE LOADING SLING</v>
          </cell>
          <cell r="R239">
            <v>0.375</v>
          </cell>
          <cell r="S239" t="str">
            <v>NO ASSIGN VESSEL</v>
          </cell>
          <cell r="U239">
            <v>0.375</v>
          </cell>
          <cell r="V239" t="str">
            <v>WAITING MATERIAL</v>
          </cell>
          <cell r="X239">
            <v>0.3888888888888889</v>
          </cell>
          <cell r="Y239" t="str">
            <v>CONTINUE LOADING TONNER</v>
          </cell>
          <cell r="AA239">
            <v>0.375</v>
          </cell>
          <cell r="AB239" t="str">
            <v>WAITING MATERIAL</v>
          </cell>
          <cell r="AD239">
            <v>0.375</v>
          </cell>
          <cell r="AE239" t="str">
            <v>NO ASSIGN VESSEL</v>
          </cell>
          <cell r="AG239">
            <v>0.375</v>
          </cell>
          <cell r="AH239" t="str">
            <v xml:space="preserve"> </v>
          </cell>
        </row>
        <row r="240">
          <cell r="C240">
            <v>0.60347222222222219</v>
          </cell>
          <cell r="D240" t="str">
            <v>CONTINUE LOADING TONNER</v>
          </cell>
          <cell r="F240">
            <v>0.41666666666666669</v>
          </cell>
          <cell r="G240" t="str">
            <v>WAITING  ASSIST SHORE CRANE</v>
          </cell>
          <cell r="I240">
            <v>0.5</v>
          </cell>
          <cell r="J240" t="str">
            <v>LUNCH BREAK</v>
          </cell>
          <cell r="L240">
            <v>0.63194444444444442</v>
          </cell>
          <cell r="M240" t="str">
            <v xml:space="preserve">CONTINUE LOADING </v>
          </cell>
          <cell r="O240">
            <v>0.44305555555555554</v>
          </cell>
          <cell r="P240" t="str">
            <v>CONTINUE LOADING SLING</v>
          </cell>
          <cell r="R240">
            <v>0.41666666666666669</v>
          </cell>
          <cell r="S240" t="str">
            <v>NO ASSIGN VESSEL</v>
          </cell>
          <cell r="U240">
            <v>0.41666666666666669</v>
          </cell>
          <cell r="V240" t="str">
            <v>WAITING MATERIAL</v>
          </cell>
          <cell r="X240">
            <v>0.40694444444444444</v>
          </cell>
          <cell r="Y240" t="str">
            <v>CONTINUE LOADING TONNER</v>
          </cell>
          <cell r="AA240">
            <v>0.41666666666666669</v>
          </cell>
          <cell r="AB240" t="str">
            <v>WAITING MATERIAL</v>
          </cell>
          <cell r="AD240">
            <v>0.41666666666666669</v>
          </cell>
          <cell r="AE240" t="str">
            <v>NO ASSIGN VESSEL</v>
          </cell>
          <cell r="AG240">
            <v>0.5</v>
          </cell>
          <cell r="AH240" t="str">
            <v>NEW DOCKING VESSEL</v>
          </cell>
        </row>
        <row r="241">
          <cell r="C241">
            <v>0.65694444444444444</v>
          </cell>
          <cell r="D241" t="str">
            <v>CONTINUE LOADING TONNER</v>
          </cell>
          <cell r="F241">
            <v>0.43263888888888891</v>
          </cell>
          <cell r="G241" t="str">
            <v>RESUME LOADING SLING</v>
          </cell>
          <cell r="I241">
            <v>0.60069444444444442</v>
          </cell>
          <cell r="J241" t="str">
            <v>CONTINUE LOADING SLING</v>
          </cell>
          <cell r="L241">
            <v>0.72291666666666665</v>
          </cell>
          <cell r="M241" t="str">
            <v xml:space="preserve">CONTINUE LOADING </v>
          </cell>
          <cell r="O241">
            <v>0.5</v>
          </cell>
          <cell r="P241" t="str">
            <v>LUNCH BREAK</v>
          </cell>
          <cell r="R241">
            <v>0.45833333333333331</v>
          </cell>
          <cell r="S241" t="str">
            <v>NO ASSIGN VESSEL</v>
          </cell>
          <cell r="U241">
            <v>0.45833333333333331</v>
          </cell>
          <cell r="V241" t="str">
            <v>WAITING MATERIAL</v>
          </cell>
          <cell r="X241">
            <v>0.43541666666666667</v>
          </cell>
          <cell r="Y241" t="str">
            <v>CONTINUE LOADING TONNER</v>
          </cell>
          <cell r="AA241">
            <v>0.45833333333333331</v>
          </cell>
          <cell r="AB241" t="str">
            <v>WAITING MATERIAL</v>
          </cell>
          <cell r="AD241">
            <v>0.45833333333333331</v>
          </cell>
          <cell r="AE241" t="str">
            <v>NO ASSIGN VESSEL</v>
          </cell>
          <cell r="AG241">
            <v>0.79166666666666663</v>
          </cell>
          <cell r="AH241" t="str">
            <v xml:space="preserve">WAITING AVAILABLE FORKLIFT </v>
          </cell>
        </row>
        <row r="242">
          <cell r="C242">
            <v>0.72083333333333333</v>
          </cell>
          <cell r="D242" t="str">
            <v>CONTINUE LOADING TONNER</v>
          </cell>
          <cell r="F242">
            <v>0.5</v>
          </cell>
          <cell r="G242" t="str">
            <v>LUNCH BREAK</v>
          </cell>
          <cell r="I242">
            <v>0.67500000000000004</v>
          </cell>
          <cell r="J242" t="str">
            <v>CONTINUE LOADING SLING</v>
          </cell>
          <cell r="L242">
            <v>0.75</v>
          </cell>
          <cell r="M242" t="str">
            <v>VESSEL BREAK</v>
          </cell>
          <cell r="O242">
            <v>0.61458333333333337</v>
          </cell>
          <cell r="P242" t="str">
            <v>CONTINUE LOADING SLING</v>
          </cell>
          <cell r="R242">
            <v>0.5</v>
          </cell>
          <cell r="S242" t="str">
            <v>NO ASSIGN VESSEL</v>
          </cell>
          <cell r="U242">
            <v>0.5</v>
          </cell>
          <cell r="V242" t="str">
            <v>WAITING MATERIAL</v>
          </cell>
          <cell r="X242">
            <v>0.46111111111111114</v>
          </cell>
          <cell r="Y242" t="str">
            <v>CONTINUE LOADING TONNER</v>
          </cell>
          <cell r="AA242">
            <v>0.5</v>
          </cell>
          <cell r="AB242" t="str">
            <v>WAITING MATERIAL</v>
          </cell>
          <cell r="AD242">
            <v>0.5</v>
          </cell>
          <cell r="AE242" t="str">
            <v>NO ASSIGN VESSEL</v>
          </cell>
          <cell r="AG242">
            <v>0.17916666666666667</v>
          </cell>
          <cell r="AH242" t="str">
            <v xml:space="preserve">COMMENCE LOADING </v>
          </cell>
        </row>
        <row r="243">
          <cell r="C243">
            <v>0.75</v>
          </cell>
          <cell r="D243" t="str">
            <v>VESSEL BREAK</v>
          </cell>
          <cell r="F243">
            <v>0.57847222222222228</v>
          </cell>
          <cell r="G243" t="str">
            <v xml:space="preserve">CONTINUE LOADING </v>
          </cell>
          <cell r="I243">
            <v>0.75</v>
          </cell>
          <cell r="J243" t="str">
            <v>VESSEL BREAK</v>
          </cell>
          <cell r="L243">
            <v>0.79166666666666663</v>
          </cell>
          <cell r="M243" t="str">
            <v>KY TOOLBOX</v>
          </cell>
          <cell r="O243">
            <v>0.6479166666666667</v>
          </cell>
          <cell r="P243" t="str">
            <v>CONTINUE LOADING SLING</v>
          </cell>
          <cell r="R243">
            <v>0.54166666666666663</v>
          </cell>
          <cell r="S243" t="str">
            <v>NO ASSIGN VESSEL</v>
          </cell>
          <cell r="U243">
            <v>0.54166666666666663</v>
          </cell>
          <cell r="V243" t="str">
            <v>WAITING MATERIAL</v>
          </cell>
          <cell r="X243">
            <v>0.5</v>
          </cell>
          <cell r="Y243" t="str">
            <v>LUNCH BREAK</v>
          </cell>
          <cell r="AA243">
            <v>0.54166666666666663</v>
          </cell>
          <cell r="AB243" t="str">
            <v>WAITING MATERIAL</v>
          </cell>
          <cell r="AD243">
            <v>0.54166666666666663</v>
          </cell>
          <cell r="AE243" t="str">
            <v>NO ASSIGN VESSEL</v>
          </cell>
          <cell r="AG243">
            <v>0.25</v>
          </cell>
          <cell r="AH243" t="str">
            <v>VESSEL BREAK</v>
          </cell>
        </row>
        <row r="244">
          <cell r="C244">
            <v>0.79166666666666663</v>
          </cell>
          <cell r="D244" t="str">
            <v>KY TOOLBOX</v>
          </cell>
          <cell r="F244">
            <v>0.59722222222222221</v>
          </cell>
          <cell r="G244" t="str">
            <v xml:space="preserve">CONTINUE LOADING </v>
          </cell>
          <cell r="I244">
            <v>0.79166666666666663</v>
          </cell>
          <cell r="J244" t="str">
            <v>KY TOOLBOX</v>
          </cell>
          <cell r="L244">
            <v>0.86388888888888893</v>
          </cell>
          <cell r="M244" t="str">
            <v>RESUME LOADING</v>
          </cell>
          <cell r="O244">
            <v>0.73611111111111116</v>
          </cell>
          <cell r="P244" t="str">
            <v>CONTINUE LOADING SLING</v>
          </cell>
          <cell r="R244">
            <v>0.58333333333333337</v>
          </cell>
          <cell r="S244" t="str">
            <v>NO ASSIGN VESSEL</v>
          </cell>
          <cell r="U244">
            <v>0.58333333333333337</v>
          </cell>
          <cell r="V244" t="str">
            <v>WAITING MATERIAL</v>
          </cell>
          <cell r="X244">
            <v>0.56666666666666665</v>
          </cell>
          <cell r="Y244" t="str">
            <v>CONTINUE LOADING TONNER</v>
          </cell>
          <cell r="AA244">
            <v>0.58333333333333337</v>
          </cell>
          <cell r="AB244" t="str">
            <v>WAITING MATERIAL</v>
          </cell>
          <cell r="AD244">
            <v>0.58333333333333337</v>
          </cell>
          <cell r="AE244" t="str">
            <v>NO ASSIGN VESSEL</v>
          </cell>
        </row>
        <row r="245">
          <cell r="C245">
            <v>0.8354166666666667</v>
          </cell>
          <cell r="D245" t="str">
            <v xml:space="preserve">RESUME LOADING </v>
          </cell>
          <cell r="F245">
            <v>0.61458333333333337</v>
          </cell>
          <cell r="G245" t="str">
            <v xml:space="preserve">CONTINUE LOADING </v>
          </cell>
          <cell r="I245">
            <v>0.83333333333333337</v>
          </cell>
          <cell r="J245" t="str">
            <v>WAITING AVAILABLE FORKLIFT</v>
          </cell>
          <cell r="L245">
            <v>0.89097222222222228</v>
          </cell>
          <cell r="M245" t="str">
            <v xml:space="preserve">.CONTINUE LOADING </v>
          </cell>
          <cell r="O245">
            <v>0.75</v>
          </cell>
          <cell r="P245" t="str">
            <v>BREAK TIME</v>
          </cell>
          <cell r="R245">
            <v>0.79166666666666663</v>
          </cell>
          <cell r="S245" t="str">
            <v>VACANT</v>
          </cell>
          <cell r="U245">
            <v>0.64861111111111114</v>
          </cell>
          <cell r="V245" t="str">
            <v>WAITING AVAILABLE  FORKLIFT LOADING BAY</v>
          </cell>
          <cell r="X245">
            <v>0.61250000000000004</v>
          </cell>
          <cell r="Y245" t="str">
            <v>CONTINUE LOADING TONNER</v>
          </cell>
          <cell r="AA245">
            <v>0.625</v>
          </cell>
          <cell r="AB245" t="str">
            <v>WAITING MATERIAL</v>
          </cell>
          <cell r="AD245">
            <v>0.79166666666666663</v>
          </cell>
          <cell r="AE245" t="str">
            <v>VACANT</v>
          </cell>
        </row>
        <row r="246">
          <cell r="C246">
            <v>0.85972222222222228</v>
          </cell>
          <cell r="D246" t="str">
            <v>.CONTINUE LOADING</v>
          </cell>
          <cell r="F246">
            <v>0.64583333333333337</v>
          </cell>
          <cell r="G246" t="str">
            <v xml:space="preserve">CONTINUE LOADING </v>
          </cell>
          <cell r="I246">
            <v>0.9</v>
          </cell>
          <cell r="J246" t="str">
            <v xml:space="preserve">RESUME LOADING </v>
          </cell>
          <cell r="L246">
            <v>0.94305555555555554</v>
          </cell>
          <cell r="M246" t="str">
            <v xml:space="preserve">.ONGOING LOADING </v>
          </cell>
          <cell r="O246">
            <v>0.79166666666666663</v>
          </cell>
          <cell r="P246" t="str">
            <v>KY TOOLBOX</v>
          </cell>
          <cell r="U246">
            <v>0.66666666666666663</v>
          </cell>
          <cell r="V246" t="str">
            <v>WAITING AVAILABLE FORKLIFT LOADING BAY</v>
          </cell>
          <cell r="X246">
            <v>0.70416666666666672</v>
          </cell>
          <cell r="Y246" t="str">
            <v>CONTINUE LOADING TONNER</v>
          </cell>
          <cell r="AA246">
            <v>0.66666666666666663</v>
          </cell>
          <cell r="AB246" t="str">
            <v>WAITING MATERIAL</v>
          </cell>
        </row>
        <row r="247">
          <cell r="C247">
            <v>0.89583333333333337</v>
          </cell>
          <cell r="D247" t="str">
            <v xml:space="preserve">.ONGOING LOADING </v>
          </cell>
          <cell r="F247">
            <v>0.67777777777777781</v>
          </cell>
          <cell r="G247" t="str">
            <v xml:space="preserve">CONTINUE LOADING </v>
          </cell>
          <cell r="I247">
            <v>0.93611111111111112</v>
          </cell>
          <cell r="J247" t="str">
            <v>.CONTINUE LOADING</v>
          </cell>
          <cell r="L247">
            <v>0.95833333333333337</v>
          </cell>
          <cell r="M247" t="str">
            <v>STEVEDORES BREAK</v>
          </cell>
          <cell r="O247">
            <v>0.84027777777777779</v>
          </cell>
          <cell r="P247" t="str">
            <v xml:space="preserve">RESUME LOADING </v>
          </cell>
          <cell r="U247">
            <v>0.70833333333333337</v>
          </cell>
          <cell r="V247" t="str">
            <v>WAITING AVAILABLE FORKLIFT LOADING BAY</v>
          </cell>
          <cell r="X247">
            <v>0.75</v>
          </cell>
          <cell r="Y247" t="str">
            <v>VESSEL BREAK</v>
          </cell>
          <cell r="AA247">
            <v>0.71388888888888891</v>
          </cell>
          <cell r="AB247" t="str">
            <v>CONTINUE LOADING SLING</v>
          </cell>
        </row>
        <row r="248">
          <cell r="C248">
            <v>0.91527777777777775</v>
          </cell>
          <cell r="D248" t="str">
            <v xml:space="preserve">.ONGOING LOADING </v>
          </cell>
          <cell r="F248">
            <v>0.69652777777777775</v>
          </cell>
          <cell r="G248" t="str">
            <v xml:space="preserve">CONTINUE LOADING </v>
          </cell>
          <cell r="I248">
            <v>0.95833333333333337</v>
          </cell>
          <cell r="J248" t="str">
            <v>STEVEDORES BREAK</v>
          </cell>
          <cell r="L248">
            <v>5.2083333333333336E-2</v>
          </cell>
          <cell r="M248" t="str">
            <v xml:space="preserve">RESUME LOADING </v>
          </cell>
          <cell r="O248">
            <v>0.88055555555555554</v>
          </cell>
          <cell r="P248" t="str">
            <v xml:space="preserve">.CONTINUE LOADING </v>
          </cell>
          <cell r="U248">
            <v>0.75</v>
          </cell>
          <cell r="V248" t="str">
            <v>WAITING AVAILABLE FORKLIFT LOADING BAY</v>
          </cell>
          <cell r="X248">
            <v>0.79166666666666663</v>
          </cell>
          <cell r="Y248" t="str">
            <v>KY TOOLBOX</v>
          </cell>
          <cell r="AA248">
            <v>0.75</v>
          </cell>
          <cell r="AB248" t="str">
            <v>VESSEL BREAK</v>
          </cell>
        </row>
        <row r="249">
          <cell r="C249">
            <v>0.95833333333333337</v>
          </cell>
          <cell r="D249" t="str">
            <v>STEVEDORES BREAK</v>
          </cell>
          <cell r="F249">
            <v>0.71597222222222223</v>
          </cell>
          <cell r="G249" t="str">
            <v xml:space="preserve">CONTINUE LOADING </v>
          </cell>
          <cell r="I249">
            <v>0</v>
          </cell>
          <cell r="J249" t="str">
            <v>WAITING AVAILABLE FORKLIFT</v>
          </cell>
          <cell r="L249">
            <v>7.9861111111111105E-2</v>
          </cell>
          <cell r="M249" t="str">
            <v xml:space="preserve">.CONTINUE LOADING </v>
          </cell>
          <cell r="O249">
            <v>0.89583333333333337</v>
          </cell>
          <cell r="P249" t="str">
            <v xml:space="preserve">.ONGOING LOADING </v>
          </cell>
          <cell r="U249">
            <v>0.79166666666666663</v>
          </cell>
          <cell r="V249" t="str">
            <v>KY TOOLBOX</v>
          </cell>
          <cell r="X249">
            <v>0.85972222222222228</v>
          </cell>
          <cell r="Y249" t="str">
            <v xml:space="preserve">RESUME LOADING </v>
          </cell>
          <cell r="AA249">
            <v>0.79166666666666663</v>
          </cell>
          <cell r="AB249" t="str">
            <v>KY TOOLBOX</v>
          </cell>
        </row>
        <row r="250">
          <cell r="C250">
            <v>3.4722222222222224E-2</v>
          </cell>
          <cell r="D250" t="str">
            <v>RESUME LOADING</v>
          </cell>
          <cell r="F250">
            <v>0.75</v>
          </cell>
          <cell r="G250" t="str">
            <v>VESSEL BREAK</v>
          </cell>
          <cell r="I250">
            <v>0.25</v>
          </cell>
          <cell r="J250" t="str">
            <v>VESSEL BREAK</v>
          </cell>
          <cell r="L250">
            <v>0.1388888888888889</v>
          </cell>
          <cell r="M250" t="str">
            <v xml:space="preserve">.ONGOING LOADING </v>
          </cell>
          <cell r="O250">
            <v>0.95833333333333337</v>
          </cell>
          <cell r="P250" t="str">
            <v>STEVEDORES BREAK</v>
          </cell>
          <cell r="U250">
            <v>0.83333333333333337</v>
          </cell>
          <cell r="V250" t="str">
            <v xml:space="preserve">WAITING AVAILABLE FORKLIFT </v>
          </cell>
          <cell r="X250">
            <v>0.89236111111111116</v>
          </cell>
          <cell r="Y250" t="str">
            <v>.ONGOING LOADING</v>
          </cell>
          <cell r="AA250">
            <v>0.83333333333333337</v>
          </cell>
          <cell r="AB250" t="str">
            <v>WAITING AVAILABLE FORKLIFT</v>
          </cell>
        </row>
        <row r="251">
          <cell r="C251">
            <v>6.25E-2</v>
          </cell>
          <cell r="D251" t="str">
            <v>.CONTINUE LOADING</v>
          </cell>
          <cell r="F251">
            <v>0.79166666666666663</v>
          </cell>
          <cell r="G251" t="str">
            <v>KY TOOLBOX</v>
          </cell>
          <cell r="L251">
            <v>0.2</v>
          </cell>
          <cell r="M251" t="str">
            <v xml:space="preserve">.CONTINUE LOADING </v>
          </cell>
          <cell r="O251">
            <v>5.486111111111111E-2</v>
          </cell>
          <cell r="P251" t="str">
            <v xml:space="preserve">RESUME LOADING </v>
          </cell>
          <cell r="U251">
            <v>0.25</v>
          </cell>
          <cell r="V251" t="str">
            <v>VESSEL BREAK</v>
          </cell>
          <cell r="X251">
            <v>0.95833333333333337</v>
          </cell>
          <cell r="Y251" t="str">
            <v>STEVEDORES BREAK</v>
          </cell>
          <cell r="AA251">
            <v>0.88472222222222219</v>
          </cell>
          <cell r="AB251" t="str">
            <v xml:space="preserve">RESUME LOADING </v>
          </cell>
        </row>
        <row r="252">
          <cell r="C252">
            <v>0.17430555555555555</v>
          </cell>
          <cell r="D252" t="str">
            <v xml:space="preserve">.ONGOING LOADING </v>
          </cell>
          <cell r="F252">
            <v>0.83333333333333337</v>
          </cell>
          <cell r="G252" t="str">
            <v>WAITING AVAILABLE FORKLIFT</v>
          </cell>
          <cell r="L252">
            <v>0.25</v>
          </cell>
          <cell r="M252" t="str">
            <v>VESSEL BREAK</v>
          </cell>
          <cell r="O252">
            <v>0.10486111111111111</v>
          </cell>
          <cell r="P252" t="str">
            <v xml:space="preserve">.ONGOING LOADING </v>
          </cell>
          <cell r="X252">
            <v>3.6805555555555557E-2</v>
          </cell>
          <cell r="Y252" t="str">
            <v>RESUME LOADING</v>
          </cell>
          <cell r="AA252">
            <v>0.90555555555555556</v>
          </cell>
          <cell r="AB252" t="str">
            <v xml:space="preserve">.ONGOING LOADING </v>
          </cell>
        </row>
        <row r="253">
          <cell r="C253">
            <v>0.2048611111111111</v>
          </cell>
          <cell r="D253" t="str">
            <v>.CONTINUE LOADING</v>
          </cell>
          <cell r="F253">
            <v>6.25E-2</v>
          </cell>
          <cell r="G253" t="str">
            <v xml:space="preserve">RESUME LOADING </v>
          </cell>
          <cell r="O253">
            <v>0.17986111111111111</v>
          </cell>
          <cell r="P253" t="str">
            <v xml:space="preserve">.CONTINUE LOADING </v>
          </cell>
          <cell r="X253">
            <v>5.7638888888888892E-2</v>
          </cell>
          <cell r="Y253" t="str">
            <v>CONTINUE LOADING TONNER</v>
          </cell>
          <cell r="AA253">
            <v>0.95833333333333337</v>
          </cell>
          <cell r="AB253" t="str">
            <v>STEVEDORES BREAK</v>
          </cell>
        </row>
        <row r="254">
          <cell r="C254">
            <v>0.25</v>
          </cell>
          <cell r="D254" t="str">
            <v>VESSEL BREAK</v>
          </cell>
          <cell r="F254">
            <v>9.375E-2</v>
          </cell>
          <cell r="G254" t="str">
            <v xml:space="preserve">.CONTINUE LOADING </v>
          </cell>
          <cell r="O254">
            <v>0.20833333333333334</v>
          </cell>
          <cell r="P254" t="str">
            <v xml:space="preserve">.ONGOING LOADING </v>
          </cell>
          <cell r="X254">
            <v>0.10555555555555556</v>
          </cell>
          <cell r="Y254" t="str">
            <v>.ONGOING LOADING</v>
          </cell>
          <cell r="AA254">
            <v>0</v>
          </cell>
          <cell r="AB254" t="str">
            <v>WAITING AVAILABLE FORKLIFT</v>
          </cell>
        </row>
        <row r="255">
          <cell r="F255">
            <v>0.1125</v>
          </cell>
          <cell r="G255" t="str">
            <v xml:space="preserve">.ONGOING LOADING </v>
          </cell>
          <cell r="O255">
            <v>0.23194444444444445</v>
          </cell>
          <cell r="P255" t="str">
            <v>LOADING COMPLETE</v>
          </cell>
          <cell r="X255">
            <v>0.11874999999999999</v>
          </cell>
          <cell r="Y255" t="str">
            <v>LOADING COMPLETE</v>
          </cell>
          <cell r="AA255">
            <v>0.25</v>
          </cell>
          <cell r="AB255" t="str">
            <v>VESSEL BREAK</v>
          </cell>
        </row>
        <row r="256">
          <cell r="F256">
            <v>0.18958333333333333</v>
          </cell>
          <cell r="G256" t="str">
            <v xml:space="preserve">.CONTINUE LOADING </v>
          </cell>
        </row>
        <row r="257">
          <cell r="F257">
            <v>0.2076388888888889</v>
          </cell>
          <cell r="G257" t="str">
            <v xml:space="preserve">.ONGOING LOADING </v>
          </cell>
        </row>
        <row r="258">
          <cell r="F258">
            <v>0.25</v>
          </cell>
          <cell r="G258" t="str">
            <v>VESSEL BREAK</v>
          </cell>
        </row>
        <row r="259">
          <cell r="D259" t="str">
            <v>EFG  8</v>
          </cell>
          <cell r="G259" t="str">
            <v>SALVACION 8</v>
          </cell>
          <cell r="J259" t="str">
            <v xml:space="preserve">AGRO MARINE </v>
          </cell>
          <cell r="M259" t="str">
            <v>CESAR ESTER</v>
          </cell>
          <cell r="P259" t="str">
            <v>EFG 7</v>
          </cell>
          <cell r="S259" t="str">
            <v>VACANT</v>
          </cell>
          <cell r="V259" t="str">
            <v>LADY OF PEACE</v>
          </cell>
          <cell r="Y259" t="str">
            <v>VACANT</v>
          </cell>
          <cell r="AB259" t="str">
            <v>LADY OF WISDOM</v>
          </cell>
          <cell r="AE259" t="str">
            <v>VACANT</v>
          </cell>
          <cell r="AH259" t="str">
            <v>VACANT</v>
          </cell>
        </row>
        <row r="260">
          <cell r="C260">
            <v>0.33333333333333331</v>
          </cell>
          <cell r="D260" t="str">
            <v>WAITING VESSELCRANE  OPERATOR</v>
          </cell>
          <cell r="F260">
            <v>0.35902777777777778</v>
          </cell>
          <cell r="G260" t="str">
            <v>RESUME LOADING SLING</v>
          </cell>
          <cell r="I260">
            <v>0.43472222222222223</v>
          </cell>
          <cell r="J260" t="str">
            <v>RESUME LOADING SLING</v>
          </cell>
          <cell r="L260">
            <v>0.33333333333333331</v>
          </cell>
          <cell r="M260" t="str">
            <v>VESSEL CRANE DEFECTIVE</v>
          </cell>
          <cell r="P260" t="str">
            <v>TRANSFER TO BERTH 5 FROM JETTY</v>
          </cell>
          <cell r="R260">
            <v>0.29166666666666669</v>
          </cell>
          <cell r="S260" t="str">
            <v>NO ASSIGN VESSEL</v>
          </cell>
          <cell r="U260">
            <v>0.33333333333333331</v>
          </cell>
          <cell r="V260" t="str">
            <v>WAITING FORKLIFT ONBOARD</v>
          </cell>
          <cell r="X260">
            <v>0.375</v>
          </cell>
          <cell r="Y260" t="str">
            <v>NO ASSIGN VESSEL</v>
          </cell>
          <cell r="AA260">
            <v>0.32291666666666669</v>
          </cell>
          <cell r="AB260" t="str">
            <v xml:space="preserve">ONBOARD FORKLIFT </v>
          </cell>
          <cell r="AD260">
            <v>0.29166666666666669</v>
          </cell>
          <cell r="AE260" t="str">
            <v>NO ASSIGN VESSEL</v>
          </cell>
          <cell r="AG260">
            <v>0.29166666666666669</v>
          </cell>
          <cell r="AH260" t="str">
            <v>NO ASSIGN VESSEL</v>
          </cell>
        </row>
        <row r="261">
          <cell r="C261">
            <v>0.34513888888888888</v>
          </cell>
          <cell r="D261" t="str">
            <v xml:space="preserve">RESUME LOADING TONNER </v>
          </cell>
          <cell r="F261">
            <v>0.38472222222222224</v>
          </cell>
          <cell r="G261" t="str">
            <v xml:space="preserve">CONTINUE LOADING SLING </v>
          </cell>
          <cell r="I261">
            <v>0.56388888888888888</v>
          </cell>
          <cell r="J261" t="str">
            <v>CONTINUE LOADING</v>
          </cell>
          <cell r="L261">
            <v>0.375</v>
          </cell>
          <cell r="M261" t="str">
            <v>VESSEL CRANE DEFECTIVE</v>
          </cell>
          <cell r="O261">
            <v>0.36458333333333331</v>
          </cell>
          <cell r="P261" t="str">
            <v>RESUME LOADIND SLING</v>
          </cell>
          <cell r="R261">
            <v>0.33333333333333331</v>
          </cell>
          <cell r="S261" t="str">
            <v>NO ASSIGN VESSEL</v>
          </cell>
          <cell r="U261">
            <v>0.375</v>
          </cell>
          <cell r="V261" t="str">
            <v>WAITING AVAILABLE FORKLIFT</v>
          </cell>
          <cell r="X261">
            <v>0.41666666666666669</v>
          </cell>
          <cell r="Y261" t="str">
            <v>NO ASSIGN VESSEL</v>
          </cell>
          <cell r="AA261">
            <v>0.3659722222222222</v>
          </cell>
          <cell r="AB261" t="str">
            <v>RESUME LOADING SLING</v>
          </cell>
          <cell r="AD261">
            <v>0.33333333333333331</v>
          </cell>
          <cell r="AE261" t="str">
            <v>NO ASSIGN VESSEL</v>
          </cell>
          <cell r="AG261">
            <v>0.33333333333333331</v>
          </cell>
          <cell r="AH261" t="str">
            <v>NO ASSIGN VESSEL</v>
          </cell>
        </row>
        <row r="262">
          <cell r="C262">
            <v>0.43263888888888891</v>
          </cell>
          <cell r="D262" t="str">
            <v xml:space="preserve">RESUME LOADING TONNER </v>
          </cell>
          <cell r="F262">
            <v>0.56180555555555556</v>
          </cell>
          <cell r="G262" t="str">
            <v xml:space="preserve">CONTINUE LOADING SLING </v>
          </cell>
          <cell r="I262">
            <v>0.56805555555555554</v>
          </cell>
          <cell r="J262" t="str">
            <v>CONTINUE LOADING SLING</v>
          </cell>
          <cell r="L262">
            <v>0.41666666666666669</v>
          </cell>
          <cell r="M262" t="str">
            <v>VESSEL CRANE DEFECTIVE</v>
          </cell>
          <cell r="O262">
            <v>0.3888888888888889</v>
          </cell>
          <cell r="P262" t="str">
            <v>CONTINUE LOADING SLING</v>
          </cell>
          <cell r="R262">
            <v>0.375</v>
          </cell>
          <cell r="S262" t="str">
            <v>NO ASSIGN VESSEL</v>
          </cell>
          <cell r="U262">
            <v>0.41666666666666669</v>
          </cell>
          <cell r="V262" t="str">
            <v>WAITING AVAILABLE FORKLIFT</v>
          </cell>
          <cell r="X262">
            <v>0.45833333333333331</v>
          </cell>
          <cell r="Y262" t="str">
            <v>NO ASSIGN VESSEL</v>
          </cell>
          <cell r="AA262">
            <v>0.38263888888888886</v>
          </cell>
          <cell r="AB262" t="str">
            <v>CONMTINUE LOADING SLING</v>
          </cell>
          <cell r="AD262">
            <v>0.375</v>
          </cell>
          <cell r="AE262" t="str">
            <v>NO ASSIGN VESSEL</v>
          </cell>
          <cell r="AG262">
            <v>0.375</v>
          </cell>
          <cell r="AH262" t="str">
            <v>NO ASSIGN VESSEL</v>
          </cell>
        </row>
        <row r="263">
          <cell r="C263">
            <v>0.5625</v>
          </cell>
          <cell r="D263" t="str">
            <v xml:space="preserve">RESUME LOADING TONNER </v>
          </cell>
          <cell r="F263">
            <v>0.57708333333333328</v>
          </cell>
          <cell r="G263" t="str">
            <v xml:space="preserve">CONTINUE LOADING SLING </v>
          </cell>
          <cell r="I263">
            <v>0.59236111111111112</v>
          </cell>
          <cell r="J263" t="str">
            <v>CONTINUE LOADING SLING</v>
          </cell>
          <cell r="L263">
            <v>0.45833333333333331</v>
          </cell>
          <cell r="M263" t="str">
            <v>VESSEL CRANE DEFECTIVE</v>
          </cell>
          <cell r="O263">
            <v>0.56597222222222221</v>
          </cell>
          <cell r="P263" t="str">
            <v>CONTINUE LOADING SLING</v>
          </cell>
          <cell r="R263">
            <v>0.41666666666666669</v>
          </cell>
          <cell r="S263" t="str">
            <v>NO ASSIGN VESSEL</v>
          </cell>
          <cell r="U263">
            <v>0.45833333333333331</v>
          </cell>
          <cell r="V263" t="str">
            <v>WAITING AVAILABLE FORKLIFT</v>
          </cell>
          <cell r="X263">
            <v>0.5</v>
          </cell>
          <cell r="Y263" t="str">
            <v>NO ASSIGN VESSEL</v>
          </cell>
          <cell r="AA263">
            <v>0.42430555555555555</v>
          </cell>
          <cell r="AB263" t="str">
            <v>CONMTINUE LOADING SLING</v>
          </cell>
          <cell r="AD263">
            <v>0.41666666666666669</v>
          </cell>
          <cell r="AE263" t="str">
            <v>NO ASSIGN VESSEL</v>
          </cell>
          <cell r="AG263">
            <v>0.41666666666666669</v>
          </cell>
          <cell r="AH263" t="str">
            <v>NO ASSIGN VESSEL</v>
          </cell>
        </row>
        <row r="264">
          <cell r="C264">
            <v>0.61736111111111114</v>
          </cell>
          <cell r="D264" t="str">
            <v xml:space="preserve">RESUME LOADING TONNER </v>
          </cell>
          <cell r="F264">
            <v>0.63541666666666663</v>
          </cell>
          <cell r="G264" t="str">
            <v xml:space="preserve">CONTINUE LOADING SLING </v>
          </cell>
          <cell r="I264">
            <v>0.79166666666666663</v>
          </cell>
          <cell r="J264" t="str">
            <v>KY TOOLBOX</v>
          </cell>
          <cell r="L264">
            <v>0.5</v>
          </cell>
          <cell r="M264" t="str">
            <v>VESSEL CRANE DEFECTIVE</v>
          </cell>
          <cell r="O264">
            <v>0.59513888888888888</v>
          </cell>
          <cell r="P264" t="str">
            <v>CONTINUE LOADING SLING</v>
          </cell>
          <cell r="R264">
            <v>0.5</v>
          </cell>
          <cell r="S264" t="str">
            <v>NO ASSIGN VESSEL</v>
          </cell>
          <cell r="U264">
            <v>0.5</v>
          </cell>
          <cell r="V264" t="str">
            <v>WAITING AVAILABLE FORKLIFT</v>
          </cell>
          <cell r="X264">
            <v>0.54166666666666663</v>
          </cell>
          <cell r="Y264" t="str">
            <v>NO ASSIGN VESSEL</v>
          </cell>
          <cell r="AA264">
            <v>0.43958333333333333</v>
          </cell>
          <cell r="AB264" t="str">
            <v>CONTINUE LOADING SLING</v>
          </cell>
          <cell r="AD264">
            <v>0.45833333333333331</v>
          </cell>
          <cell r="AE264" t="str">
            <v>NO ASSIGN VESSEL</v>
          </cell>
          <cell r="AG264">
            <v>0.45833333333333331</v>
          </cell>
          <cell r="AH264" t="str">
            <v>NO ASSIGN VESSEL</v>
          </cell>
        </row>
        <row r="265">
          <cell r="C265">
            <v>0.65138888888888891</v>
          </cell>
          <cell r="D265" t="str">
            <v xml:space="preserve">RESUME LOADING TONNER </v>
          </cell>
          <cell r="F265">
            <v>0.79166666666666663</v>
          </cell>
          <cell r="G265" t="str">
            <v>KY TOOLBOX</v>
          </cell>
          <cell r="I265">
            <v>0.85972222222222228</v>
          </cell>
          <cell r="J265" t="str">
            <v xml:space="preserve">RESUME LOADING </v>
          </cell>
          <cell r="L265">
            <v>0.54166666666666663</v>
          </cell>
          <cell r="M265" t="str">
            <v>VESSEL CRANE DEFECTIVE</v>
          </cell>
          <cell r="O265">
            <v>0.79166666666666663</v>
          </cell>
          <cell r="P265" t="str">
            <v>KY TOOLBOX</v>
          </cell>
          <cell r="R265">
            <v>0.54166666666666663</v>
          </cell>
          <cell r="S265" t="str">
            <v>NO ASSIGN VESSEL</v>
          </cell>
          <cell r="U265">
            <v>0.54166666666666663</v>
          </cell>
          <cell r="V265" t="str">
            <v>WAITING AVAILABLE FORKLIFT</v>
          </cell>
          <cell r="X265">
            <v>0.58333333333333337</v>
          </cell>
          <cell r="Y265" t="str">
            <v>NO ASSIGN VESSEL</v>
          </cell>
          <cell r="AA265">
            <v>0.45902777777777776</v>
          </cell>
          <cell r="AB265" t="str">
            <v>CONTINUE LOADING SLING</v>
          </cell>
          <cell r="AD265">
            <v>0.5</v>
          </cell>
          <cell r="AE265" t="str">
            <v>NO ASSIGN VESSEL</v>
          </cell>
          <cell r="AG265">
            <v>0.5</v>
          </cell>
          <cell r="AH265" t="str">
            <v>NO ASSIGN VESSEL</v>
          </cell>
        </row>
        <row r="266">
          <cell r="C266">
            <v>0.69374999999999998</v>
          </cell>
          <cell r="D266" t="str">
            <v xml:space="preserve">RESUME LOADING TONNER </v>
          </cell>
          <cell r="F266">
            <v>0.82708333333333328</v>
          </cell>
          <cell r="G266" t="str">
            <v xml:space="preserve">RESUME LOADING </v>
          </cell>
          <cell r="I266">
            <v>0.88263888888888886</v>
          </cell>
          <cell r="J266" t="str">
            <v>.CONTINUE LOADING</v>
          </cell>
          <cell r="L266">
            <v>0.58333333333333337</v>
          </cell>
          <cell r="M266" t="str">
            <v>RESUME LOADING SLING</v>
          </cell>
          <cell r="O266">
            <v>0.84375</v>
          </cell>
          <cell r="P266" t="str">
            <v xml:space="preserve">RESUME LOADING </v>
          </cell>
          <cell r="R266">
            <v>0.58333333333333337</v>
          </cell>
          <cell r="S266" t="str">
            <v>NO ASSIGN VESSEL</v>
          </cell>
          <cell r="U266">
            <v>0.79166666666666663</v>
          </cell>
          <cell r="V266" t="str">
            <v>KY TOOLBOX</v>
          </cell>
          <cell r="X266">
            <v>0.79166666666666663</v>
          </cell>
          <cell r="Y266" t="str">
            <v>VACANT</v>
          </cell>
          <cell r="AA266">
            <v>0.5</v>
          </cell>
          <cell r="AB266" t="str">
            <v>VESSEL TAKE LUNCH</v>
          </cell>
          <cell r="AD266">
            <v>0.54166666666666663</v>
          </cell>
          <cell r="AE266" t="str">
            <v>NO ASSIGN VESSEL</v>
          </cell>
          <cell r="AG266">
            <v>0.54166666666666663</v>
          </cell>
          <cell r="AH266" t="str">
            <v>NO ASSIGN VESSEL</v>
          </cell>
        </row>
        <row r="267">
          <cell r="C267">
            <v>0.79166666666666663</v>
          </cell>
          <cell r="D267" t="str">
            <v>KY TOOLBOX</v>
          </cell>
          <cell r="F267">
            <v>0.84236111111111112</v>
          </cell>
          <cell r="G267" t="str">
            <v xml:space="preserve">.CONTINUE LOADING </v>
          </cell>
          <cell r="I267">
            <v>0.92152777777777772</v>
          </cell>
          <cell r="J267" t="str">
            <v xml:space="preserve">.ONGOING LOADING </v>
          </cell>
          <cell r="L267">
            <v>0.79166666666666663</v>
          </cell>
          <cell r="M267" t="str">
            <v>VESSEL COMPLETE</v>
          </cell>
          <cell r="O267">
            <v>0.875</v>
          </cell>
          <cell r="P267" t="str">
            <v>WAITING AVAILABLE FL</v>
          </cell>
          <cell r="U267">
            <v>0.82708333333333328</v>
          </cell>
          <cell r="V267" t="str">
            <v xml:space="preserve">RESUME LOADING </v>
          </cell>
          <cell r="AA267">
            <v>0.55347222222222225</v>
          </cell>
          <cell r="AB267" t="str">
            <v>RESUME LOADING SLING</v>
          </cell>
          <cell r="AD267">
            <v>0.58333333333333337</v>
          </cell>
          <cell r="AE267" t="str">
            <v>NO ASSIGN VESSEL</v>
          </cell>
          <cell r="AG267">
            <v>0.58333333333333337</v>
          </cell>
          <cell r="AH267" t="str">
            <v>NO ASSIGN VESSEL</v>
          </cell>
        </row>
        <row r="268">
          <cell r="C268">
            <v>0.82708333333333328</v>
          </cell>
          <cell r="D268" t="str">
            <v xml:space="preserve">RESUME LOADING </v>
          </cell>
          <cell r="F268">
            <v>0.8618055555555556</v>
          </cell>
          <cell r="G268" t="str">
            <v xml:space="preserve">.ONGOING LOADING </v>
          </cell>
          <cell r="I268">
            <v>0.94374999999999998</v>
          </cell>
          <cell r="J268" t="str">
            <v>.CONTINUE LOADING</v>
          </cell>
          <cell r="L268" t="str">
            <v xml:space="preserve"> </v>
          </cell>
          <cell r="M268" t="str">
            <v xml:space="preserve"> </v>
          </cell>
          <cell r="O268">
            <v>0.91666666666666663</v>
          </cell>
          <cell r="P268" t="str">
            <v>FL ONBOARD READY</v>
          </cell>
          <cell r="U268">
            <v>0.84791666666666665</v>
          </cell>
          <cell r="V268" t="str">
            <v xml:space="preserve">CONTINUE LOADING </v>
          </cell>
          <cell r="AA268">
            <v>0.57430555555555551</v>
          </cell>
          <cell r="AB268" t="str">
            <v>CONTINUE LOADING SLING</v>
          </cell>
        </row>
        <row r="269">
          <cell r="C269">
            <v>0.8520833333333333</v>
          </cell>
          <cell r="D269" t="str">
            <v xml:space="preserve">.ONGOING LOADING </v>
          </cell>
          <cell r="F269">
            <v>0.95833333333333337</v>
          </cell>
          <cell r="G269" t="str">
            <v>STEVEDORES BREAK</v>
          </cell>
          <cell r="I269">
            <v>0</v>
          </cell>
          <cell r="J269" t="str">
            <v>VESSEL CRANE OPTR TAKE REST</v>
          </cell>
          <cell r="L269" t="str">
            <v xml:space="preserve"> </v>
          </cell>
          <cell r="M269" t="str">
            <v xml:space="preserve"> </v>
          </cell>
          <cell r="O269">
            <v>0.94444444444444442</v>
          </cell>
          <cell r="P269" t="str">
            <v xml:space="preserve">RESUME LOADING </v>
          </cell>
          <cell r="U269">
            <v>0.86458333333333337</v>
          </cell>
          <cell r="V269" t="str">
            <v>.ONGOING LOADING</v>
          </cell>
          <cell r="AA269">
            <v>0.6069444444444444</v>
          </cell>
          <cell r="AB269" t="str">
            <v>CONTINUE LOADING SLING</v>
          </cell>
        </row>
        <row r="270">
          <cell r="C270">
            <v>0.86875000000000002</v>
          </cell>
          <cell r="D270" t="str">
            <v>.CONTINUE LOADING</v>
          </cell>
          <cell r="F270">
            <v>3.6111111111111108E-2</v>
          </cell>
          <cell r="G270" t="str">
            <v xml:space="preserve">RESUME LOADING </v>
          </cell>
          <cell r="I270">
            <v>0.25</v>
          </cell>
          <cell r="J270" t="str">
            <v>VESSEL BREAK</v>
          </cell>
          <cell r="O270">
            <v>0.95833333333333337</v>
          </cell>
          <cell r="P270" t="str">
            <v>STEVEDORES BREAK</v>
          </cell>
          <cell r="U270">
            <v>0.91666666666666663</v>
          </cell>
          <cell r="V270" t="str">
            <v xml:space="preserve">TEMP. STOP LOADING </v>
          </cell>
          <cell r="AA270">
            <v>0.62986111111111109</v>
          </cell>
          <cell r="AB270" t="str">
            <v>CONTINUE LOADING SLING</v>
          </cell>
        </row>
        <row r="271">
          <cell r="C271">
            <v>0.8930555555555556</v>
          </cell>
          <cell r="D271" t="str">
            <v xml:space="preserve">.ONGOING LOADING </v>
          </cell>
          <cell r="F271">
            <v>5.5555555555555552E-2</v>
          </cell>
          <cell r="G271" t="str">
            <v xml:space="preserve">.CONTINUE LOADING </v>
          </cell>
          <cell r="O271">
            <v>3.5416666666666666E-2</v>
          </cell>
          <cell r="P271" t="str">
            <v xml:space="preserve">RESUME LOADING </v>
          </cell>
          <cell r="U271">
            <v>0.29166666666666669</v>
          </cell>
          <cell r="V271" t="str">
            <v>DOCKED &amp; SECURED</v>
          </cell>
          <cell r="AA271">
            <v>0.66666666666666663</v>
          </cell>
          <cell r="AB271" t="str">
            <v>CONTINUE LOADING SLING</v>
          </cell>
        </row>
        <row r="272">
          <cell r="C272">
            <v>0.91319444444444442</v>
          </cell>
          <cell r="D272" t="str">
            <v xml:space="preserve">.ONGOING LOADING </v>
          </cell>
          <cell r="F272">
            <v>0.11874999999999999</v>
          </cell>
          <cell r="G272" t="str">
            <v xml:space="preserve">.ONGOING LOADING </v>
          </cell>
          <cell r="O272">
            <v>5.7638888888888892E-2</v>
          </cell>
          <cell r="P272" t="str">
            <v xml:space="preserve">.CONTINUE LOADING </v>
          </cell>
          <cell r="AA272">
            <v>0.68611111111111112</v>
          </cell>
          <cell r="AB272" t="str">
            <v>CONTINUE LOADING SLING</v>
          </cell>
        </row>
        <row r="273">
          <cell r="C273">
            <v>0.92777777777777781</v>
          </cell>
          <cell r="D273" t="str">
            <v>.CONTINUE LOADING</v>
          </cell>
          <cell r="F273">
            <v>0.16666666666666666</v>
          </cell>
          <cell r="G273" t="str">
            <v xml:space="preserve">STOP LOADING </v>
          </cell>
          <cell r="O273">
            <v>9.5138888888888884E-2</v>
          </cell>
          <cell r="P273" t="str">
            <v xml:space="preserve">.ONGOING LOADING </v>
          </cell>
          <cell r="AA273">
            <v>0.79166666666666663</v>
          </cell>
          <cell r="AB273" t="str">
            <v>KY TOOLBOX</v>
          </cell>
        </row>
        <row r="274">
          <cell r="C274">
            <v>0.94652777777777775</v>
          </cell>
          <cell r="D274" t="str">
            <v>.CONTINUE LOADING</v>
          </cell>
          <cell r="O274">
            <v>0.11458333333333333</v>
          </cell>
          <cell r="P274" t="str">
            <v xml:space="preserve">.CONTINUE LOADING </v>
          </cell>
          <cell r="AA274">
            <v>0.83333333333333337</v>
          </cell>
          <cell r="AB274" t="str">
            <v>VESSEL CRANE DEFECTIVE</v>
          </cell>
        </row>
        <row r="275">
          <cell r="C275">
            <v>0.96388888888888891</v>
          </cell>
          <cell r="D275" t="str">
            <v xml:space="preserve">ONGOING LOADING </v>
          </cell>
          <cell r="O275">
            <v>0.21041666666666667</v>
          </cell>
          <cell r="P275" t="str">
            <v xml:space="preserve">.ONGOING LOADING </v>
          </cell>
          <cell r="AA275">
            <v>0.875</v>
          </cell>
          <cell r="AB275" t="str">
            <v>WAITING AVAILABLE SHORECRANE</v>
          </cell>
        </row>
        <row r="276">
          <cell r="C276">
            <v>0.9770833333333333</v>
          </cell>
          <cell r="D276" t="str">
            <v>LOADING COMPLETE</v>
          </cell>
          <cell r="O276">
            <v>0.25</v>
          </cell>
          <cell r="P276" t="str">
            <v>VESSEL BREAK</v>
          </cell>
          <cell r="AA276">
            <v>0.95277777777777772</v>
          </cell>
          <cell r="AB276" t="str">
            <v xml:space="preserve">RESUME LOADING </v>
          </cell>
        </row>
        <row r="277">
          <cell r="C277">
            <v>0.25</v>
          </cell>
          <cell r="D277" t="str">
            <v>VESSEL BREAK</v>
          </cell>
          <cell r="AA277">
            <v>0.97152777777777777</v>
          </cell>
          <cell r="AB277" t="str">
            <v>.CONTINUE LOADING</v>
          </cell>
        </row>
        <row r="278">
          <cell r="AA278">
            <v>4.027777777777778E-2</v>
          </cell>
          <cell r="AB278" t="str">
            <v xml:space="preserve">RESUME LOADING </v>
          </cell>
        </row>
        <row r="279">
          <cell r="AA279">
            <v>5.7638888888888892E-2</v>
          </cell>
          <cell r="AB279" t="str">
            <v>.CONTINUE LOADING</v>
          </cell>
        </row>
        <row r="280">
          <cell r="AA280">
            <v>8.7499999999999994E-2</v>
          </cell>
          <cell r="AB280" t="str">
            <v xml:space="preserve">.ONGOING LOADING </v>
          </cell>
        </row>
        <row r="281">
          <cell r="AA281">
            <v>0.10972222222222222</v>
          </cell>
          <cell r="AB281" t="str">
            <v>.CONTINUE LOADING</v>
          </cell>
        </row>
        <row r="282">
          <cell r="AA282">
            <v>0.125</v>
          </cell>
          <cell r="AB282" t="str">
            <v xml:space="preserve">TEMP. STOP LOADING </v>
          </cell>
        </row>
        <row r="283">
          <cell r="AA283">
            <v>0.20555555555555555</v>
          </cell>
          <cell r="AB283" t="str">
            <v xml:space="preserve">RESUME LOADING </v>
          </cell>
        </row>
        <row r="284">
          <cell r="AA284">
            <v>0.25</v>
          </cell>
          <cell r="AB284" t="str">
            <v>VESSEL BREAK</v>
          </cell>
        </row>
        <row r="285">
          <cell r="D285" t="str">
            <v>VACANT</v>
          </cell>
          <cell r="G285" t="str">
            <v>SALVACION 8</v>
          </cell>
          <cell r="J285" t="str">
            <v>AGRO MARINE 1</v>
          </cell>
          <cell r="M285" t="str">
            <v>VACANT</v>
          </cell>
          <cell r="P285" t="str">
            <v>EFG 7</v>
          </cell>
          <cell r="S285" t="str">
            <v>VACANT</v>
          </cell>
          <cell r="V285" t="str">
            <v>LADY OF PEACE</v>
          </cell>
          <cell r="Y285" t="str">
            <v>NAPOLI</v>
          </cell>
          <cell r="AB285" t="str">
            <v>LADY OF WISDOM</v>
          </cell>
          <cell r="AE285" t="str">
            <v xml:space="preserve">STAR SOGOD </v>
          </cell>
          <cell r="AH285" t="str">
            <v>SF JOURNEY</v>
          </cell>
        </row>
        <row r="286">
          <cell r="F286">
            <v>0.29166666666666669</v>
          </cell>
          <cell r="G286" t="str">
            <v>RESUME LOADING SLING</v>
          </cell>
          <cell r="I286">
            <v>0.29166666666666669</v>
          </cell>
          <cell r="J286" t="str">
            <v>CONTINUE LOADING SLING</v>
          </cell>
          <cell r="O286">
            <v>0.29166666666666669</v>
          </cell>
          <cell r="P286" t="str">
            <v>RESUME LOADING</v>
          </cell>
          <cell r="R286">
            <v>0.29166666666666669</v>
          </cell>
          <cell r="S286" t="str">
            <v>NO VESSEL ASSIGN</v>
          </cell>
          <cell r="U286">
            <v>0.29166666666666669</v>
          </cell>
          <cell r="V286" t="str">
            <v>RESUME LOADING SLING</v>
          </cell>
          <cell r="X286">
            <v>0.29166666666666669</v>
          </cell>
          <cell r="Y286" t="str">
            <v>NO VESSEL ASSIGN</v>
          </cell>
          <cell r="AA286">
            <v>0.29166666666666669</v>
          </cell>
          <cell r="AB286" t="str">
            <v>RESUME LOADING SLING</v>
          </cell>
          <cell r="AD286">
            <v>0.63888888888888884</v>
          </cell>
          <cell r="AE286" t="str">
            <v>DOCK AND SECURE</v>
          </cell>
          <cell r="AG286">
            <v>0.58194444444444449</v>
          </cell>
          <cell r="AH286" t="str">
            <v>DOCK AND SECURE</v>
          </cell>
        </row>
        <row r="287">
          <cell r="F287">
            <v>0.3576388888888889</v>
          </cell>
          <cell r="G287" t="str">
            <v>CONTINUE LOADING SLING</v>
          </cell>
          <cell r="I287">
            <v>0.35347222222222224</v>
          </cell>
          <cell r="J287" t="str">
            <v>CONTINUE LOADING SLING</v>
          </cell>
          <cell r="O287">
            <v>0.34722222222222221</v>
          </cell>
          <cell r="P287" t="str">
            <v>CONTINUE LOADING SLING</v>
          </cell>
          <cell r="U287">
            <v>0.34583333333333333</v>
          </cell>
          <cell r="V287" t="str">
            <v>CONTINUE LOADING SLING</v>
          </cell>
          <cell r="X287">
            <v>0.33333333333333331</v>
          </cell>
          <cell r="Y287" t="str">
            <v>NO VESSEL ASSIGN</v>
          </cell>
          <cell r="AA287">
            <v>0.34652777777777777</v>
          </cell>
          <cell r="AB287" t="str">
            <v>CONTINUE LOADING SLING</v>
          </cell>
          <cell r="AD287">
            <v>0.79166666666666663</v>
          </cell>
          <cell r="AE287" t="str">
            <v>WAITING MATERIAL</v>
          </cell>
        </row>
        <row r="288">
          <cell r="F288">
            <v>0.43958333333333333</v>
          </cell>
          <cell r="G288" t="str">
            <v>CONTINUE LOADING SLING</v>
          </cell>
          <cell r="I288">
            <v>0.40763888888888888</v>
          </cell>
          <cell r="J288" t="str">
            <v>CONTINUE LOADING SLING</v>
          </cell>
          <cell r="O288">
            <v>0.36458333333333331</v>
          </cell>
          <cell r="P288" t="str">
            <v>CONTINUE LOADING SLING</v>
          </cell>
          <cell r="U288">
            <v>0.37361111111111112</v>
          </cell>
          <cell r="V288" t="str">
            <v>CONTINUE LOADING SLING</v>
          </cell>
          <cell r="X288">
            <v>0.375</v>
          </cell>
          <cell r="Y288" t="str">
            <v>NO VESSEL ASSIGN</v>
          </cell>
          <cell r="AA288">
            <v>0.35625000000000001</v>
          </cell>
          <cell r="AB288" t="str">
            <v>CONTINUE LOADING SLING</v>
          </cell>
          <cell r="AD288">
            <v>0.875</v>
          </cell>
          <cell r="AE288" t="str">
            <v xml:space="preserve">WAITING AVAILABLE FORKLIFT </v>
          </cell>
        </row>
        <row r="289">
          <cell r="F289">
            <v>0.5</v>
          </cell>
          <cell r="G289" t="str">
            <v>LUNCH BREAK</v>
          </cell>
          <cell r="I289">
            <v>0.4236111111111111</v>
          </cell>
          <cell r="J289" t="str">
            <v>CONTINUE LOADING SLING</v>
          </cell>
          <cell r="O289">
            <v>0.39791666666666664</v>
          </cell>
          <cell r="P289" t="str">
            <v>CONTINUE LOADING SLING</v>
          </cell>
          <cell r="U289">
            <v>0.42222222222222222</v>
          </cell>
          <cell r="V289" t="str">
            <v>CONTINUE LOADING SLING</v>
          </cell>
          <cell r="X289">
            <v>0.41666666666666669</v>
          </cell>
          <cell r="Y289" t="str">
            <v>NO VESSEL ASSIGN</v>
          </cell>
          <cell r="AA289">
            <v>0.40277777777777779</v>
          </cell>
          <cell r="AB289" t="str">
            <v>CONTINUE LOADING SLING</v>
          </cell>
          <cell r="AD289">
            <v>0.22013888888888888</v>
          </cell>
          <cell r="AE289" t="str">
            <v>COMMENCE LOADING OPERATIONS</v>
          </cell>
        </row>
        <row r="290">
          <cell r="F290">
            <v>0.57916666666666672</v>
          </cell>
          <cell r="G290" t="str">
            <v>CONTINUE LOADING SLING</v>
          </cell>
          <cell r="I290">
            <v>0.45347222222222222</v>
          </cell>
          <cell r="J290" t="str">
            <v>CONTINUE LOADING SLING</v>
          </cell>
          <cell r="O290">
            <v>0.44444444444444442</v>
          </cell>
          <cell r="P290" t="str">
            <v>CONTINUE LOADING SLING</v>
          </cell>
          <cell r="U290">
            <v>0.57916666666666672</v>
          </cell>
          <cell r="V290" t="str">
            <v>RESUME LOADING LOOSE BAG</v>
          </cell>
          <cell r="X290">
            <v>0.43055555555555558</v>
          </cell>
          <cell r="Y290" t="str">
            <v>NEW DOCKING VESSEL</v>
          </cell>
          <cell r="AA290">
            <v>0.42777777777777776</v>
          </cell>
          <cell r="AB290" t="str">
            <v>CONTINUE LOADING SLING</v>
          </cell>
        </row>
        <row r="291">
          <cell r="F291">
            <v>0.61805555555555558</v>
          </cell>
          <cell r="G291" t="str">
            <v>CONTINUE LOADING SLING</v>
          </cell>
          <cell r="I291">
            <v>0.46805555555555556</v>
          </cell>
          <cell r="J291" t="str">
            <v>CONTINUE LOADING SLING</v>
          </cell>
          <cell r="O291">
            <v>0.5</v>
          </cell>
          <cell r="P291" t="str">
            <v>LUNCH BREAK</v>
          </cell>
          <cell r="U291">
            <v>0.65416666666666667</v>
          </cell>
          <cell r="V291" t="str">
            <v>CONTINUE LOADING SLING</v>
          </cell>
          <cell r="X291">
            <v>0.79166666666666663</v>
          </cell>
          <cell r="Y291" t="str">
            <v>KY TOOLBOX</v>
          </cell>
          <cell r="AA291">
            <v>0.44513888888888886</v>
          </cell>
          <cell r="AB291" t="str">
            <v>CONTINUE LOADING SLING</v>
          </cell>
        </row>
        <row r="292">
          <cell r="F292">
            <v>0.63888888888888884</v>
          </cell>
          <cell r="G292" t="str">
            <v>CONTINUE LOADING SLING</v>
          </cell>
          <cell r="I292">
            <v>0.5</v>
          </cell>
          <cell r="J292" t="str">
            <v>LUNCH BREAK</v>
          </cell>
          <cell r="O292">
            <v>0.58125000000000004</v>
          </cell>
          <cell r="P292" t="str">
            <v xml:space="preserve">CONTINUE LOADING </v>
          </cell>
          <cell r="U292">
            <v>0.67222222222222228</v>
          </cell>
          <cell r="V292" t="str">
            <v>CONTINUE LOADING SLING</v>
          </cell>
          <cell r="X292">
            <v>0.8125</v>
          </cell>
          <cell r="Y292" t="str">
            <v>WAITING AVAILABLE FORKLIFT</v>
          </cell>
          <cell r="AA292">
            <v>0.46458333333333335</v>
          </cell>
          <cell r="AB292" t="str">
            <v>CONTINUE LOADING SLING</v>
          </cell>
        </row>
        <row r="293">
          <cell r="F293">
            <v>0.69097222222222221</v>
          </cell>
          <cell r="G293" t="str">
            <v>CONTINUE LOADING SLING</v>
          </cell>
          <cell r="I293">
            <v>0.57708333333333328</v>
          </cell>
          <cell r="J293" t="str">
            <v>CONTINUE LOADING SLING</v>
          </cell>
          <cell r="O293">
            <v>0.59722222222222221</v>
          </cell>
          <cell r="P293" t="str">
            <v>CONTINUE LOADING SLING</v>
          </cell>
          <cell r="U293">
            <v>0.69097222222222221</v>
          </cell>
          <cell r="V293" t="str">
            <v>CONTINUE LOADING SLING</v>
          </cell>
          <cell r="X293">
            <v>0.95833333333333337</v>
          </cell>
          <cell r="Y293" t="str">
            <v xml:space="preserve">COMMENCE LOADING </v>
          </cell>
          <cell r="AA293">
            <v>0.47430555555555554</v>
          </cell>
          <cell r="AB293" t="str">
            <v>VESSEL COMPLETE</v>
          </cell>
        </row>
        <row r="294">
          <cell r="F294">
            <v>0.70972222222222225</v>
          </cell>
          <cell r="G294" t="str">
            <v>CONTINUE LOADING SLING</v>
          </cell>
          <cell r="I294">
            <v>0.59444444444444444</v>
          </cell>
          <cell r="J294" t="str">
            <v>CONTINUE LOADING SLING</v>
          </cell>
          <cell r="O294">
            <v>0.65972222222222221</v>
          </cell>
          <cell r="P294" t="str">
            <v>CONTINUE LOADING SLING</v>
          </cell>
          <cell r="U294">
            <v>0.79166666666666663</v>
          </cell>
          <cell r="V294" t="str">
            <v>KY TOOLBOX</v>
          </cell>
          <cell r="X294">
            <v>6.9444444444444441E-3</v>
          </cell>
          <cell r="Y294" t="str">
            <v xml:space="preserve">STOP LOADING </v>
          </cell>
        </row>
        <row r="295">
          <cell r="F295">
            <v>0.79166666666666663</v>
          </cell>
          <cell r="G295" t="str">
            <v>KY TOOLBOX</v>
          </cell>
          <cell r="I295">
            <v>0.63055555555555554</v>
          </cell>
          <cell r="J295" t="str">
            <v>CONTINUE LOADING SLING</v>
          </cell>
          <cell r="O295">
            <v>0.70138888888888884</v>
          </cell>
          <cell r="P295" t="str">
            <v>CONTINUE LOADING SLING</v>
          </cell>
          <cell r="U295">
            <v>0.83680555555555558</v>
          </cell>
          <cell r="V295" t="str">
            <v xml:space="preserve">RESUME LOADING </v>
          </cell>
          <cell r="X295">
            <v>4.1666666666666664E-2</v>
          </cell>
          <cell r="Y295" t="str">
            <v>CLOSE HATCH</v>
          </cell>
        </row>
        <row r="296">
          <cell r="F296">
            <v>0.83680555555555558</v>
          </cell>
          <cell r="G296" t="str">
            <v xml:space="preserve">RESUME LOADING </v>
          </cell>
          <cell r="I296">
            <v>0.66736111111111107</v>
          </cell>
          <cell r="J296" t="str">
            <v>CONTINUE LOADING SLING</v>
          </cell>
          <cell r="O296">
            <v>0.79166666666666663</v>
          </cell>
          <cell r="P296" t="str">
            <v>KY TOOLBOX</v>
          </cell>
          <cell r="U296">
            <v>0.86111111111111116</v>
          </cell>
          <cell r="V296" t="str">
            <v>.CONTINUE LOADING</v>
          </cell>
        </row>
        <row r="297">
          <cell r="F297">
            <v>0.86458333333333337</v>
          </cell>
          <cell r="G297" t="str">
            <v xml:space="preserve">.CONTINUE LOADING </v>
          </cell>
          <cell r="I297">
            <v>0.68402777777777779</v>
          </cell>
          <cell r="J297" t="str">
            <v>CONTINUE LOADING SLING</v>
          </cell>
          <cell r="O297">
            <v>0.8305555555555556</v>
          </cell>
          <cell r="P297" t="str">
            <v xml:space="preserve">RESUME LOADING </v>
          </cell>
          <cell r="U297">
            <v>0.89722222222222225</v>
          </cell>
          <cell r="V297" t="str">
            <v>.ONGOING LOADING</v>
          </cell>
        </row>
        <row r="298">
          <cell r="F298">
            <v>0.89930555555555558</v>
          </cell>
          <cell r="G298" t="str">
            <v xml:space="preserve">.ONGOING LOADING </v>
          </cell>
          <cell r="I298">
            <v>0.79166666666666663</v>
          </cell>
          <cell r="J298" t="str">
            <v>KY TOOLBOX</v>
          </cell>
          <cell r="O298">
            <v>0.86458333333333337</v>
          </cell>
          <cell r="P298" t="str">
            <v xml:space="preserve">.CONTINUE LOADING </v>
          </cell>
          <cell r="U298">
            <v>0.92708333333333337</v>
          </cell>
          <cell r="V298" t="str">
            <v>.CONTINUE LOADING</v>
          </cell>
        </row>
        <row r="299">
          <cell r="F299">
            <v>0.95833333333333337</v>
          </cell>
          <cell r="G299" t="str">
            <v>STEVEDORES BREAK</v>
          </cell>
          <cell r="I299">
            <v>0.84930555555555554</v>
          </cell>
          <cell r="J299" t="str">
            <v xml:space="preserve">RESUME LOADING </v>
          </cell>
          <cell r="O299">
            <v>0.88888888888888884</v>
          </cell>
          <cell r="P299" t="str">
            <v xml:space="preserve">.ONGOING LOADING </v>
          </cell>
          <cell r="U299">
            <v>0.95833333333333337</v>
          </cell>
          <cell r="V299" t="str">
            <v>STEVEDORES BREAK</v>
          </cell>
        </row>
        <row r="300">
          <cell r="F300">
            <v>0.11805555555555555</v>
          </cell>
          <cell r="G300" t="str">
            <v xml:space="preserve">RESUME LOADING </v>
          </cell>
          <cell r="I300">
            <v>0.86597222222222225</v>
          </cell>
          <cell r="J300" t="str">
            <v xml:space="preserve">.CONTINUE LOADING </v>
          </cell>
          <cell r="O300">
            <v>0.90972222222222221</v>
          </cell>
          <cell r="P300" t="str">
            <v xml:space="preserve">.CONTINUE LOADING </v>
          </cell>
          <cell r="U300">
            <v>0.12569444444444444</v>
          </cell>
          <cell r="V300" t="str">
            <v xml:space="preserve">RESUME LOADING </v>
          </cell>
        </row>
        <row r="301">
          <cell r="F301">
            <v>0.15625</v>
          </cell>
          <cell r="G301" t="str">
            <v xml:space="preserve">.CONTINUE LOADING </v>
          </cell>
          <cell r="I301">
            <v>0.88888888888888884</v>
          </cell>
          <cell r="J301" t="str">
            <v xml:space="preserve">.ONGOING LOADING </v>
          </cell>
          <cell r="O301">
            <v>0.94374999999999998</v>
          </cell>
          <cell r="P301" t="str">
            <v xml:space="preserve">.ONGOING LOADING </v>
          </cell>
          <cell r="U301">
            <v>0.15208333333333332</v>
          </cell>
          <cell r="V301" t="str">
            <v>.CONTINUE LOADING</v>
          </cell>
        </row>
        <row r="302">
          <cell r="F302">
            <v>0.16666666666666666</v>
          </cell>
          <cell r="G302" t="str">
            <v xml:space="preserve">.ONGOING LOADING </v>
          </cell>
          <cell r="I302">
            <v>0.9</v>
          </cell>
          <cell r="J302" t="str">
            <v>LOADING COMPLETE</v>
          </cell>
          <cell r="O302">
            <v>0.95833333333333337</v>
          </cell>
          <cell r="P302" t="str">
            <v xml:space="preserve">.CONTINUE LOADING </v>
          </cell>
          <cell r="U302">
            <v>0.1701388888888889</v>
          </cell>
          <cell r="V302" t="str">
            <v>.ONGOING LOADING</v>
          </cell>
        </row>
        <row r="303">
          <cell r="F303">
            <v>0.18611111111111112</v>
          </cell>
          <cell r="G303" t="str">
            <v xml:space="preserve">.CONTINUE LOADING </v>
          </cell>
          <cell r="O303">
            <v>0.97916666666666663</v>
          </cell>
          <cell r="P303" t="str">
            <v>STEVEDORES BREAK</v>
          </cell>
          <cell r="U303">
            <v>0.2013888888888889</v>
          </cell>
          <cell r="V303" t="str">
            <v xml:space="preserve">.CONTINUE LOADING </v>
          </cell>
        </row>
        <row r="304">
          <cell r="F304">
            <v>0.2048611111111111</v>
          </cell>
          <cell r="G304" t="str">
            <v xml:space="preserve">.CONTINUE LOADING </v>
          </cell>
          <cell r="O304">
            <v>0.14027777777777778</v>
          </cell>
          <cell r="P304" t="str">
            <v>RESUME LOADING</v>
          </cell>
          <cell r="U304">
            <v>0.22916666666666666</v>
          </cell>
          <cell r="V304" t="str">
            <v xml:space="preserve">.CONTINUE LOADING </v>
          </cell>
        </row>
        <row r="305">
          <cell r="F305">
            <v>0.25</v>
          </cell>
          <cell r="G305" t="str">
            <v>VESSEL BREAK</v>
          </cell>
          <cell r="O305">
            <v>0.16666666666666666</v>
          </cell>
          <cell r="P305" t="str">
            <v xml:space="preserve">.CONTINUE LOADING </v>
          </cell>
          <cell r="U305">
            <v>0.25</v>
          </cell>
          <cell r="V305" t="str">
            <v>VESSEL BREAK</v>
          </cell>
        </row>
        <row r="306">
          <cell r="O306">
            <v>0.17986111111111111</v>
          </cell>
          <cell r="P306" t="str">
            <v xml:space="preserve">.ONGOING LOADING </v>
          </cell>
        </row>
        <row r="307">
          <cell r="O307">
            <v>0.20347222222222222</v>
          </cell>
          <cell r="P307" t="str">
            <v xml:space="preserve">.CONTINUE LOADING </v>
          </cell>
        </row>
        <row r="308">
          <cell r="O308">
            <v>0.25</v>
          </cell>
          <cell r="P308" t="str">
            <v>VESSEL BREAK</v>
          </cell>
        </row>
        <row r="309">
          <cell r="D309" t="str">
            <v>VACANT</v>
          </cell>
          <cell r="G309" t="str">
            <v>SALVACION 8</v>
          </cell>
          <cell r="J309" t="str">
            <v>VACANT</v>
          </cell>
          <cell r="M309" t="str">
            <v>LADY OF COURAGE</v>
          </cell>
          <cell r="P309" t="str">
            <v>EFG 7</v>
          </cell>
          <cell r="S309" t="str">
            <v>VACANT</v>
          </cell>
          <cell r="V309" t="str">
            <v>LADY OF PEACE</v>
          </cell>
          <cell r="Y309" t="str">
            <v>NAPOLI</v>
          </cell>
          <cell r="AB309" t="str">
            <v>STAR FREEDOM</v>
          </cell>
          <cell r="AE309" t="str">
            <v xml:space="preserve">STAR SOGOD </v>
          </cell>
          <cell r="AH309" t="str">
            <v>SF JOURNEY</v>
          </cell>
        </row>
        <row r="310">
          <cell r="C310">
            <v>0.79166666666666663</v>
          </cell>
          <cell r="D310" t="str">
            <v>VACANT</v>
          </cell>
          <cell r="F310">
            <v>0.29166666666666669</v>
          </cell>
          <cell r="G310" t="str">
            <v>KY TOOLBOX</v>
          </cell>
          <cell r="I310">
            <v>0.54166666666666663</v>
          </cell>
          <cell r="J310" t="str">
            <v>NO ASSIGN VESSEL</v>
          </cell>
          <cell r="L310">
            <v>0.54166666666666663</v>
          </cell>
          <cell r="M310" t="str">
            <v>NO ASSIGN VESSEL</v>
          </cell>
          <cell r="O310">
            <v>0.29166666666666669</v>
          </cell>
          <cell r="P310" t="str">
            <v>KY TOOLBOX</v>
          </cell>
          <cell r="R310">
            <v>0.54166666666666663</v>
          </cell>
          <cell r="S310" t="str">
            <v>NO ASSIGN VESSEL</v>
          </cell>
          <cell r="U310">
            <v>0.29166666666666669</v>
          </cell>
          <cell r="V310" t="str">
            <v>KY TOOLBOX</v>
          </cell>
          <cell r="X310">
            <v>0.29166666666666669</v>
          </cell>
          <cell r="Y310" t="str">
            <v>KY TOOLBOX</v>
          </cell>
          <cell r="AD310">
            <v>0.29166666666666669</v>
          </cell>
          <cell r="AE310" t="str">
            <v>KY TOOLBOX</v>
          </cell>
          <cell r="AG310">
            <v>0.29166666666666669</v>
          </cell>
          <cell r="AH310" t="str">
            <v>KY TOOLBOX</v>
          </cell>
        </row>
        <row r="311">
          <cell r="F311">
            <v>0.38958333333333334</v>
          </cell>
          <cell r="G311" t="str">
            <v>RESUME LOADING SLING T1T</v>
          </cell>
          <cell r="I311">
            <v>0.25</v>
          </cell>
          <cell r="J311" t="str">
            <v>VACANT</v>
          </cell>
          <cell r="L311">
            <v>0.56319444444444444</v>
          </cell>
          <cell r="M311" t="str">
            <v>DOCK AND SECURE</v>
          </cell>
          <cell r="O311">
            <v>0.3527777777777778</v>
          </cell>
          <cell r="P311" t="str">
            <v>RESUME LOADING SLING T1T</v>
          </cell>
          <cell r="R311">
            <v>0.25</v>
          </cell>
          <cell r="S311" t="str">
            <v>VACANT</v>
          </cell>
          <cell r="U311">
            <v>0.34027777777777779</v>
          </cell>
          <cell r="V311" t="str">
            <v xml:space="preserve">CONTINUE LOADING </v>
          </cell>
          <cell r="X311">
            <v>0.33750000000000002</v>
          </cell>
          <cell r="Y311" t="str">
            <v xml:space="preserve">CONTINUE LOADING </v>
          </cell>
          <cell r="AA311">
            <v>0.46180555555555558</v>
          </cell>
          <cell r="AB311" t="str">
            <v>NEW DOCKING VESSEL</v>
          </cell>
          <cell r="AD311">
            <v>0.33333333333333331</v>
          </cell>
          <cell r="AE311" t="str">
            <v>UNABLE TO START DUE TO NO CRANE OPERATOR</v>
          </cell>
          <cell r="AG311">
            <v>0.33333333333333331</v>
          </cell>
          <cell r="AH311" t="str">
            <v>NO BOOKING</v>
          </cell>
        </row>
        <row r="312">
          <cell r="F312">
            <v>0.40208333333333335</v>
          </cell>
          <cell r="G312" t="str">
            <v>RESUME LOADING SLING T1T</v>
          </cell>
          <cell r="L312">
            <v>0.79166666666666663</v>
          </cell>
          <cell r="M312" t="str">
            <v>KY TOOLBOX</v>
          </cell>
          <cell r="O312">
            <v>0.36666666666666664</v>
          </cell>
          <cell r="P312" t="str">
            <v>RESUME LOADING SLING T1T</v>
          </cell>
          <cell r="U312">
            <v>0.34722222222222221</v>
          </cell>
          <cell r="V312" t="str">
            <v xml:space="preserve">CONTINUE LOADING </v>
          </cell>
          <cell r="X312">
            <v>0.3659722222222222</v>
          </cell>
          <cell r="Y312" t="str">
            <v xml:space="preserve">CONTINUE LOADING </v>
          </cell>
          <cell r="AA312">
            <v>0.79166666666666663</v>
          </cell>
          <cell r="AB312" t="str">
            <v>KY TOOLBOX</v>
          </cell>
          <cell r="AD312">
            <v>0.38541666666666669</v>
          </cell>
          <cell r="AE312" t="str">
            <v>RESUME LOADING SLING T1P</v>
          </cell>
          <cell r="AG312">
            <v>0.375</v>
          </cell>
          <cell r="AH312" t="str">
            <v>NO BOOKING</v>
          </cell>
        </row>
        <row r="313">
          <cell r="F313">
            <v>0.4201388888888889</v>
          </cell>
          <cell r="G313" t="str">
            <v>RESUME LOADING SLING T1T</v>
          </cell>
          <cell r="L313">
            <v>0.87708333333333333</v>
          </cell>
          <cell r="M313" t="str">
            <v>COMMENCE LOADING</v>
          </cell>
          <cell r="O313">
            <v>0.36666666666666664</v>
          </cell>
          <cell r="P313" t="str">
            <v>RESUME LOADING SLING T1T</v>
          </cell>
          <cell r="U313">
            <v>0.35486111111111113</v>
          </cell>
          <cell r="V313" t="str">
            <v xml:space="preserve">CONTINUE LOADING </v>
          </cell>
          <cell r="X313">
            <v>0.3888888888888889</v>
          </cell>
          <cell r="Y313" t="str">
            <v>CONTINUE LOADING T1P</v>
          </cell>
          <cell r="AA313">
            <v>0.83680555555555558</v>
          </cell>
          <cell r="AB313" t="str">
            <v xml:space="preserve">COMMENCE LOADING </v>
          </cell>
          <cell r="AD313">
            <v>0.4284722222222222</v>
          </cell>
          <cell r="AE313" t="str">
            <v>RESUME LOADING SLING T1P</v>
          </cell>
          <cell r="AG313">
            <v>0.41666666666666669</v>
          </cell>
          <cell r="AH313" t="str">
            <v>NO BOOKING</v>
          </cell>
        </row>
        <row r="314">
          <cell r="F314">
            <v>0.43888888888888888</v>
          </cell>
          <cell r="G314" t="str">
            <v>RESUME LOADING SLING T1T</v>
          </cell>
          <cell r="L314">
            <v>0.90833333333333333</v>
          </cell>
          <cell r="M314" t="str">
            <v xml:space="preserve">CONTINUE LOADING </v>
          </cell>
          <cell r="O314">
            <v>0.43402777777777779</v>
          </cell>
          <cell r="P314" t="str">
            <v>CONTINUE LOADING SLING T1T PH1</v>
          </cell>
          <cell r="U314">
            <v>0.36805555555555558</v>
          </cell>
          <cell r="V314" t="str">
            <v>VESSEL COMPLETE</v>
          </cell>
          <cell r="X314">
            <v>0.40208333333333335</v>
          </cell>
          <cell r="Y314" t="str">
            <v>CONTINUE LOADING T1P</v>
          </cell>
          <cell r="AA314">
            <v>0.85902777777777772</v>
          </cell>
          <cell r="AB314" t="str">
            <v xml:space="preserve">CONTINUE LOADING </v>
          </cell>
          <cell r="AD314">
            <v>0.54166666666666663</v>
          </cell>
          <cell r="AE314" t="str">
            <v>VESSEL CLOSE DUE TO RAIN</v>
          </cell>
          <cell r="AG314">
            <v>0.45833333333333331</v>
          </cell>
          <cell r="AH314" t="str">
            <v>NO BOOKING</v>
          </cell>
        </row>
        <row r="315">
          <cell r="F315">
            <v>0.45763888888888887</v>
          </cell>
          <cell r="G315" t="str">
            <v>RESUME LOADING SLING T1T</v>
          </cell>
          <cell r="L315">
            <v>0.92083333333333328</v>
          </cell>
          <cell r="M315" t="str">
            <v xml:space="preserve">.ONGOING LOADING </v>
          </cell>
          <cell r="O315">
            <v>0.54166666666666663</v>
          </cell>
          <cell r="P315" t="str">
            <v>VESSEL CLOSE DUE TO RAIN</v>
          </cell>
          <cell r="X315">
            <v>0.43888888888888888</v>
          </cell>
          <cell r="Y315" t="str">
            <v>CONTINUE LOADING T1P</v>
          </cell>
          <cell r="AA315">
            <v>0.875</v>
          </cell>
          <cell r="AB315" t="str">
            <v xml:space="preserve">.ONGOING LOADING </v>
          </cell>
          <cell r="AD315">
            <v>0.60347222222222219</v>
          </cell>
          <cell r="AE315" t="str">
            <v>RESUME LOADING SLING T1P</v>
          </cell>
          <cell r="AG315">
            <v>0.5</v>
          </cell>
          <cell r="AH315" t="str">
            <v>NO BOOKING</v>
          </cell>
        </row>
        <row r="316">
          <cell r="F316">
            <v>0.54166666666666663</v>
          </cell>
          <cell r="G316" t="str">
            <v>VESSEL CLOSE DUE TO RAIN</v>
          </cell>
          <cell r="L316">
            <v>0.9375</v>
          </cell>
          <cell r="M316" t="str">
            <v xml:space="preserve">.CONTINUE LOADING </v>
          </cell>
          <cell r="O316">
            <v>0.60624999999999996</v>
          </cell>
          <cell r="P316" t="str">
            <v>CONTINUE LOADING SLING T1T PH1</v>
          </cell>
          <cell r="X316">
            <v>0.54166666666666663</v>
          </cell>
          <cell r="Y316" t="str">
            <v>VESSEL CLOSE DUE TO RAIN</v>
          </cell>
          <cell r="AA316">
            <v>0.88888888888888884</v>
          </cell>
          <cell r="AB316" t="str">
            <v xml:space="preserve">.CONTINUE LOADING </v>
          </cell>
          <cell r="AD316">
            <v>0.63611111111111107</v>
          </cell>
          <cell r="AE316" t="str">
            <v>RESUME LOADING SLING T1P</v>
          </cell>
          <cell r="AG316">
            <v>0.54166666666666663</v>
          </cell>
          <cell r="AH316" t="str">
            <v>NO BOOKING/RAIN</v>
          </cell>
        </row>
        <row r="317">
          <cell r="F317">
            <v>0.59861111111111109</v>
          </cell>
          <cell r="G317" t="str">
            <v>RESUME LOADING SLING T1T</v>
          </cell>
          <cell r="L317">
            <v>0.97083333333333333</v>
          </cell>
          <cell r="M317" t="str">
            <v xml:space="preserve">.ONGOING LOADING </v>
          </cell>
          <cell r="O317">
            <v>0.62013888888888891</v>
          </cell>
          <cell r="P317" t="str">
            <v>RESUME LOADING SLING T1T</v>
          </cell>
          <cell r="X317">
            <v>0.61458333333333337</v>
          </cell>
          <cell r="Y317" t="str">
            <v>CONTINUE LOADING T1P</v>
          </cell>
          <cell r="AA317">
            <v>0.90694444444444444</v>
          </cell>
          <cell r="AB317" t="str">
            <v xml:space="preserve">.ONGOING LOADING </v>
          </cell>
          <cell r="AD317">
            <v>0.70138888888888884</v>
          </cell>
          <cell r="AE317" t="str">
            <v>VESSEL CLOSE DUE TO RAIN</v>
          </cell>
          <cell r="AG317">
            <v>0.625</v>
          </cell>
          <cell r="AH317" t="str">
            <v>HATCH COVER DEFECTIVE</v>
          </cell>
        </row>
        <row r="318">
          <cell r="L318">
            <v>0.97916666666666663</v>
          </cell>
          <cell r="M318" t="str">
            <v>STEVEDORES BREAK</v>
          </cell>
          <cell r="X318">
            <v>0.66666666666666663</v>
          </cell>
          <cell r="Y318" t="str">
            <v>CONTINUE LOADING T1P</v>
          </cell>
          <cell r="AA318">
            <v>0.92777777777777781</v>
          </cell>
          <cell r="AB318" t="str">
            <v xml:space="preserve">.CONTINUE LOADING </v>
          </cell>
          <cell r="AD318">
            <v>0.79166666666666663</v>
          </cell>
          <cell r="AE318" t="str">
            <v>KY TOOLBOX</v>
          </cell>
          <cell r="AG318">
            <v>0.79166666666666663</v>
          </cell>
          <cell r="AH318" t="str">
            <v>UNABLE TO COMMENCE</v>
          </cell>
        </row>
        <row r="319">
          <cell r="F319">
            <v>0.61805555555555558</v>
          </cell>
          <cell r="G319" t="str">
            <v>RESUME LOADING SLING T1T</v>
          </cell>
          <cell r="L319">
            <v>9.6527777777777782E-2</v>
          </cell>
          <cell r="M319" t="str">
            <v>RESUME LOADING</v>
          </cell>
          <cell r="O319">
            <v>0.6645833333333333</v>
          </cell>
          <cell r="P319" t="str">
            <v>RESUME LOADING SLING T1T</v>
          </cell>
          <cell r="X319">
            <v>0.68611111111111112</v>
          </cell>
          <cell r="Y319" t="str">
            <v>CONTINUE LOADING T1P</v>
          </cell>
          <cell r="AA319">
            <v>0.94166666666666665</v>
          </cell>
          <cell r="AB319" t="str">
            <v xml:space="preserve">.ONGOING LOADING </v>
          </cell>
          <cell r="AD319">
            <v>0.82430555555555551</v>
          </cell>
          <cell r="AE319" t="str">
            <v xml:space="preserve">RESUME LOADING </v>
          </cell>
        </row>
        <row r="320">
          <cell r="F320">
            <v>0.63194444444444442</v>
          </cell>
          <cell r="G320" t="str">
            <v>RESUME LOADING SLING T1T</v>
          </cell>
          <cell r="L320">
            <v>0.10833333333333334</v>
          </cell>
          <cell r="M320" t="str">
            <v xml:space="preserve">.CONTINUE LOADING </v>
          </cell>
          <cell r="O320">
            <v>0.6791666666666667</v>
          </cell>
          <cell r="P320" t="str">
            <v>RESUME LOADING SLING T1T</v>
          </cell>
          <cell r="X320">
            <v>0.70138888888888884</v>
          </cell>
          <cell r="Y320" t="str">
            <v>VESSEL CLOSE DUE TO RAIN</v>
          </cell>
          <cell r="AA320">
            <v>0.96111111111111114</v>
          </cell>
          <cell r="AB320" t="str">
            <v xml:space="preserve">.CONTINUE LOADING </v>
          </cell>
          <cell r="AD320">
            <v>0.85416666666666663</v>
          </cell>
          <cell r="AE320" t="str">
            <v xml:space="preserve">.CONTINUE LOADING </v>
          </cell>
        </row>
        <row r="321">
          <cell r="F321">
            <v>0.65</v>
          </cell>
          <cell r="G321" t="str">
            <v>RESUME LOADING SLING T1T</v>
          </cell>
          <cell r="L321">
            <v>0.19305555555555556</v>
          </cell>
          <cell r="M321" t="str">
            <v xml:space="preserve">.ONGOING LOADING </v>
          </cell>
          <cell r="O321">
            <v>0.69791666666666663</v>
          </cell>
          <cell r="P321" t="str">
            <v>RESUME LOADING SLING T1T</v>
          </cell>
          <cell r="X321">
            <v>0.79166666666666663</v>
          </cell>
          <cell r="Y321" t="str">
            <v>KY TOOLBOX</v>
          </cell>
          <cell r="AA321">
            <v>0.9819444444444444</v>
          </cell>
          <cell r="AB321" t="str">
            <v xml:space="preserve">.ONGOING LOADING </v>
          </cell>
          <cell r="AD321">
            <v>0.8833333333333333</v>
          </cell>
          <cell r="AE321" t="str">
            <v>.ONGOING LOADING</v>
          </cell>
        </row>
        <row r="322">
          <cell r="F322">
            <v>0.6645833333333333</v>
          </cell>
          <cell r="G322" t="str">
            <v>RESUME LOADING SLING T1T</v>
          </cell>
          <cell r="L322">
            <v>0.20833333333333334</v>
          </cell>
          <cell r="M322" t="str">
            <v>WAITING MATERIAL</v>
          </cell>
          <cell r="O322">
            <v>0.70138888888888884</v>
          </cell>
          <cell r="P322" t="str">
            <v>VESSEL CLOSE DUE TRAIN</v>
          </cell>
          <cell r="X322">
            <v>0.82916666666666672</v>
          </cell>
          <cell r="Y322" t="str">
            <v xml:space="preserve">RESUME LOADING </v>
          </cell>
          <cell r="AA322">
            <v>6.5972222222222224E-2</v>
          </cell>
          <cell r="AB322" t="str">
            <v>RESUME LOADING</v>
          </cell>
          <cell r="AD322">
            <v>0.95833333333333337</v>
          </cell>
          <cell r="AE322" t="str">
            <v>STEVEDORES BREAK</v>
          </cell>
        </row>
        <row r="323">
          <cell r="F323">
            <v>0.67152777777777772</v>
          </cell>
          <cell r="G323" t="str">
            <v>RESUME LOADING SLING T1T</v>
          </cell>
          <cell r="L323">
            <v>0.25</v>
          </cell>
          <cell r="M323" t="str">
            <v>VESSEL BREAK</v>
          </cell>
          <cell r="O323">
            <v>0.79166666666666663</v>
          </cell>
          <cell r="P323" t="str">
            <v>KY TOOLBOX</v>
          </cell>
          <cell r="X323">
            <v>0.85347222222222219</v>
          </cell>
          <cell r="Y323" t="str">
            <v xml:space="preserve">.CONTINUE LOADING </v>
          </cell>
          <cell r="AA323">
            <v>0.10069444444444445</v>
          </cell>
          <cell r="AB323" t="str">
            <v xml:space="preserve">.CONTINUE LOADING </v>
          </cell>
          <cell r="AD323">
            <v>6.8750000000000006E-2</v>
          </cell>
          <cell r="AE323" t="str">
            <v>RESUME LOADING</v>
          </cell>
        </row>
        <row r="324">
          <cell r="F324">
            <v>0.68263888888888891</v>
          </cell>
          <cell r="G324" t="str">
            <v>VESSEL COMPLETE</v>
          </cell>
          <cell r="O324">
            <v>0.83333333333333337</v>
          </cell>
          <cell r="P324" t="str">
            <v>WAITING MATERIAL</v>
          </cell>
          <cell r="X324">
            <v>0.88124999999999998</v>
          </cell>
          <cell r="Y324" t="str">
            <v xml:space="preserve">.ONGOING LOADING </v>
          </cell>
          <cell r="AA324">
            <v>0.11805555555555555</v>
          </cell>
          <cell r="AB324" t="str">
            <v xml:space="preserve">.ONGOING LOADING </v>
          </cell>
          <cell r="AD324">
            <v>9.375E-2</v>
          </cell>
          <cell r="AE324" t="str">
            <v xml:space="preserve">.CONTINUE LOADING </v>
          </cell>
        </row>
        <row r="325">
          <cell r="F325" t="str">
            <v xml:space="preserve"> </v>
          </cell>
          <cell r="G325" t="str">
            <v xml:space="preserve"> </v>
          </cell>
          <cell r="O325">
            <v>0.875</v>
          </cell>
          <cell r="P325" t="str">
            <v xml:space="preserve">RESUME LOADING </v>
          </cell>
          <cell r="X325">
            <v>0.9819444444444444</v>
          </cell>
          <cell r="Y325" t="str">
            <v xml:space="preserve">.CONTINUE LOADING </v>
          </cell>
          <cell r="AA325">
            <v>0.17222222222222222</v>
          </cell>
          <cell r="AB325" t="str">
            <v xml:space="preserve">.CONTINUE LOADING </v>
          </cell>
          <cell r="AD325">
            <v>0.15833333333333333</v>
          </cell>
          <cell r="AE325" t="str">
            <v>.ONGOING LOADING</v>
          </cell>
        </row>
        <row r="326">
          <cell r="F326">
            <v>0.79166666666666663</v>
          </cell>
          <cell r="G326" t="str">
            <v>VACANT</v>
          </cell>
          <cell r="O326">
            <v>0.90833333333333333</v>
          </cell>
          <cell r="P326" t="str">
            <v xml:space="preserve">CONTINUE LOADING </v>
          </cell>
          <cell r="X326">
            <v>0.94305555555555554</v>
          </cell>
          <cell r="Y326" t="str">
            <v xml:space="preserve">CONTINUE LOADING </v>
          </cell>
          <cell r="AA326">
            <v>0.1875</v>
          </cell>
          <cell r="AB326" t="str">
            <v xml:space="preserve">TEMP. STOP LOADING </v>
          </cell>
          <cell r="AD326">
            <v>0.21249999999999999</v>
          </cell>
          <cell r="AE326" t="str">
            <v xml:space="preserve">.CONTINUE LOADING </v>
          </cell>
        </row>
        <row r="327">
          <cell r="O327">
            <v>0.95833333333333337</v>
          </cell>
          <cell r="P327" t="str">
            <v>STEVEDORES BREAK</v>
          </cell>
          <cell r="X327">
            <v>2.5000000000000001E-2</v>
          </cell>
          <cell r="Y327" t="str">
            <v>ONGOING LOADING</v>
          </cell>
          <cell r="AA327">
            <v>0.25</v>
          </cell>
          <cell r="AB327" t="str">
            <v>VESSEL BREAK</v>
          </cell>
          <cell r="AD327">
            <v>0.25</v>
          </cell>
          <cell r="AE327" t="str">
            <v>VESSEL BREAK</v>
          </cell>
        </row>
        <row r="328">
          <cell r="O328">
            <v>7.9166666666666663E-2</v>
          </cell>
          <cell r="P328" t="str">
            <v>RESUME LOADING</v>
          </cell>
          <cell r="X328">
            <v>6.1111111111111109E-2</v>
          </cell>
          <cell r="Y328" t="str">
            <v xml:space="preserve">.CONTINUE LOADING </v>
          </cell>
        </row>
        <row r="329">
          <cell r="O329">
            <v>0.10555555555555556</v>
          </cell>
          <cell r="P329" t="str">
            <v xml:space="preserve">.CONTINUE LOADING </v>
          </cell>
          <cell r="X329">
            <v>6.25E-2</v>
          </cell>
          <cell r="Y329" t="str">
            <v>WAITING MATERIAL</v>
          </cell>
        </row>
        <row r="330">
          <cell r="O330">
            <v>0.17222222222222222</v>
          </cell>
          <cell r="P330" t="str">
            <v xml:space="preserve">.ONGOING LOADING </v>
          </cell>
          <cell r="X330">
            <v>0.25</v>
          </cell>
          <cell r="Y330" t="str">
            <v>VESSEL BREAK</v>
          </cell>
        </row>
        <row r="331">
          <cell r="O331">
            <v>0.20277777777777778</v>
          </cell>
          <cell r="P331" t="str">
            <v xml:space="preserve">.CONTINUE LOADING </v>
          </cell>
        </row>
        <row r="332">
          <cell r="O332">
            <v>0.25</v>
          </cell>
          <cell r="P332" t="str">
            <v>VESSEL BREAK</v>
          </cell>
        </row>
        <row r="333">
          <cell r="D333" t="str">
            <v>VACANT</v>
          </cell>
          <cell r="G333" t="str">
            <v>VACANT</v>
          </cell>
          <cell r="J333" t="str">
            <v>STAR ILIGAN</v>
          </cell>
          <cell r="M333" t="str">
            <v>LADY OF COURAGE</v>
          </cell>
          <cell r="P333" t="str">
            <v>EFG 7</v>
          </cell>
          <cell r="S333" t="str">
            <v>EMERALD STAR</v>
          </cell>
          <cell r="V333" t="str">
            <v>ADOLFO SR</v>
          </cell>
          <cell r="Y333" t="str">
            <v>NAPOLI</v>
          </cell>
          <cell r="AB333" t="str">
            <v>STAR FREEDOM</v>
          </cell>
          <cell r="AE333" t="str">
            <v xml:space="preserve">STAR SOGOD </v>
          </cell>
          <cell r="AH333" t="str">
            <v>SF JOURNEY</v>
          </cell>
        </row>
        <row r="334">
          <cell r="I334">
            <v>0.31944444444444442</v>
          </cell>
          <cell r="J334" t="str">
            <v>NEWLY DOCK</v>
          </cell>
          <cell r="L334">
            <v>0.29166666666666669</v>
          </cell>
          <cell r="M334" t="str">
            <v>WAITING DELIVERY MATERIALS</v>
          </cell>
          <cell r="O334">
            <v>0.29166666666666669</v>
          </cell>
          <cell r="P334" t="str">
            <v>KY TOOLBOX</v>
          </cell>
          <cell r="R334">
            <v>0.29166666666666669</v>
          </cell>
          <cell r="S334" t="str">
            <v>NEWLY DOCK</v>
          </cell>
          <cell r="U334">
            <v>0.29166666666666669</v>
          </cell>
          <cell r="V334" t="str">
            <v>NEWLY DOCK</v>
          </cell>
          <cell r="X334">
            <v>0.29166666666666669</v>
          </cell>
          <cell r="Y334" t="str">
            <v>KY TOOLBOX</v>
          </cell>
          <cell r="AA334">
            <v>0.29166666666666669</v>
          </cell>
          <cell r="AB334" t="str">
            <v>KY TOOLBOX</v>
          </cell>
          <cell r="AD334">
            <v>0.29166666666666669</v>
          </cell>
          <cell r="AE334" t="str">
            <v>KY TOOLBOX</v>
          </cell>
          <cell r="AG334">
            <v>0.29166666666666669</v>
          </cell>
          <cell r="AH334" t="str">
            <v>KY TOOLBOX</v>
          </cell>
        </row>
        <row r="335">
          <cell r="I335">
            <v>0.33402777777777776</v>
          </cell>
          <cell r="J335" t="str">
            <v>WAITING DELIVERY MATERIALS</v>
          </cell>
          <cell r="O335">
            <v>0.34375</v>
          </cell>
          <cell r="P335" t="str">
            <v>CONTINUE LOADING</v>
          </cell>
          <cell r="X335">
            <v>0.34861111111111109</v>
          </cell>
          <cell r="Y335" t="str">
            <v>VESSEL DEFECTIVE HATCH COVER</v>
          </cell>
          <cell r="AA335">
            <v>0.36319444444444443</v>
          </cell>
          <cell r="AB335" t="str">
            <v>CONTINUE LOADING</v>
          </cell>
          <cell r="AD335">
            <v>0.34375</v>
          </cell>
          <cell r="AE335" t="str">
            <v>CONTINUE  LOADING</v>
          </cell>
          <cell r="AG335">
            <v>0.3347222222222222</v>
          </cell>
          <cell r="AH335" t="str">
            <v>DEFECTIVE HATCH COVER</v>
          </cell>
        </row>
        <row r="336">
          <cell r="I336">
            <v>0.39027777777777778</v>
          </cell>
          <cell r="J336" t="str">
            <v>WAITING DELIVERY MATERIALS</v>
          </cell>
          <cell r="O336">
            <v>0.38055555555555554</v>
          </cell>
          <cell r="P336" t="str">
            <v>CONTINUE LOADING</v>
          </cell>
          <cell r="X336">
            <v>0.37569444444444444</v>
          </cell>
          <cell r="Y336" t="str">
            <v>VESSEL DEFECTIVE HATCH COVER</v>
          </cell>
          <cell r="AA336">
            <v>0.39583333333333331</v>
          </cell>
          <cell r="AB336" t="str">
            <v>CONTINUE LOADING</v>
          </cell>
          <cell r="AD336">
            <v>0.3888888888888889</v>
          </cell>
          <cell r="AE336" t="str">
            <v>CONTINUE  LOADING</v>
          </cell>
          <cell r="AG336">
            <v>0.39027777777777778</v>
          </cell>
          <cell r="AH336" t="str">
            <v>DEFECTIVE HATCH COVER</v>
          </cell>
        </row>
        <row r="337">
          <cell r="I337">
            <v>0.41736111111111113</v>
          </cell>
          <cell r="J337" t="str">
            <v>WAITING DELIVERY MATERIALS</v>
          </cell>
          <cell r="O337">
            <v>0.40347222222222223</v>
          </cell>
          <cell r="P337" t="str">
            <v>CONTINUE LOADING</v>
          </cell>
          <cell r="X337">
            <v>0.43194444444444446</v>
          </cell>
          <cell r="Y337" t="str">
            <v>VESSEL DEFECTIVE HATCH COVER</v>
          </cell>
          <cell r="AA337">
            <v>0.43194444444444446</v>
          </cell>
          <cell r="AB337" t="str">
            <v>CONTINUE LOADING</v>
          </cell>
          <cell r="AD337">
            <v>0.43194444444444446</v>
          </cell>
          <cell r="AE337" t="str">
            <v>WAITING DELIVERY MATERIALS</v>
          </cell>
          <cell r="AG337">
            <v>0.42569444444444443</v>
          </cell>
          <cell r="AH337" t="str">
            <v>DEFECTIVE HATCH COVER</v>
          </cell>
        </row>
        <row r="338">
          <cell r="I338">
            <v>0.4597222222222222</v>
          </cell>
          <cell r="J338" t="str">
            <v>WAITING DELIVERY MATERIALS</v>
          </cell>
          <cell r="O338">
            <v>0.43680555555555556</v>
          </cell>
          <cell r="P338" t="str">
            <v xml:space="preserve">COMPLETE LOADING </v>
          </cell>
          <cell r="X338">
            <v>0.47916666666666669</v>
          </cell>
          <cell r="Y338" t="str">
            <v>VESSEL DEFECTIVE HATCH COVER</v>
          </cell>
          <cell r="AA338">
            <v>0.46458333333333335</v>
          </cell>
          <cell r="AB338" t="str">
            <v>CONTINUE LOADING</v>
          </cell>
          <cell r="AD338">
            <v>0.45902777777777776</v>
          </cell>
          <cell r="AE338" t="str">
            <v>WAITING DELIVERY MATERIALS</v>
          </cell>
          <cell r="AG338">
            <v>0.45902777777777776</v>
          </cell>
          <cell r="AH338" t="str">
            <v>DEFECTIVE HATCH COVER</v>
          </cell>
        </row>
        <row r="339">
          <cell r="I339">
            <v>0.50138888888888888</v>
          </cell>
          <cell r="J339" t="str">
            <v>LUNCH BREAK</v>
          </cell>
          <cell r="X339">
            <v>0.5</v>
          </cell>
          <cell r="Y339" t="str">
            <v>LUNCH BREAK</v>
          </cell>
          <cell r="AA339">
            <v>0.49305555555555558</v>
          </cell>
          <cell r="AB339" t="str">
            <v>CONTINUE LOADING</v>
          </cell>
          <cell r="AD339">
            <v>0.5</v>
          </cell>
          <cell r="AE339" t="str">
            <v>LUNCH BREAK</v>
          </cell>
          <cell r="AG339">
            <v>0.5</v>
          </cell>
          <cell r="AH339" t="str">
            <v>LUNCH BREAK</v>
          </cell>
        </row>
        <row r="340">
          <cell r="I340">
            <v>0.54305555555555551</v>
          </cell>
          <cell r="J340" t="str">
            <v>WAITING DELIVERY MATERIALS</v>
          </cell>
          <cell r="X340">
            <v>0.5625</v>
          </cell>
          <cell r="Y340" t="str">
            <v xml:space="preserve">CONTINUE LOADING </v>
          </cell>
          <cell r="AA340">
            <v>0.5</v>
          </cell>
          <cell r="AB340" t="str">
            <v>LUNCH BREAK</v>
          </cell>
          <cell r="AD340">
            <v>0.56805555555555554</v>
          </cell>
          <cell r="AE340" t="str">
            <v>CONTINUE  LOADING</v>
          </cell>
        </row>
        <row r="341">
          <cell r="I341">
            <v>0.60138888888888886</v>
          </cell>
          <cell r="J341" t="str">
            <v>COMMENCE CEMENT LOADING</v>
          </cell>
          <cell r="X341">
            <v>0.58958333333333335</v>
          </cell>
          <cell r="Y341" t="str">
            <v xml:space="preserve">CONTINUE LOADING </v>
          </cell>
          <cell r="AD341">
            <v>0.59930555555555554</v>
          </cell>
          <cell r="AE341" t="str">
            <v>CONTINUE  LOADING</v>
          </cell>
        </row>
        <row r="342">
          <cell r="X342">
            <v>0.62708333333333333</v>
          </cell>
          <cell r="Y342" t="str">
            <v xml:space="preserve">CONTINUE LOADING </v>
          </cell>
          <cell r="AD342">
            <v>0.6479166666666667</v>
          </cell>
          <cell r="AE342" t="str">
            <v>CONTINUE  LOADING</v>
          </cell>
        </row>
        <row r="343">
          <cell r="D343" t="str">
            <v>SF JOURNEY</v>
          </cell>
          <cell r="G343" t="str">
            <v>INFINITY 8</v>
          </cell>
          <cell r="J343" t="str">
            <v>STAR ILIGAN</v>
          </cell>
          <cell r="M343" t="str">
            <v>LADY OF COURAGE</v>
          </cell>
          <cell r="P343" t="str">
            <v>LADY OF DIVINE GRACE</v>
          </cell>
          <cell r="S343" t="str">
            <v>EMERALD STAR</v>
          </cell>
          <cell r="V343" t="str">
            <v>ADOLFO SR</v>
          </cell>
          <cell r="Y343" t="str">
            <v>LADY OF ROSARY</v>
          </cell>
          <cell r="AB343" t="str">
            <v>EASTERN CEBU</v>
          </cell>
          <cell r="AE343" t="str">
            <v>VACANT</v>
          </cell>
          <cell r="AH343" t="str">
            <v>VACANT</v>
          </cell>
        </row>
        <row r="344">
          <cell r="C344">
            <v>0.29166666666666669</v>
          </cell>
          <cell r="D344" t="str">
            <v>WAITING MATERIAL</v>
          </cell>
          <cell r="F344">
            <v>0.45833333333333331</v>
          </cell>
          <cell r="G344" t="str">
            <v>NEW DOCKING VESSEL</v>
          </cell>
          <cell r="I344">
            <v>0.3659722222222222</v>
          </cell>
          <cell r="J344" t="str">
            <v>CONDUCT KY</v>
          </cell>
          <cell r="L344">
            <v>0.29166666666666669</v>
          </cell>
          <cell r="M344" t="str">
            <v>WAITING  MATERIAL</v>
          </cell>
          <cell r="O344">
            <v>0.29166666666666669</v>
          </cell>
          <cell r="P344" t="str">
            <v>WAITING MATERIAL</v>
          </cell>
          <cell r="R344">
            <v>0.29166666666666669</v>
          </cell>
          <cell r="S344" t="str">
            <v>NO BOOKING</v>
          </cell>
          <cell r="U344">
            <v>0.29166666666666669</v>
          </cell>
          <cell r="V344" t="str">
            <v>NO BOOKING</v>
          </cell>
          <cell r="X344">
            <v>0.40972222222222221</v>
          </cell>
          <cell r="Y344" t="str">
            <v>NEW DOCKIGN VESSEL</v>
          </cell>
          <cell r="AA344">
            <v>0.29166666666666669</v>
          </cell>
          <cell r="AB344" t="str">
            <v>NEW DOCKING VESSEL</v>
          </cell>
          <cell r="AD344">
            <v>0.29166666666666669</v>
          </cell>
          <cell r="AE344" t="str">
            <v>NO VESSEL</v>
          </cell>
          <cell r="AG344">
            <v>0.29166666666666669</v>
          </cell>
          <cell r="AH344" t="str">
            <v>NO ASSIGN VESSEL</v>
          </cell>
        </row>
        <row r="345">
          <cell r="C345">
            <v>0.33333333333333331</v>
          </cell>
          <cell r="D345" t="str">
            <v>WAITING MATERIAL</v>
          </cell>
          <cell r="I345">
            <v>0.36736111111111114</v>
          </cell>
          <cell r="J345" t="str">
            <v>RESUME LOADING TONNER</v>
          </cell>
          <cell r="L345">
            <v>0.33333333333333331</v>
          </cell>
          <cell r="M345" t="str">
            <v>WAITING  MATERIAL</v>
          </cell>
          <cell r="O345">
            <v>0.54166666666666663</v>
          </cell>
          <cell r="P345" t="str">
            <v>UNABLE TO COMMENCE</v>
          </cell>
          <cell r="R345">
            <v>0.625</v>
          </cell>
          <cell r="S345" t="str">
            <v xml:space="preserve">UNABLE TO COMMENCE </v>
          </cell>
          <cell r="U345" t="str">
            <v xml:space="preserve"> </v>
          </cell>
          <cell r="V345" t="str">
            <v xml:space="preserve"> </v>
          </cell>
          <cell r="X345">
            <v>0.54166666666666663</v>
          </cell>
          <cell r="Y345" t="str">
            <v>UNABLE TO COMMENCE</v>
          </cell>
          <cell r="AD345" t="str">
            <v xml:space="preserve"> </v>
          </cell>
          <cell r="AE345" t="str">
            <v xml:space="preserve"> </v>
          </cell>
          <cell r="AG345" t="str">
            <v xml:space="preserve"> </v>
          </cell>
          <cell r="AH345" t="str">
            <v xml:space="preserve"> </v>
          </cell>
        </row>
        <row r="346">
          <cell r="C346">
            <v>0.375</v>
          </cell>
          <cell r="D346" t="str">
            <v>WAITING MATERIAL</v>
          </cell>
          <cell r="I346">
            <v>0.38472222222222224</v>
          </cell>
          <cell r="J346" t="str">
            <v xml:space="preserve">CONTINUE LOADING </v>
          </cell>
          <cell r="L346">
            <v>0.375</v>
          </cell>
          <cell r="M346" t="str">
            <v>WAITING  MATERIAL</v>
          </cell>
          <cell r="O346" t="str">
            <v xml:space="preserve"> </v>
          </cell>
          <cell r="P346" t="str">
            <v xml:space="preserve"> </v>
          </cell>
          <cell r="R346" t="str">
            <v xml:space="preserve"> </v>
          </cell>
          <cell r="S346" t="str">
            <v xml:space="preserve"> </v>
          </cell>
          <cell r="U346" t="str">
            <v xml:space="preserve"> </v>
          </cell>
          <cell r="V346" t="str">
            <v xml:space="preserve"> </v>
          </cell>
          <cell r="AD346" t="str">
            <v xml:space="preserve"> </v>
          </cell>
          <cell r="AE346" t="str">
            <v xml:space="preserve"> </v>
          </cell>
          <cell r="AG346" t="str">
            <v xml:space="preserve"> </v>
          </cell>
          <cell r="AH346" t="str">
            <v xml:space="preserve"> </v>
          </cell>
        </row>
        <row r="347">
          <cell r="C347">
            <v>0.41666666666666669</v>
          </cell>
          <cell r="D347" t="str">
            <v>WAITING MATERIAL</v>
          </cell>
          <cell r="I347">
            <v>0.41458333333333336</v>
          </cell>
          <cell r="J347" t="str">
            <v xml:space="preserve">ONGOING LOADING </v>
          </cell>
          <cell r="L347">
            <v>0.41666666666666669</v>
          </cell>
          <cell r="M347" t="str">
            <v>WAITING  MATERIAL</v>
          </cell>
          <cell r="O347" t="str">
            <v xml:space="preserve"> </v>
          </cell>
          <cell r="P347" t="str">
            <v xml:space="preserve"> </v>
          </cell>
          <cell r="R347" t="str">
            <v xml:space="preserve"> </v>
          </cell>
          <cell r="S347" t="str">
            <v xml:space="preserve"> </v>
          </cell>
          <cell r="U347" t="str">
            <v xml:space="preserve"> </v>
          </cell>
          <cell r="V347" t="str">
            <v xml:space="preserve"> </v>
          </cell>
          <cell r="AD347" t="str">
            <v xml:space="preserve"> </v>
          </cell>
          <cell r="AE347" t="str">
            <v xml:space="preserve"> </v>
          </cell>
          <cell r="AG347" t="str">
            <v xml:space="preserve"> </v>
          </cell>
          <cell r="AH347" t="str">
            <v xml:space="preserve"> </v>
          </cell>
        </row>
        <row r="348">
          <cell r="C348">
            <v>0.42083333333333334</v>
          </cell>
          <cell r="D348" t="str">
            <v>CONDUCT KY</v>
          </cell>
          <cell r="I348">
            <v>0.44444444444444442</v>
          </cell>
          <cell r="J348" t="str">
            <v xml:space="preserve">CONTINUE LOADING </v>
          </cell>
          <cell r="L348">
            <v>0.45833333333333331</v>
          </cell>
          <cell r="M348" t="str">
            <v>WAITING  MATERIAL</v>
          </cell>
          <cell r="O348" t="str">
            <v xml:space="preserve"> </v>
          </cell>
          <cell r="P348" t="str">
            <v xml:space="preserve"> </v>
          </cell>
          <cell r="R348" t="str">
            <v xml:space="preserve"> </v>
          </cell>
          <cell r="S348" t="str">
            <v xml:space="preserve"> </v>
          </cell>
          <cell r="U348" t="str">
            <v xml:space="preserve"> </v>
          </cell>
          <cell r="V348" t="str">
            <v xml:space="preserve"> </v>
          </cell>
          <cell r="AD348" t="str">
            <v xml:space="preserve"> </v>
          </cell>
          <cell r="AE348" t="str">
            <v xml:space="preserve"> </v>
          </cell>
          <cell r="AG348" t="str">
            <v xml:space="preserve"> </v>
          </cell>
          <cell r="AH348" t="str">
            <v xml:space="preserve"> </v>
          </cell>
        </row>
        <row r="349">
          <cell r="C349">
            <v>0.43541666666666667</v>
          </cell>
          <cell r="D349" t="str">
            <v>RESUME LOADING SLING</v>
          </cell>
          <cell r="I349">
            <v>0.5</v>
          </cell>
          <cell r="J349" t="str">
            <v>LUNCHBREAK</v>
          </cell>
          <cell r="L349">
            <v>0.5</v>
          </cell>
          <cell r="M349" t="str">
            <v>LUNCHBREAK</v>
          </cell>
          <cell r="O349" t="str">
            <v xml:space="preserve"> </v>
          </cell>
          <cell r="AD349" t="str">
            <v xml:space="preserve"> </v>
          </cell>
        </row>
        <row r="350">
          <cell r="C350">
            <v>0.4597222222222222</v>
          </cell>
          <cell r="D350" t="str">
            <v>CONTINUE LOADING</v>
          </cell>
          <cell r="I350">
            <v>0.54166666666666663</v>
          </cell>
          <cell r="J350" t="str">
            <v>STOP LOADING</v>
          </cell>
          <cell r="L350">
            <v>0.54166666666666663</v>
          </cell>
          <cell r="M350" t="str">
            <v xml:space="preserve">STOP LOADING </v>
          </cell>
          <cell r="AD350" t="str">
            <v xml:space="preserve"> </v>
          </cell>
        </row>
        <row r="351">
          <cell r="C351">
            <v>0.5</v>
          </cell>
          <cell r="D351" t="str">
            <v>LUNCHBREAK</v>
          </cell>
          <cell r="I351">
            <v>0.65972222222222221</v>
          </cell>
          <cell r="J351" t="str">
            <v xml:space="preserve">RESUME LOADING </v>
          </cell>
          <cell r="L351">
            <v>0.71180555555555558</v>
          </cell>
          <cell r="M351" t="str">
            <v xml:space="preserve">RESUME LOADING </v>
          </cell>
          <cell r="AD351" t="str">
            <v xml:space="preserve"> </v>
          </cell>
        </row>
        <row r="352">
          <cell r="C352">
            <v>0.54166666666666663</v>
          </cell>
          <cell r="D352" t="str">
            <v>STOP LOADING</v>
          </cell>
          <cell r="I352">
            <v>0.68263888888888891</v>
          </cell>
          <cell r="J352" t="str">
            <v xml:space="preserve">CONTINUE LOADING </v>
          </cell>
          <cell r="L352">
            <v>0.75</v>
          </cell>
          <cell r="M352" t="str">
            <v>VESSEL BREAK</v>
          </cell>
        </row>
        <row r="353">
          <cell r="C353">
            <v>0.68611111111111112</v>
          </cell>
          <cell r="D353" t="str">
            <v xml:space="preserve">RESUME LOADING </v>
          </cell>
          <cell r="I353">
            <v>0.70833333333333337</v>
          </cell>
          <cell r="J353" t="str">
            <v>STOP LOADING</v>
          </cell>
        </row>
        <row r="354">
          <cell r="C354">
            <v>0.70625000000000004</v>
          </cell>
          <cell r="D354" t="str">
            <v xml:space="preserve">CONTINUE LOADING </v>
          </cell>
          <cell r="I354">
            <v>0.75</v>
          </cell>
          <cell r="J354" t="str">
            <v>VESSEL BREAK</v>
          </cell>
        </row>
        <row r="355">
          <cell r="C355">
            <v>0.72569444444444442</v>
          </cell>
          <cell r="D355" t="str">
            <v xml:space="preserve">ONGOING LOADING </v>
          </cell>
        </row>
        <row r="356">
          <cell r="C356">
            <v>0.75</v>
          </cell>
          <cell r="D356" t="str">
            <v>VESSEL BREAK</v>
          </cell>
        </row>
        <row r="358">
          <cell r="D358" t="str">
            <v>SF JOURNEY</v>
          </cell>
          <cell r="G358" t="str">
            <v>INFINITY 8</v>
          </cell>
          <cell r="J358" t="str">
            <v>VACANT</v>
          </cell>
          <cell r="M358" t="str">
            <v>LADY OF COURAGE</v>
          </cell>
          <cell r="P358" t="str">
            <v>LADY OF DIVINE GRACE</v>
          </cell>
          <cell r="S358" t="str">
            <v>EMERALD STAR</v>
          </cell>
          <cell r="V358" t="str">
            <v>ADOLFO SR</v>
          </cell>
          <cell r="Y358" t="str">
            <v>LADY OF ROSARY</v>
          </cell>
          <cell r="AB358" t="str">
            <v>EASTERN CEBU</v>
          </cell>
          <cell r="AE358" t="str">
            <v>VACANT</v>
          </cell>
          <cell r="AH358" t="str">
            <v>VACANT</v>
          </cell>
        </row>
        <row r="359">
          <cell r="D359" t="str">
            <v>CONDUCT KY</v>
          </cell>
          <cell r="F359">
            <v>0.33333333333333331</v>
          </cell>
          <cell r="G359" t="str">
            <v>CONDUCT KY</v>
          </cell>
          <cell r="I359">
            <v>0.29166666666666669</v>
          </cell>
          <cell r="J359" t="str">
            <v>NO ASSIGN VESSEL</v>
          </cell>
          <cell r="L359">
            <v>0.3125</v>
          </cell>
          <cell r="M359" t="str">
            <v>CONDUCT KY</v>
          </cell>
          <cell r="P359" t="str">
            <v>CONDUCT KY</v>
          </cell>
          <cell r="S359" t="str">
            <v>CONDUCT KY</v>
          </cell>
          <cell r="U359">
            <v>0.29166666666666669</v>
          </cell>
          <cell r="V359" t="str">
            <v>NO BOOKING</v>
          </cell>
          <cell r="Y359" t="str">
            <v>CONDUCT KY</v>
          </cell>
          <cell r="AB359" t="str">
            <v>CONDUCT KY</v>
          </cell>
          <cell r="AD359">
            <v>0.29166666666666669</v>
          </cell>
          <cell r="AE359" t="str">
            <v>NO ASSIGN VESSEL</v>
          </cell>
          <cell r="AG359">
            <v>0.29166666666666669</v>
          </cell>
          <cell r="AH359" t="str">
            <v>NO ASSIGN VESSEL</v>
          </cell>
        </row>
        <row r="360">
          <cell r="C360">
            <v>0.33333333333333331</v>
          </cell>
          <cell r="D360" t="str">
            <v>WAITING SHORE CRANE</v>
          </cell>
          <cell r="F360">
            <v>0.35416666666666669</v>
          </cell>
          <cell r="G360" t="str">
            <v>VESSEL CRANE REFUSE TO LOAD</v>
          </cell>
          <cell r="I360">
            <v>0.33333333333333331</v>
          </cell>
          <cell r="J360" t="str">
            <v>NO ASSIGN VESSEL</v>
          </cell>
          <cell r="L360">
            <v>0.33333333333333331</v>
          </cell>
          <cell r="M360" t="str">
            <v>WAITING MATERIAL</v>
          </cell>
          <cell r="O360">
            <v>0.35208333333333336</v>
          </cell>
          <cell r="P360" t="str">
            <v>RESUME LOADING SLING</v>
          </cell>
          <cell r="R360">
            <v>0.34375</v>
          </cell>
          <cell r="S360" t="str">
            <v>RESUME LOADING SLING</v>
          </cell>
          <cell r="U360" t="str">
            <v xml:space="preserve"> </v>
          </cell>
          <cell r="V360" t="str">
            <v xml:space="preserve"> </v>
          </cell>
          <cell r="X360">
            <v>0.34444444444444444</v>
          </cell>
          <cell r="Y360" t="str">
            <v>RESUME LOADING SLING</v>
          </cell>
          <cell r="AA360">
            <v>0.34583333333333333</v>
          </cell>
          <cell r="AB360" t="str">
            <v>RESUME LOADING TONNER</v>
          </cell>
          <cell r="AD360">
            <v>0.33333333333333331</v>
          </cell>
          <cell r="AE360" t="str">
            <v>NO ASSIGN VESSEL</v>
          </cell>
          <cell r="AG360">
            <v>0.33333333333333331</v>
          </cell>
          <cell r="AH360" t="str">
            <v>NO ASSIGN VESSEL</v>
          </cell>
        </row>
        <row r="361">
          <cell r="C361">
            <v>0.38472222222222224</v>
          </cell>
          <cell r="D361" t="str">
            <v>RESUME LOADING SLING</v>
          </cell>
          <cell r="F361">
            <v>0.375</v>
          </cell>
          <cell r="G361" t="str">
            <v>VESSEL CRANE REFUSE TO LOAD</v>
          </cell>
          <cell r="I361">
            <v>0.375</v>
          </cell>
          <cell r="J361" t="str">
            <v>NO ASSIGN VESSEL</v>
          </cell>
          <cell r="L361">
            <v>0.375</v>
          </cell>
          <cell r="M361" t="str">
            <v>WAITING MATERIAL</v>
          </cell>
          <cell r="O361">
            <v>0.37083333333333335</v>
          </cell>
          <cell r="P361" t="str">
            <v>CONTINUE LOADING SLING</v>
          </cell>
          <cell r="R361">
            <v>0.3659722222222222</v>
          </cell>
          <cell r="S361" t="str">
            <v>CONTINUE LOADING SLING</v>
          </cell>
          <cell r="U361" t="str">
            <v xml:space="preserve"> </v>
          </cell>
          <cell r="V361" t="str">
            <v xml:space="preserve"> </v>
          </cell>
          <cell r="X361">
            <v>0.40416666666666667</v>
          </cell>
          <cell r="Y361" t="str">
            <v>CONTINUE LOADING SLING</v>
          </cell>
          <cell r="AA361">
            <v>0.375</v>
          </cell>
          <cell r="AB361" t="str">
            <v>CONTINUE LOADING TONNER</v>
          </cell>
          <cell r="AD361">
            <v>0.375</v>
          </cell>
          <cell r="AE361" t="str">
            <v>NO ASSIGN VESSEL</v>
          </cell>
          <cell r="AG361">
            <v>0.375</v>
          </cell>
          <cell r="AH361" t="str">
            <v>NO ASSIGN VESSEL</v>
          </cell>
        </row>
        <row r="362">
          <cell r="C362">
            <v>0.41249999999999998</v>
          </cell>
          <cell r="D362" t="str">
            <v>CONTINUE LOADING SLING</v>
          </cell>
          <cell r="F362">
            <v>0.41666666666666669</v>
          </cell>
          <cell r="G362" t="str">
            <v>VESSEL CRANE REFUSE TO LOAD</v>
          </cell>
          <cell r="I362">
            <v>0.41666666666666669</v>
          </cell>
          <cell r="J362" t="str">
            <v>NO ASSIGN VESSEL</v>
          </cell>
          <cell r="L362">
            <v>0.41666666666666669</v>
          </cell>
          <cell r="M362" t="str">
            <v>WAITING MATERIAL</v>
          </cell>
          <cell r="O362">
            <v>0.375</v>
          </cell>
          <cell r="P362" t="str">
            <v>WAITING MATERIAL</v>
          </cell>
          <cell r="R362">
            <v>0.42777777777777776</v>
          </cell>
          <cell r="S362" t="str">
            <v>CONTINUE LOADING SLING</v>
          </cell>
          <cell r="U362" t="str">
            <v xml:space="preserve"> </v>
          </cell>
          <cell r="V362" t="str">
            <v xml:space="preserve"> </v>
          </cell>
          <cell r="X362">
            <v>0.4548611111111111</v>
          </cell>
          <cell r="Y362" t="str">
            <v>CONTINUE LOADING SLING</v>
          </cell>
          <cell r="AA362">
            <v>0.41111111111111109</v>
          </cell>
          <cell r="AB362" t="str">
            <v>CONTINUE LOADING TONNER</v>
          </cell>
          <cell r="AD362">
            <v>0.41666666666666669</v>
          </cell>
          <cell r="AE362" t="str">
            <v>NO ASSIGN VESSEL</v>
          </cell>
          <cell r="AG362">
            <v>0.41666666666666669</v>
          </cell>
          <cell r="AH362" t="str">
            <v>NO ASSIGN VESSEL</v>
          </cell>
        </row>
        <row r="363">
          <cell r="C363">
            <v>0.42986111111111114</v>
          </cell>
          <cell r="D363" t="str">
            <v>CONTINUE LOADING SLING</v>
          </cell>
          <cell r="F363">
            <v>0.45833333333333331</v>
          </cell>
          <cell r="G363" t="str">
            <v>VESSEL CRANE REFUSE TO LOAD</v>
          </cell>
          <cell r="I363">
            <v>0.45833333333333331</v>
          </cell>
          <cell r="J363" t="str">
            <v>NO ASSIGN VESSEL</v>
          </cell>
          <cell r="L363">
            <v>0.45833333333333331</v>
          </cell>
          <cell r="M363" t="str">
            <v>WAITING MATERIAL</v>
          </cell>
          <cell r="O363">
            <v>0.54166666666666663</v>
          </cell>
          <cell r="P363" t="str">
            <v>VESSEL REFUSE TO LOAD</v>
          </cell>
          <cell r="R363">
            <v>0.44444444444444442</v>
          </cell>
          <cell r="S363" t="str">
            <v>CONTINUE LOADING SLING</v>
          </cell>
          <cell r="U363" t="str">
            <v xml:space="preserve"> </v>
          </cell>
          <cell r="V363" t="str">
            <v xml:space="preserve"> </v>
          </cell>
          <cell r="X363">
            <v>0.49166666666666664</v>
          </cell>
          <cell r="Y363" t="str">
            <v>WAITING MATERIAL</v>
          </cell>
          <cell r="AA363">
            <v>0.4236111111111111</v>
          </cell>
          <cell r="AB363" t="str">
            <v>CONTINUE LOADING TONNER</v>
          </cell>
          <cell r="AD363">
            <v>0.45833333333333331</v>
          </cell>
          <cell r="AE363" t="str">
            <v>NO ASSIGN VESSEL</v>
          </cell>
        </row>
        <row r="364">
          <cell r="C364">
            <v>0.45208333333333334</v>
          </cell>
          <cell r="D364" t="str">
            <v>CONTINUE LOADING SLING</v>
          </cell>
          <cell r="F364">
            <v>0.54166666666666663</v>
          </cell>
          <cell r="G364" t="str">
            <v>VESSEL REFUSE TO LOAD</v>
          </cell>
          <cell r="L364">
            <v>0.5</v>
          </cell>
          <cell r="M364" t="str">
            <v>VESSEL CRANE LUNCH BREAK</v>
          </cell>
          <cell r="O364">
            <v>0.58333333333333337</v>
          </cell>
          <cell r="P364" t="str">
            <v>VESSEL REFUSE TO LOAD</v>
          </cell>
          <cell r="R364">
            <v>0.46597222222222223</v>
          </cell>
          <cell r="S364" t="str">
            <v>CONTINUE LOADING SLING</v>
          </cell>
          <cell r="X364">
            <v>0.54166666666666663</v>
          </cell>
          <cell r="Y364" t="str">
            <v>VESSEL REFUSE TO LOAD</v>
          </cell>
          <cell r="AA364">
            <v>0.49166666666666664</v>
          </cell>
          <cell r="AB364" t="str">
            <v>WAITING MATERIAL</v>
          </cell>
        </row>
        <row r="365">
          <cell r="C365">
            <v>0.5</v>
          </cell>
          <cell r="D365" t="str">
            <v>LUNCHBREAK</v>
          </cell>
          <cell r="F365">
            <v>0.58333333333333337</v>
          </cell>
          <cell r="G365" t="str">
            <v>VESSEL REFUSE TO LOAD</v>
          </cell>
          <cell r="L365">
            <v>0.54166666666666663</v>
          </cell>
          <cell r="M365" t="str">
            <v>VESSEL REFUSE TO LOAD</v>
          </cell>
          <cell r="O365">
            <v>0.625</v>
          </cell>
          <cell r="P365" t="str">
            <v>VESSEL REFUSE TO LOAD</v>
          </cell>
          <cell r="R365">
            <v>0.5</v>
          </cell>
          <cell r="S365" t="str">
            <v>LUNCHBREAK</v>
          </cell>
          <cell r="X365">
            <v>0.58333333333333337</v>
          </cell>
          <cell r="Y365" t="str">
            <v>VESSEL REFUSE TO LOAD</v>
          </cell>
          <cell r="AA365">
            <v>0.54166666666666663</v>
          </cell>
          <cell r="AB365" t="str">
            <v>VESSEL REFUSE TO LOAD</v>
          </cell>
        </row>
        <row r="366">
          <cell r="C366">
            <v>0.54166666666666663</v>
          </cell>
          <cell r="D366" t="str">
            <v>VESSEL REFUSE TO LOAD</v>
          </cell>
          <cell r="F366">
            <v>0.625</v>
          </cell>
          <cell r="G366" t="str">
            <v>VESSEL REFUSE TO LOAD</v>
          </cell>
          <cell r="L366">
            <v>0.70486111111111116</v>
          </cell>
          <cell r="M366" t="str">
            <v xml:space="preserve">RESUME LOADING </v>
          </cell>
          <cell r="O366">
            <v>0.66666666666666663</v>
          </cell>
          <cell r="P366" t="str">
            <v>VESSEL REFUSE TO LOAD</v>
          </cell>
          <cell r="R366">
            <v>0.54166666666666663</v>
          </cell>
          <cell r="S366" t="str">
            <v>VESSEL REFUSE TO LOAD</v>
          </cell>
          <cell r="X366">
            <v>0.625</v>
          </cell>
          <cell r="Y366" t="str">
            <v>VESSEL REFUSE TO LOAD</v>
          </cell>
          <cell r="AA366">
            <v>0.72222222222222221</v>
          </cell>
          <cell r="AB366" t="str">
            <v xml:space="preserve">RESUME LOADING </v>
          </cell>
        </row>
        <row r="367">
          <cell r="C367">
            <v>0.7</v>
          </cell>
          <cell r="D367" t="str">
            <v>RESUME LOADING SLING</v>
          </cell>
          <cell r="F367">
            <v>0.66666666666666663</v>
          </cell>
          <cell r="G367" t="str">
            <v>VESSEL REFUSE TO LOAD</v>
          </cell>
          <cell r="L367">
            <v>0.75</v>
          </cell>
          <cell r="M367" t="str">
            <v>VESSEL BREAK</v>
          </cell>
          <cell r="O367">
            <v>0.70833333333333337</v>
          </cell>
          <cell r="P367" t="str">
            <v>VESSEL REFUSE TO LOAD</v>
          </cell>
          <cell r="R367">
            <v>0.625</v>
          </cell>
          <cell r="S367" t="str">
            <v xml:space="preserve">RESUME LOADING </v>
          </cell>
          <cell r="X367">
            <v>0.66666666666666663</v>
          </cell>
          <cell r="Y367" t="str">
            <v>VESSEL REFUSE TO LOAD</v>
          </cell>
          <cell r="AA367">
            <v>0.75</v>
          </cell>
          <cell r="AB367" t="str">
            <v>VESSEL BREAK</v>
          </cell>
        </row>
        <row r="368">
          <cell r="C368">
            <v>0.71666666666666667</v>
          </cell>
          <cell r="D368" t="str">
            <v xml:space="preserve">CONTINUE LOADIING </v>
          </cell>
          <cell r="F368">
            <v>0.70833333333333337</v>
          </cell>
          <cell r="G368" t="str">
            <v>VESSEL REFUSE TO LOAD</v>
          </cell>
          <cell r="L368">
            <v>0.82013888888888886</v>
          </cell>
          <cell r="M368" t="str">
            <v>CONTINUE LOADING</v>
          </cell>
          <cell r="O368">
            <v>0.75</v>
          </cell>
          <cell r="P368" t="str">
            <v>VESSEL REFUSE TO LOAD</v>
          </cell>
          <cell r="R368">
            <v>0.70208333333333328</v>
          </cell>
          <cell r="S368" t="str">
            <v>CONTINUE LOADING SLING</v>
          </cell>
          <cell r="X368">
            <v>0.70833333333333337</v>
          </cell>
          <cell r="Y368" t="str">
            <v>VESSEL REFUSE TO LOAD</v>
          </cell>
          <cell r="AA368">
            <v>0.81527777777777777</v>
          </cell>
          <cell r="AB368" t="str">
            <v>CONTINUE LOADING TONNER</v>
          </cell>
        </row>
        <row r="369">
          <cell r="C369">
            <v>0.75</v>
          </cell>
          <cell r="D369" t="str">
            <v>VESSEL BREAK</v>
          </cell>
          <cell r="F369">
            <v>0.75</v>
          </cell>
          <cell r="G369" t="str">
            <v>VESSEL REFUSE TO LOAD</v>
          </cell>
          <cell r="L369">
            <v>0.86458333333333337</v>
          </cell>
          <cell r="M369" t="str">
            <v>CONTINUE LOADING</v>
          </cell>
          <cell r="O369">
            <v>0.79166666666666663</v>
          </cell>
          <cell r="P369" t="str">
            <v>KY TOOLBOX</v>
          </cell>
          <cell r="R369">
            <v>0.71875</v>
          </cell>
          <cell r="S369" t="str">
            <v xml:space="preserve">ONGOING LOADING </v>
          </cell>
          <cell r="X369">
            <v>0.75</v>
          </cell>
          <cell r="Y369" t="str">
            <v>VESSEL REFUSE TO LOAD</v>
          </cell>
          <cell r="AA369">
            <v>0.82986111111111116</v>
          </cell>
          <cell r="AB369" t="str">
            <v>CONTINUE LOADING TONNER</v>
          </cell>
        </row>
        <row r="370">
          <cell r="C370">
            <v>0.79166666666666663</v>
          </cell>
          <cell r="D370" t="str">
            <v>KY TOOLBOX</v>
          </cell>
          <cell r="F370">
            <v>0.8125</v>
          </cell>
          <cell r="G370" t="str">
            <v>KY TOOLBOX</v>
          </cell>
          <cell r="L370">
            <v>0.9145833333333333</v>
          </cell>
          <cell r="M370" t="str">
            <v>CONTINUE LOADING</v>
          </cell>
          <cell r="O370">
            <v>0.83333333333333337</v>
          </cell>
          <cell r="P370" t="str">
            <v>WAITING FOR SORE CRANE</v>
          </cell>
          <cell r="R370">
            <v>0.75</v>
          </cell>
          <cell r="S370" t="str">
            <v>VESSEL BREAK</v>
          </cell>
          <cell r="X370">
            <v>0.8125</v>
          </cell>
          <cell r="Y370" t="str">
            <v>KY TOOLBOX</v>
          </cell>
          <cell r="AA370">
            <v>0.85416666666666663</v>
          </cell>
          <cell r="AB370" t="str">
            <v>CONTINUE LOADING TONNER</v>
          </cell>
        </row>
        <row r="371">
          <cell r="C371">
            <v>0.82430555555555551</v>
          </cell>
          <cell r="D371" t="str">
            <v>CONTINUE LOADING SLING</v>
          </cell>
          <cell r="F371">
            <v>0.84027777777777779</v>
          </cell>
          <cell r="G371" t="str">
            <v>COMMENCE LOADING</v>
          </cell>
          <cell r="L371">
            <v>0.9375</v>
          </cell>
          <cell r="M371" t="str">
            <v>CONTINUE LOADING</v>
          </cell>
          <cell r="O371">
            <v>0.875</v>
          </cell>
          <cell r="P371" t="str">
            <v>WAITING FOR SORE CRANE</v>
          </cell>
          <cell r="R371">
            <v>0.79166666666666663</v>
          </cell>
          <cell r="S371" t="str">
            <v>KY TOOLBOX</v>
          </cell>
          <cell r="X371">
            <v>0.82777777777777772</v>
          </cell>
          <cell r="Y371" t="str">
            <v>CONTINUE LOADING SLING</v>
          </cell>
          <cell r="AA371">
            <v>0.88124999999999998</v>
          </cell>
          <cell r="AB371" t="str">
            <v>CONTINUE LOADING TONNER</v>
          </cell>
        </row>
        <row r="372">
          <cell r="C372">
            <v>0.85624999999999996</v>
          </cell>
          <cell r="D372" t="str">
            <v>CONTINUE LOADING SLING</v>
          </cell>
          <cell r="L372">
            <v>0.97361111111111109</v>
          </cell>
          <cell r="M372" t="str">
            <v>CONTINUE LOADING</v>
          </cell>
          <cell r="O372">
            <v>0.91666666666666663</v>
          </cell>
          <cell r="P372" t="str">
            <v>WAITING FOR SORE CRANE</v>
          </cell>
          <cell r="R372">
            <v>0.82847222222222228</v>
          </cell>
          <cell r="S372" t="str">
            <v>CONTINUE LOADING SLING</v>
          </cell>
          <cell r="X372">
            <v>0.85416666666666663</v>
          </cell>
          <cell r="Y372" t="str">
            <v>PULL OUT FORKLIFT</v>
          </cell>
          <cell r="AA372">
            <v>0.92777777777777781</v>
          </cell>
          <cell r="AB372" t="str">
            <v>CONTINUE LOADING TONNER</v>
          </cell>
        </row>
        <row r="373">
          <cell r="C373">
            <v>0.87083333333333335</v>
          </cell>
          <cell r="D373" t="str">
            <v>CONTINUE LOADING SLING</v>
          </cell>
          <cell r="L373">
            <v>1.4583333333333334E-2</v>
          </cell>
          <cell r="M373" t="str">
            <v>CONTINUE LOADING</v>
          </cell>
          <cell r="O373">
            <v>0.95833333333333337</v>
          </cell>
          <cell r="P373" t="str">
            <v>WAITING FOR SORE CRANE</v>
          </cell>
          <cell r="R373">
            <v>0.86597222222222225</v>
          </cell>
          <cell r="S373" t="str">
            <v>CONTINUE LOADING SLING</v>
          </cell>
          <cell r="X373">
            <v>0.88124999999999998</v>
          </cell>
          <cell r="Y373" t="str">
            <v>CONTINUE LOADING SLING</v>
          </cell>
          <cell r="AA373">
            <v>0.97361111111111109</v>
          </cell>
          <cell r="AB373" t="str">
            <v>CONTINUE LOADING TONNER</v>
          </cell>
        </row>
        <row r="374">
          <cell r="C374">
            <v>0.88680555555555551</v>
          </cell>
          <cell r="D374" t="str">
            <v>CONTINUE LOADING SLING</v>
          </cell>
          <cell r="O374">
            <v>6.9444444444444447E-4</v>
          </cell>
          <cell r="P374" t="str">
            <v>WAITING FOR SORE CRANE</v>
          </cell>
          <cell r="R374">
            <v>0.88888888888888884</v>
          </cell>
          <cell r="S374" t="str">
            <v>CONTINUE LOADING SLING</v>
          </cell>
          <cell r="X374">
            <v>0.93541666666666667</v>
          </cell>
          <cell r="Y374" t="str">
            <v>CONTINUE LOADING SLING</v>
          </cell>
          <cell r="AA374">
            <v>2.1527777777777778E-2</v>
          </cell>
          <cell r="AB374" t="str">
            <v>CONTINUE LOADING TONNER</v>
          </cell>
        </row>
        <row r="375">
          <cell r="C375">
            <v>0.91805555555555551</v>
          </cell>
          <cell r="D375" t="str">
            <v>CONTINUE LOADING SLING</v>
          </cell>
          <cell r="O375">
            <v>0.05</v>
          </cell>
          <cell r="P375" t="str">
            <v>CONTINUE LOADING SLING</v>
          </cell>
          <cell r="R375">
            <v>0.91805555555555551</v>
          </cell>
          <cell r="S375" t="str">
            <v>CONTINUE LOADING SLING</v>
          </cell>
          <cell r="X375">
            <v>0.96250000000000002</v>
          </cell>
          <cell r="Y375" t="str">
            <v>CONTINUE LOADING SLING</v>
          </cell>
          <cell r="AA375">
            <v>8.2638888888888887E-2</v>
          </cell>
          <cell r="AB375" t="str">
            <v>CONTINUE LOADING TONNER</v>
          </cell>
        </row>
        <row r="376">
          <cell r="C376">
            <v>0.98124999999999996</v>
          </cell>
          <cell r="D376" t="str">
            <v>CONTINUE LOADING SLING</v>
          </cell>
          <cell r="O376">
            <v>0.10138888888888889</v>
          </cell>
          <cell r="P376" t="str">
            <v>CONTINUE LOADING SLING</v>
          </cell>
          <cell r="R376">
            <v>0.95972222222222225</v>
          </cell>
          <cell r="S376" t="str">
            <v>CONTINUE LOADING SLING</v>
          </cell>
          <cell r="X376">
            <v>1.0416666666666666E-2</v>
          </cell>
          <cell r="Y376" t="str">
            <v>CONTINUE LOADING SLING</v>
          </cell>
          <cell r="AA376">
            <v>0.11805555555555555</v>
          </cell>
          <cell r="AB376" t="str">
            <v>CONTINUE LOADING TONNER</v>
          </cell>
        </row>
        <row r="377">
          <cell r="C377">
            <v>3.0555555555555555E-2</v>
          </cell>
          <cell r="D377" t="str">
            <v>CONTINUE LOADING SLING</v>
          </cell>
          <cell r="O377">
            <v>0.15763888888888888</v>
          </cell>
          <cell r="P377" t="str">
            <v>CONTINUE LOADING SLING</v>
          </cell>
          <cell r="R377">
            <v>1.3888888888888889E-3</v>
          </cell>
          <cell r="S377" t="str">
            <v>CONTINUE LOADING SLING</v>
          </cell>
          <cell r="X377">
            <v>7.2222222222222215E-2</v>
          </cell>
          <cell r="Y377" t="str">
            <v>CONTINUE LOADING SLING</v>
          </cell>
          <cell r="AA377">
            <v>0.16319444444444445</v>
          </cell>
          <cell r="AB377" t="str">
            <v>CONTINUE LOADING TONNER</v>
          </cell>
        </row>
        <row r="378">
          <cell r="C378">
            <v>5.6250000000000001E-2</v>
          </cell>
          <cell r="D378" t="str">
            <v>CONTINUE LOADING SLING</v>
          </cell>
          <cell r="O378">
            <v>0.18194444444444444</v>
          </cell>
          <cell r="P378" t="str">
            <v>WAITING DELIVERY MATERIALS</v>
          </cell>
          <cell r="R378">
            <v>8.1250000000000003E-2</v>
          </cell>
          <cell r="S378" t="str">
            <v>CONTINUE LOADING SLING</v>
          </cell>
          <cell r="X378">
            <v>0.10208333333333333</v>
          </cell>
          <cell r="Y378" t="str">
            <v>CONTINUE LOADING SLING</v>
          </cell>
          <cell r="AA378">
            <v>0.20277777777777778</v>
          </cell>
          <cell r="AB378" t="str">
            <v>CONTINUE LOADING TONNER</v>
          </cell>
        </row>
        <row r="379">
          <cell r="C379">
            <v>8.0555555555555561E-2</v>
          </cell>
          <cell r="D379" t="str">
            <v>CONTINUE LOADING SLING</v>
          </cell>
          <cell r="O379">
            <v>0.20972222222222223</v>
          </cell>
          <cell r="P379" t="str">
            <v>WAITING DELIVERY MATERIALS</v>
          </cell>
          <cell r="R379">
            <v>0.10416666666666667</v>
          </cell>
          <cell r="S379" t="str">
            <v>CONTINUE LOADING SLING</v>
          </cell>
          <cell r="X379">
            <v>0.15347222222222223</v>
          </cell>
          <cell r="Y379" t="str">
            <v>CONTINUE LOADING SLING</v>
          </cell>
          <cell r="AA379">
            <v>0.2326388888888889</v>
          </cell>
          <cell r="AB379" t="str">
            <v>COMPLETE LOADING</v>
          </cell>
        </row>
        <row r="380">
          <cell r="C380">
            <v>9.5138888888888884E-2</v>
          </cell>
          <cell r="D380" t="str">
            <v>CONTINUE LOADING SLING</v>
          </cell>
          <cell r="O380">
            <v>0.25</v>
          </cell>
          <cell r="P380" t="str">
            <v>WAITING DELIVERY MATERIALS</v>
          </cell>
          <cell r="R380">
            <v>0.12708333333333333</v>
          </cell>
          <cell r="S380" t="str">
            <v>CONTINUE LOADING SLING</v>
          </cell>
          <cell r="X380">
            <v>0.16666666666666666</v>
          </cell>
          <cell r="Y380" t="str">
            <v>VESSEL BREAK</v>
          </cell>
        </row>
        <row r="381">
          <cell r="C381">
            <v>0.13194444444444445</v>
          </cell>
          <cell r="D381" t="str">
            <v>CONTINUE LOADING SLING</v>
          </cell>
          <cell r="X381">
            <v>0.20833333333333334</v>
          </cell>
          <cell r="Y381" t="str">
            <v>VESSEL BREAK</v>
          </cell>
        </row>
        <row r="382">
          <cell r="C382">
            <v>0.1673611111111111</v>
          </cell>
          <cell r="D382" t="str">
            <v>CONTINUE LOADING SLING</v>
          </cell>
          <cell r="X382">
            <v>0.25</v>
          </cell>
          <cell r="Y382" t="str">
            <v>VESSEL BREAK</v>
          </cell>
        </row>
        <row r="383">
          <cell r="C383">
            <v>0.18958333333333333</v>
          </cell>
          <cell r="D383" t="str">
            <v>CONTINUE LOADING SLING</v>
          </cell>
        </row>
        <row r="384">
          <cell r="C384">
            <v>0.21111111111111111</v>
          </cell>
          <cell r="D384" t="str">
            <v>CONTINUE LOADING SLING</v>
          </cell>
        </row>
        <row r="385">
          <cell r="C385">
            <v>0.25</v>
          </cell>
          <cell r="D385" t="str">
            <v>VESSEL BREAK</v>
          </cell>
        </row>
        <row r="387">
          <cell r="D387" t="str">
            <v>SF JOURNEY</v>
          </cell>
          <cell r="G387" t="str">
            <v>INFINITY 8</v>
          </cell>
          <cell r="J387" t="str">
            <v>VACANT</v>
          </cell>
          <cell r="M387" t="str">
            <v>VACANT</v>
          </cell>
          <cell r="P387" t="str">
            <v>LADY OF DIVINE GRACE</v>
          </cell>
          <cell r="S387" t="str">
            <v>EMERALD STAR</v>
          </cell>
          <cell r="V387" t="str">
            <v>ADOLFO SR</v>
          </cell>
          <cell r="Y387" t="str">
            <v>LADY OF ROSARY</v>
          </cell>
          <cell r="AB387" t="str">
            <v>VACANT</v>
          </cell>
          <cell r="AE387" t="str">
            <v>LADY OF WISDOM</v>
          </cell>
          <cell r="AH387" t="str">
            <v>VACANT</v>
          </cell>
        </row>
        <row r="388">
          <cell r="C388">
            <v>0.3125</v>
          </cell>
          <cell r="D388" t="str">
            <v>CONDUCT KY</v>
          </cell>
          <cell r="F388">
            <v>0.3125</v>
          </cell>
          <cell r="G388" t="str">
            <v>CONDUCT KY</v>
          </cell>
          <cell r="I388">
            <v>0.29166666666666669</v>
          </cell>
          <cell r="J388" t="str">
            <v>NO ASSIGN VESSEL</v>
          </cell>
          <cell r="L388">
            <v>0.29166666666666669</v>
          </cell>
          <cell r="M388" t="str">
            <v>NO ASSIGN VESSEL</v>
          </cell>
          <cell r="O388">
            <v>0.3125</v>
          </cell>
          <cell r="P388" t="str">
            <v>CONDUCT KY</v>
          </cell>
          <cell r="R388">
            <v>0.3125</v>
          </cell>
          <cell r="S388" t="str">
            <v>CONDUCT KY</v>
          </cell>
          <cell r="U388">
            <v>0.3125</v>
          </cell>
          <cell r="V388" t="str">
            <v>CONDUCT KY</v>
          </cell>
          <cell r="X388">
            <v>0.3125</v>
          </cell>
          <cell r="Y388" t="str">
            <v>CONDUCT KY</v>
          </cell>
          <cell r="AA388">
            <v>0.29166666666666669</v>
          </cell>
          <cell r="AB388" t="str">
            <v>STANDBY</v>
          </cell>
          <cell r="AD388">
            <v>0.29166666666666669</v>
          </cell>
          <cell r="AE388" t="str">
            <v>NO ASSIGN VESSEL</v>
          </cell>
          <cell r="AG388">
            <v>0.29166666666666669</v>
          </cell>
          <cell r="AH388" t="str">
            <v>NO ASSIGN VESSEL</v>
          </cell>
        </row>
        <row r="389">
          <cell r="C389">
            <v>0.34583333333333333</v>
          </cell>
          <cell r="D389" t="str">
            <v>RESUME LOADING SLING</v>
          </cell>
          <cell r="F389">
            <v>0.34652777777777777</v>
          </cell>
          <cell r="G389" t="str">
            <v>RESUME LOADING SLING</v>
          </cell>
          <cell r="O389">
            <v>0.33333333333333331</v>
          </cell>
          <cell r="P389" t="str">
            <v>WAITING MATERIAL</v>
          </cell>
          <cell r="R389">
            <v>0.35486111111111113</v>
          </cell>
          <cell r="S389" t="str">
            <v>CONTINUE LOADING SLING</v>
          </cell>
          <cell r="U389">
            <v>0.3576388888888889</v>
          </cell>
          <cell r="V389" t="str">
            <v>RESUME LOADING LOOSE BAG</v>
          </cell>
          <cell r="X389">
            <v>0.35347222222222224</v>
          </cell>
          <cell r="Y389" t="str">
            <v>RESUME LOADING TONNER</v>
          </cell>
          <cell r="AD389">
            <v>0.33333333333333331</v>
          </cell>
          <cell r="AE389" t="str">
            <v>NO ASSIGN VESSEL</v>
          </cell>
        </row>
        <row r="390">
          <cell r="C390">
            <v>0.35416666666666669</v>
          </cell>
          <cell r="D390" t="str">
            <v>CONTINUE LOADING SLING</v>
          </cell>
          <cell r="F390">
            <v>0.36319444444444443</v>
          </cell>
          <cell r="G390" t="str">
            <v>RESUME LOADING SLING</v>
          </cell>
          <cell r="O390">
            <v>0.54166666666666663</v>
          </cell>
          <cell r="P390" t="str">
            <v xml:space="preserve">WAITING SC ASSIST </v>
          </cell>
          <cell r="R390">
            <v>0.39444444444444443</v>
          </cell>
          <cell r="S390" t="str">
            <v>CONTINUE LOADING SLING</v>
          </cell>
          <cell r="U390">
            <v>0.41666666666666669</v>
          </cell>
          <cell r="V390" t="str">
            <v>WAITING MATERIAL</v>
          </cell>
          <cell r="X390">
            <v>0.40069444444444446</v>
          </cell>
          <cell r="Y390" t="str">
            <v>CONTINUE LOADING TONNER</v>
          </cell>
          <cell r="AD390">
            <v>0.375</v>
          </cell>
          <cell r="AE390" t="str">
            <v>NO ASSIGN VESSEL</v>
          </cell>
        </row>
        <row r="391">
          <cell r="C391">
            <v>0.3659722222222222</v>
          </cell>
          <cell r="D391" t="str">
            <v>CONTINUE LOADING SLING</v>
          </cell>
          <cell r="F391">
            <v>0.39930555555555558</v>
          </cell>
          <cell r="G391" t="str">
            <v>RESUME LOADING SLING</v>
          </cell>
          <cell r="O391">
            <v>0.6</v>
          </cell>
          <cell r="P391" t="str">
            <v xml:space="preserve">RESUME LOADING </v>
          </cell>
          <cell r="R391">
            <v>0.41666666666666669</v>
          </cell>
          <cell r="S391" t="str">
            <v>WAITING MATERIAL</v>
          </cell>
          <cell r="U391">
            <v>0.54166666666666663</v>
          </cell>
          <cell r="V391" t="str">
            <v>RESUME LOADING LOOSE BAG</v>
          </cell>
          <cell r="X391">
            <v>0.45624999999999999</v>
          </cell>
          <cell r="Y391" t="str">
            <v>CONTINUE LOADING TONNER</v>
          </cell>
          <cell r="AD391">
            <v>0.4375</v>
          </cell>
          <cell r="AE391" t="str">
            <v>NO BOOKING</v>
          </cell>
        </row>
        <row r="392">
          <cell r="C392">
            <v>0.37569444444444444</v>
          </cell>
          <cell r="D392" t="str">
            <v>CONTINUE LOADING SLING</v>
          </cell>
          <cell r="F392">
            <v>0.43472222222222223</v>
          </cell>
          <cell r="G392" t="str">
            <v>RESUME LOADING SLING</v>
          </cell>
          <cell r="O392">
            <v>0.63194444444444442</v>
          </cell>
          <cell r="P392" t="str">
            <v xml:space="preserve">CONTINUE LOADING </v>
          </cell>
          <cell r="R392">
            <v>0.54166666666666663</v>
          </cell>
          <cell r="S392" t="str">
            <v>LOADING LAST TRUCK</v>
          </cell>
          <cell r="U392">
            <v>0.60833333333333328</v>
          </cell>
          <cell r="V392" t="str">
            <v xml:space="preserve">CONTINUE LOADING </v>
          </cell>
          <cell r="X392">
            <v>0.5</v>
          </cell>
          <cell r="Y392" t="str">
            <v>LUNCHBREAK</v>
          </cell>
          <cell r="AD392">
            <v>0.79166666666666663</v>
          </cell>
          <cell r="AE392" t="str">
            <v>KY TOOLBOX</v>
          </cell>
        </row>
        <row r="393">
          <cell r="C393">
            <v>0.40625</v>
          </cell>
          <cell r="D393" t="str">
            <v>CONTINUE LOADING SLING</v>
          </cell>
          <cell r="F393">
            <v>0.45833333333333331</v>
          </cell>
          <cell r="G393" t="str">
            <v>WAITING MATERIAL</v>
          </cell>
          <cell r="O393">
            <v>0.66319444444444442</v>
          </cell>
          <cell r="P393" t="str">
            <v xml:space="preserve">ONGOING LOADING </v>
          </cell>
          <cell r="R393">
            <v>0.59375</v>
          </cell>
          <cell r="S393" t="str">
            <v>LOADING COMPLETE</v>
          </cell>
          <cell r="U393">
            <v>0.66388888888888886</v>
          </cell>
          <cell r="V393" t="str">
            <v>ONGOING LOADING</v>
          </cell>
          <cell r="X393">
            <v>0.54166666666666663</v>
          </cell>
          <cell r="Y393" t="str">
            <v>RESUME LOADING</v>
          </cell>
          <cell r="AD393">
            <v>0.83333333333333337</v>
          </cell>
          <cell r="AE393" t="str">
            <v xml:space="preserve">UNABLE TO COMMENCE LOADING </v>
          </cell>
        </row>
        <row r="394">
          <cell r="C394">
            <v>0.40208333333333335</v>
          </cell>
          <cell r="D394" t="str">
            <v>CONTINUE LOADING SLING</v>
          </cell>
          <cell r="F394">
            <v>0.54166666666666663</v>
          </cell>
          <cell r="G394" t="str">
            <v>UNABLE TO RESUME</v>
          </cell>
          <cell r="O394">
            <v>0.7055555555555556</v>
          </cell>
          <cell r="P394" t="str">
            <v xml:space="preserve">CONTINUE LOADING </v>
          </cell>
          <cell r="U394">
            <v>0.79166666666666663</v>
          </cell>
          <cell r="V394" t="str">
            <v>KY TOOLBOX</v>
          </cell>
          <cell r="X394">
            <v>0.60416666666666663</v>
          </cell>
          <cell r="Y394" t="str">
            <v>TEMPORARY STOP LOADING</v>
          </cell>
          <cell r="AD394">
            <v>0.875</v>
          </cell>
          <cell r="AE394" t="str">
            <v xml:space="preserve">UNABLE TO COMMENCE LOADING </v>
          </cell>
        </row>
        <row r="395">
          <cell r="C395">
            <v>0.42222222222222222</v>
          </cell>
          <cell r="D395" t="str">
            <v>CONTINUE LOADING SLING</v>
          </cell>
          <cell r="F395">
            <v>0.61805555555555558</v>
          </cell>
          <cell r="G395" t="str">
            <v xml:space="preserve">RESUME LOADING </v>
          </cell>
          <cell r="O395">
            <v>0.79166666666666663</v>
          </cell>
          <cell r="P395" t="str">
            <v>KY TOOLBOX</v>
          </cell>
          <cell r="U395">
            <v>0.83402777777777781</v>
          </cell>
          <cell r="V395" t="str">
            <v xml:space="preserve">UNABLE TO RESUME LOADING </v>
          </cell>
          <cell r="X395">
            <v>0.67291666666666672</v>
          </cell>
          <cell r="Y395" t="str">
            <v>RESUME LOADING TONNER</v>
          </cell>
          <cell r="AD395">
            <v>0.91666666666666663</v>
          </cell>
          <cell r="AE395" t="str">
            <v xml:space="preserve">UNABLE TO COMMENCE LOADING </v>
          </cell>
        </row>
        <row r="396">
          <cell r="C396">
            <v>0.43333333333333335</v>
          </cell>
          <cell r="D396" t="str">
            <v>CONTINUE LOADING SLING</v>
          </cell>
          <cell r="F396">
            <v>0.64652777777777781</v>
          </cell>
          <cell r="G396" t="str">
            <v xml:space="preserve">CONTINUE LOADING </v>
          </cell>
          <cell r="O396">
            <v>0.85833333333333328</v>
          </cell>
          <cell r="P396" t="str">
            <v xml:space="preserve">CONTINUE LOADING </v>
          </cell>
          <cell r="U396">
            <v>0.875</v>
          </cell>
          <cell r="V396" t="str">
            <v xml:space="preserve">UNABLE TO RESUME LOADING </v>
          </cell>
          <cell r="X396">
            <v>0.70694444444444449</v>
          </cell>
          <cell r="Y396" t="str">
            <v xml:space="preserve">CONTINUE LOADING </v>
          </cell>
          <cell r="AD396">
            <v>0.95833333333333337</v>
          </cell>
          <cell r="AE396" t="str">
            <v xml:space="preserve">UNABLE TO COMMENCE LOADING </v>
          </cell>
        </row>
        <row r="397">
          <cell r="C397">
            <v>0.5</v>
          </cell>
          <cell r="D397" t="str">
            <v>LUNCHBREAK</v>
          </cell>
          <cell r="F397">
            <v>0.79166666666666663</v>
          </cell>
          <cell r="G397" t="str">
            <v>KY TOOLBOX</v>
          </cell>
          <cell r="O397">
            <v>0.87291666666666667</v>
          </cell>
          <cell r="P397" t="str">
            <v xml:space="preserve">CONTINUE LOADING </v>
          </cell>
          <cell r="U397">
            <v>0.93125000000000002</v>
          </cell>
          <cell r="V397" t="str">
            <v xml:space="preserve">UNABLE TO RESUME LOADING </v>
          </cell>
          <cell r="X397">
            <v>0.72916666666666663</v>
          </cell>
          <cell r="Y397" t="str">
            <v>TEMPORARY STOP LOADING</v>
          </cell>
          <cell r="AD397">
            <v>6.9444444444444441E-3</v>
          </cell>
          <cell r="AE397" t="str">
            <v>COMMENCE LOADING</v>
          </cell>
        </row>
        <row r="398">
          <cell r="C398">
            <v>0.54166666666666663</v>
          </cell>
          <cell r="D398" t="str">
            <v>RESUME LOADING SLING</v>
          </cell>
          <cell r="F398">
            <v>0.82847222222222228</v>
          </cell>
          <cell r="G398" t="str">
            <v xml:space="preserve">CONTINUE LOADING </v>
          </cell>
          <cell r="O398">
            <v>0.87708333333333333</v>
          </cell>
          <cell r="P398" t="str">
            <v xml:space="preserve">CONTINUE LOADING </v>
          </cell>
          <cell r="U398">
            <v>0.96527777777777779</v>
          </cell>
          <cell r="V398" t="str">
            <v>RESUME LOADING LOOSE BAG</v>
          </cell>
          <cell r="X398">
            <v>0.75</v>
          </cell>
          <cell r="Y398" t="str">
            <v>TEMPORARY STOP LOADING</v>
          </cell>
          <cell r="AD398">
            <v>4.7222222222222221E-2</v>
          </cell>
          <cell r="AE398" t="str">
            <v>CONTINUE LOADING</v>
          </cell>
        </row>
        <row r="399">
          <cell r="C399">
            <v>0.58958333333333335</v>
          </cell>
          <cell r="D399" t="str">
            <v>CONTINUE LOADING</v>
          </cell>
          <cell r="F399">
            <v>0.84097222222222223</v>
          </cell>
          <cell r="G399" t="str">
            <v xml:space="preserve">CONTINUE LOADING </v>
          </cell>
          <cell r="O399">
            <v>0.91527777777777775</v>
          </cell>
          <cell r="P399" t="str">
            <v xml:space="preserve">CONTINUE LOADING </v>
          </cell>
          <cell r="U399">
            <v>1.3888888888888889E-3</v>
          </cell>
          <cell r="V399" t="str">
            <v>CONTINUE LOADING LOOSEBAG</v>
          </cell>
          <cell r="X399">
            <v>0.79166666666666663</v>
          </cell>
          <cell r="Y399" t="str">
            <v>KY TOOL BOX</v>
          </cell>
          <cell r="AD399">
            <v>9.7916666666666666E-2</v>
          </cell>
          <cell r="AE399" t="str">
            <v>CONTINUE LOADING</v>
          </cell>
        </row>
        <row r="400">
          <cell r="C400">
            <v>0.60624999999999996</v>
          </cell>
          <cell r="D400" t="str">
            <v>ONGOING LOADING</v>
          </cell>
          <cell r="F400">
            <v>0.87291666666666667</v>
          </cell>
          <cell r="G400" t="str">
            <v xml:space="preserve">CONTINUE LOADING </v>
          </cell>
          <cell r="O400">
            <v>0.92708333333333337</v>
          </cell>
          <cell r="P400" t="str">
            <v xml:space="preserve">CONTINUE LOADING </v>
          </cell>
          <cell r="U400">
            <v>8.1944444444444445E-2</v>
          </cell>
          <cell r="V400" t="str">
            <v xml:space="preserve">CONTINUE LOADING </v>
          </cell>
          <cell r="X400">
            <v>0.83402777777777781</v>
          </cell>
          <cell r="Y400" t="str">
            <v>TEMPORARY STOP LOADING</v>
          </cell>
          <cell r="AD400">
            <v>0.12638888888888888</v>
          </cell>
          <cell r="AE400" t="str">
            <v>CONTINUE LOADING</v>
          </cell>
        </row>
        <row r="401">
          <cell r="C401">
            <v>0.6333333333333333</v>
          </cell>
          <cell r="D401" t="str">
            <v>CONTINUE LOADING</v>
          </cell>
          <cell r="F401">
            <v>0.88194444444444442</v>
          </cell>
          <cell r="G401" t="str">
            <v xml:space="preserve">CONTINUE LOADING </v>
          </cell>
          <cell r="O401">
            <v>0.94513888888888886</v>
          </cell>
          <cell r="P401" t="str">
            <v xml:space="preserve">CONTINUE LOADING </v>
          </cell>
          <cell r="U401">
            <v>0.11597222222222223</v>
          </cell>
          <cell r="V401" t="str">
            <v>CONTINUE LOADING</v>
          </cell>
          <cell r="X401">
            <v>0.875</v>
          </cell>
          <cell r="Y401" t="str">
            <v>TEMPORARY STOP LOADING</v>
          </cell>
          <cell r="AD401">
            <v>0.14583333333333334</v>
          </cell>
          <cell r="AE401" t="str">
            <v>CONTINUE LOADING</v>
          </cell>
        </row>
        <row r="402">
          <cell r="C402">
            <v>0.64861111111111114</v>
          </cell>
          <cell r="D402" t="str">
            <v>ONGOING LOADING</v>
          </cell>
          <cell r="F402">
            <v>0.91736111111111107</v>
          </cell>
          <cell r="G402" t="str">
            <v xml:space="preserve">CONTINUE LOADING </v>
          </cell>
          <cell r="O402">
            <v>0.96597222222222223</v>
          </cell>
          <cell r="P402" t="str">
            <v>LOADING COMPLETE</v>
          </cell>
          <cell r="U402">
            <v>0.1388888888888889</v>
          </cell>
          <cell r="V402" t="str">
            <v>CONTINUE LOADING</v>
          </cell>
          <cell r="X402">
            <v>0.91666666666666663</v>
          </cell>
          <cell r="Y402" t="str">
            <v>TEMPORARY STOP LOADING</v>
          </cell>
          <cell r="AD402">
            <v>0.19722222222222222</v>
          </cell>
          <cell r="AE402" t="str">
            <v>CONTINUE LOADING</v>
          </cell>
        </row>
        <row r="403">
          <cell r="C403">
            <v>0.67291666666666672</v>
          </cell>
          <cell r="D403" t="str">
            <v>CONTINUE LOADING</v>
          </cell>
          <cell r="F403">
            <v>0.94722222222222219</v>
          </cell>
          <cell r="G403" t="str">
            <v xml:space="preserve">CONTINUE LOADING </v>
          </cell>
          <cell r="U403">
            <v>0.19513888888888889</v>
          </cell>
          <cell r="V403" t="str">
            <v xml:space="preserve">CONTINUE LOADING </v>
          </cell>
          <cell r="X403">
            <v>0.95833333333333337</v>
          </cell>
          <cell r="Y403" t="str">
            <v>TEMPORARY STOP LOADING</v>
          </cell>
          <cell r="AD403">
            <v>0.22916666666666666</v>
          </cell>
          <cell r="AE403" t="str">
            <v>CONTINUE LOADING</v>
          </cell>
        </row>
        <row r="404">
          <cell r="C404">
            <v>0.67708333333333337</v>
          </cell>
          <cell r="D404" t="str">
            <v>ONGOING LOADING</v>
          </cell>
          <cell r="F404">
            <v>0.9770833333333333</v>
          </cell>
          <cell r="G404" t="str">
            <v xml:space="preserve">CONTINUE LOADING </v>
          </cell>
          <cell r="U404">
            <v>0.22916666666666666</v>
          </cell>
          <cell r="V404" t="str">
            <v>WAITING FOR SLING BAGS POUCH</v>
          </cell>
          <cell r="X404">
            <v>2.7777777777777776E-2</v>
          </cell>
          <cell r="Y404" t="str">
            <v>RESUME LOADING</v>
          </cell>
        </row>
        <row r="405">
          <cell r="C405">
            <v>0.71527777777777779</v>
          </cell>
          <cell r="D405" t="str">
            <v xml:space="preserve">CONTINUE LOADING </v>
          </cell>
          <cell r="F405">
            <v>6.9444444444444447E-4</v>
          </cell>
          <cell r="G405" t="str">
            <v xml:space="preserve">CONTINUE LOADING </v>
          </cell>
          <cell r="U405">
            <v>0.25</v>
          </cell>
          <cell r="V405" t="str">
            <v>VESSEL BREAK</v>
          </cell>
          <cell r="X405">
            <v>7.2916666666666671E-2</v>
          </cell>
          <cell r="Y405" t="str">
            <v>LOADING COMPLETE</v>
          </cell>
        </row>
        <row r="406">
          <cell r="C406">
            <v>0.79166666666666663</v>
          </cell>
          <cell r="D406" t="str">
            <v>KY TOOLBOX</v>
          </cell>
          <cell r="F406">
            <v>4.9305555555555554E-2</v>
          </cell>
          <cell r="G406" t="str">
            <v>WAITING MATERIAL</v>
          </cell>
        </row>
        <row r="407">
          <cell r="C407">
            <v>0.8305555555555556</v>
          </cell>
          <cell r="D407" t="str">
            <v xml:space="preserve">CONTINUE LOADING </v>
          </cell>
          <cell r="F407">
            <v>8.4027777777777785E-2</v>
          </cell>
          <cell r="G407" t="str">
            <v>WAITING MATERIAL</v>
          </cell>
        </row>
        <row r="408">
          <cell r="C408">
            <v>0.84930555555555554</v>
          </cell>
          <cell r="D408" t="str">
            <v xml:space="preserve">COMPLETE LOADING </v>
          </cell>
          <cell r="F408">
            <v>0.13194444444444445</v>
          </cell>
          <cell r="G408" t="str">
            <v xml:space="preserve">CONTINUE LOADING </v>
          </cell>
        </row>
        <row r="409">
          <cell r="F409">
            <v>0.1673611111111111</v>
          </cell>
          <cell r="G409" t="str">
            <v xml:space="preserve">CONTINUE LOADING </v>
          </cell>
        </row>
        <row r="410">
          <cell r="F410">
            <v>0.19722222222222222</v>
          </cell>
          <cell r="G410" t="str">
            <v xml:space="preserve">CONTINUE LOADING </v>
          </cell>
        </row>
        <row r="411">
          <cell r="F411">
            <v>0.22916666666666666</v>
          </cell>
          <cell r="G411" t="str">
            <v>WAITING MATERIAL</v>
          </cell>
        </row>
        <row r="412">
          <cell r="D412" t="str">
            <v>VACANT</v>
          </cell>
          <cell r="G412" t="str">
            <v>INFINITY 8</v>
          </cell>
          <cell r="J412" t="str">
            <v>VACANT</v>
          </cell>
          <cell r="M412" t="str">
            <v>VACANT</v>
          </cell>
          <cell r="P412" t="str">
            <v>QUEEN CAROLYN</v>
          </cell>
          <cell r="S412" t="str">
            <v>VACANT</v>
          </cell>
          <cell r="V412" t="str">
            <v>ADOLFO SR</v>
          </cell>
          <cell r="Y412" t="str">
            <v>VACANT</v>
          </cell>
          <cell r="AB412" t="str">
            <v>VACANT</v>
          </cell>
          <cell r="AE412" t="str">
            <v>LADY OF WISDOM</v>
          </cell>
          <cell r="AH412" t="str">
            <v>VACANT</v>
          </cell>
        </row>
        <row r="413">
          <cell r="C413">
            <v>0.31944444444444442</v>
          </cell>
          <cell r="D413" t="str">
            <v>NO ASSIGN VESSEL</v>
          </cell>
          <cell r="F413">
            <v>0.3125</v>
          </cell>
          <cell r="G413" t="str">
            <v>CONDUCT KY</v>
          </cell>
          <cell r="I413">
            <v>0.31944444444444442</v>
          </cell>
          <cell r="J413" t="str">
            <v>NO ASSIGN VESSEL</v>
          </cell>
          <cell r="L413">
            <v>0.31944444444444442</v>
          </cell>
          <cell r="M413" t="str">
            <v>NO ASSIGN VESSEL</v>
          </cell>
          <cell r="O413">
            <v>0.31944444444444442</v>
          </cell>
          <cell r="P413" t="str">
            <v>NO ASSIGN VESSEL</v>
          </cell>
          <cell r="R413">
            <v>0.31944444444444442</v>
          </cell>
          <cell r="S413" t="str">
            <v>NO ASSIGN VESSEL</v>
          </cell>
          <cell r="U413">
            <v>0.3125</v>
          </cell>
          <cell r="V413" t="str">
            <v>CONDUCT KY</v>
          </cell>
          <cell r="X413">
            <v>0.31944444444444442</v>
          </cell>
          <cell r="Y413" t="str">
            <v>NO ASSIGN VESSEL</v>
          </cell>
          <cell r="AA413">
            <v>0.31944444444444442</v>
          </cell>
          <cell r="AB413" t="str">
            <v>NO ASSIGN VESSEL</v>
          </cell>
          <cell r="AD413">
            <v>0.3125</v>
          </cell>
          <cell r="AE413" t="str">
            <v>CONDUCT KY</v>
          </cell>
          <cell r="AG413">
            <v>0.31944444444444442</v>
          </cell>
          <cell r="AH413" t="str">
            <v>NO ASSIGN VESSEL</v>
          </cell>
        </row>
        <row r="414">
          <cell r="C414">
            <v>0.33333333333333331</v>
          </cell>
          <cell r="D414" t="str">
            <v>NO ASSIGN VESSEL</v>
          </cell>
          <cell r="F414">
            <v>0.31944444444444442</v>
          </cell>
          <cell r="G414" t="str">
            <v>WAITING MATERIAL</v>
          </cell>
          <cell r="I414">
            <v>0.33333333333333331</v>
          </cell>
          <cell r="J414" t="str">
            <v>NO ASSIGN VESSEL</v>
          </cell>
          <cell r="L414">
            <v>0.33333333333333331</v>
          </cell>
          <cell r="M414" t="str">
            <v>NO ASSIGN VESSEL</v>
          </cell>
          <cell r="O414">
            <v>0.38194444444444442</v>
          </cell>
          <cell r="P414" t="str">
            <v>DOCK AND SECURE</v>
          </cell>
          <cell r="R414">
            <v>0.33333333333333331</v>
          </cell>
          <cell r="S414" t="str">
            <v>NO ASSIGN VESSEL</v>
          </cell>
          <cell r="U414">
            <v>0.3576388888888889</v>
          </cell>
          <cell r="V414" t="str">
            <v xml:space="preserve">RESUME LOADING SLING </v>
          </cell>
          <cell r="X414">
            <v>0.33333333333333331</v>
          </cell>
          <cell r="Y414" t="str">
            <v>NO ASSIGN VESSEL</v>
          </cell>
          <cell r="AA414">
            <v>0.33333333333333331</v>
          </cell>
          <cell r="AB414" t="str">
            <v>NO ASSIGN VESSEL</v>
          </cell>
          <cell r="AD414">
            <v>0.34097222222222223</v>
          </cell>
          <cell r="AE414" t="str">
            <v>RESUME LOADING TONNER</v>
          </cell>
          <cell r="AG414">
            <v>0.33333333333333331</v>
          </cell>
          <cell r="AH414" t="str">
            <v>NO ASSIGN VESSEL</v>
          </cell>
        </row>
        <row r="415">
          <cell r="C415">
            <v>0.375</v>
          </cell>
          <cell r="D415" t="str">
            <v>NO ASSIGN VESSEL</v>
          </cell>
          <cell r="F415">
            <v>0.33333333333333331</v>
          </cell>
          <cell r="G415" t="str">
            <v>WAITING MATERIAL</v>
          </cell>
          <cell r="I415">
            <v>0.375</v>
          </cell>
          <cell r="J415" t="str">
            <v>NO ASSIGN VESSEL</v>
          </cell>
          <cell r="L415">
            <v>0.375</v>
          </cell>
          <cell r="M415" t="str">
            <v>NO ASSIGN VESSEL</v>
          </cell>
          <cell r="O415">
            <v>0.54166666666666663</v>
          </cell>
          <cell r="P415" t="str">
            <v>WAITING MATERIAL</v>
          </cell>
          <cell r="R415">
            <v>0.375</v>
          </cell>
          <cell r="S415" t="str">
            <v>NO ASSIGN VESSEL</v>
          </cell>
          <cell r="U415">
            <v>0.37847222222222221</v>
          </cell>
          <cell r="V415" t="str">
            <v xml:space="preserve">RESUME LOADING SLING </v>
          </cell>
          <cell r="X415">
            <v>0.375</v>
          </cell>
          <cell r="Y415" t="str">
            <v>NO ASSIGN VESSEL</v>
          </cell>
          <cell r="AA415">
            <v>0.375</v>
          </cell>
          <cell r="AB415" t="str">
            <v>NO ASSIGN VESSEL</v>
          </cell>
          <cell r="AD415">
            <v>0.3659722222222222</v>
          </cell>
          <cell r="AE415" t="str">
            <v>CONTINUE LOADING TONNER</v>
          </cell>
          <cell r="AG415">
            <v>0.375</v>
          </cell>
          <cell r="AH415" t="str">
            <v>NO ASSIGN VESSEL</v>
          </cell>
        </row>
        <row r="416">
          <cell r="C416">
            <v>0.41666666666666669</v>
          </cell>
          <cell r="D416" t="str">
            <v>NO ASSIGN VESSEL</v>
          </cell>
          <cell r="F416">
            <v>0.375</v>
          </cell>
          <cell r="G416" t="str">
            <v>WAITING MATERIAL</v>
          </cell>
          <cell r="I416">
            <v>0.41666666666666669</v>
          </cell>
          <cell r="J416" t="str">
            <v>NO ASSIGN VESSEL</v>
          </cell>
          <cell r="L416">
            <v>0.41666666666666669</v>
          </cell>
          <cell r="M416" t="str">
            <v>NO ASSIGN VESSEL</v>
          </cell>
          <cell r="O416">
            <v>0.58194444444444449</v>
          </cell>
          <cell r="P416" t="str">
            <v xml:space="preserve">COMMENCE LOADING </v>
          </cell>
          <cell r="R416">
            <v>0.41666666666666669</v>
          </cell>
          <cell r="S416" t="str">
            <v>NO ASSIGN VESSEL</v>
          </cell>
          <cell r="U416">
            <v>0.43125000000000002</v>
          </cell>
          <cell r="V416" t="str">
            <v>CONTINUE LOADING SLING</v>
          </cell>
          <cell r="X416">
            <v>0.41666666666666669</v>
          </cell>
          <cell r="Y416" t="str">
            <v>NO ASSIGN VESSEL</v>
          </cell>
          <cell r="AA416">
            <v>0.41666666666666669</v>
          </cell>
          <cell r="AB416" t="str">
            <v>NO ASSIGN VESSEL</v>
          </cell>
          <cell r="AD416">
            <v>0.41458333333333336</v>
          </cell>
          <cell r="AE416" t="str">
            <v xml:space="preserve">ONGOING LOADING </v>
          </cell>
          <cell r="AG416">
            <v>0.41666666666666669</v>
          </cell>
          <cell r="AH416" t="str">
            <v>NO ASSIGN VESSEL</v>
          </cell>
        </row>
        <row r="417">
          <cell r="F417">
            <v>0.41666666666666669</v>
          </cell>
          <cell r="G417" t="str">
            <v>WAITING MATERIAL</v>
          </cell>
          <cell r="O417">
            <v>0.60833333333333328</v>
          </cell>
          <cell r="P417" t="str">
            <v xml:space="preserve">CONTINUE LOADING </v>
          </cell>
          <cell r="U417">
            <v>0.4465277777777778</v>
          </cell>
          <cell r="V417" t="str">
            <v>ONGOING LOADING</v>
          </cell>
          <cell r="AD417">
            <v>0.43472222222222223</v>
          </cell>
          <cell r="AE417" t="str">
            <v>CONTINUE LOADING TONNER</v>
          </cell>
        </row>
        <row r="418">
          <cell r="F418">
            <v>0.44236111111111109</v>
          </cell>
          <cell r="G418" t="str">
            <v>RESUME LOADING SLING</v>
          </cell>
          <cell r="O418">
            <v>0.65625</v>
          </cell>
          <cell r="P418" t="str">
            <v xml:space="preserve">ONGOING LOADING </v>
          </cell>
          <cell r="U418">
            <v>0.45763888888888887</v>
          </cell>
          <cell r="V418" t="str">
            <v>WAITING MATERIAL</v>
          </cell>
          <cell r="AD418">
            <v>0.5</v>
          </cell>
          <cell r="AE418" t="str">
            <v>LUNCHBREAK</v>
          </cell>
        </row>
        <row r="419">
          <cell r="F419">
            <v>0.45208333333333334</v>
          </cell>
          <cell r="G419" t="str">
            <v>WAITING MATERIAL</v>
          </cell>
          <cell r="O419">
            <v>0.67986111111111114</v>
          </cell>
          <cell r="P419" t="str">
            <v xml:space="preserve">ONGOING LOADING </v>
          </cell>
          <cell r="U419">
            <v>0.57152777777777775</v>
          </cell>
          <cell r="V419" t="str">
            <v>RESUME LOADING</v>
          </cell>
          <cell r="AD419">
            <v>0.56319444444444444</v>
          </cell>
          <cell r="AE419" t="str">
            <v>RESUME LOADING TONNER</v>
          </cell>
        </row>
        <row r="420">
          <cell r="F420">
            <v>0.56527777777777777</v>
          </cell>
          <cell r="G420" t="str">
            <v>RESUME LOADING</v>
          </cell>
          <cell r="O420">
            <v>0.70625000000000004</v>
          </cell>
          <cell r="P420" t="str">
            <v xml:space="preserve">CONTINUE LOADING </v>
          </cell>
          <cell r="U420">
            <v>0.625</v>
          </cell>
          <cell r="V420" t="str">
            <v xml:space="preserve">WAITING LOOSEBAGS </v>
          </cell>
          <cell r="AD420">
            <v>0.60069444444444442</v>
          </cell>
          <cell r="AE420" t="str">
            <v>CONTINUE LOADING</v>
          </cell>
        </row>
        <row r="421">
          <cell r="F421">
            <v>0.57777777777777772</v>
          </cell>
          <cell r="G421" t="str">
            <v xml:space="preserve">CONTINUE LOADING </v>
          </cell>
          <cell r="O421">
            <v>0.75</v>
          </cell>
          <cell r="P421" t="str">
            <v>VESSEL BRAEK</v>
          </cell>
          <cell r="U421">
            <v>0.69166666666666665</v>
          </cell>
          <cell r="V421" t="str">
            <v>LOADING LOOSEBAGS</v>
          </cell>
          <cell r="AD421">
            <v>0.65138888888888891</v>
          </cell>
          <cell r="AE421" t="str">
            <v xml:space="preserve">ONGOING LOADING </v>
          </cell>
        </row>
        <row r="422">
          <cell r="F422">
            <v>0.59930555555555554</v>
          </cell>
          <cell r="G422" t="str">
            <v xml:space="preserve">ONGOING LOADING </v>
          </cell>
          <cell r="O422">
            <v>0.79166666666666663</v>
          </cell>
          <cell r="P422" t="str">
            <v>KY TOOLBOX</v>
          </cell>
          <cell r="U422">
            <v>0.75</v>
          </cell>
          <cell r="V422" t="str">
            <v>VESSEL BREAK</v>
          </cell>
          <cell r="AD422">
            <v>0.69166666666666665</v>
          </cell>
          <cell r="AE422" t="str">
            <v>CONTINUE LOADING</v>
          </cell>
        </row>
        <row r="423">
          <cell r="F423">
            <v>0.61736111111111114</v>
          </cell>
          <cell r="G423" t="str">
            <v xml:space="preserve">CONTINUE LOADING </v>
          </cell>
          <cell r="O423">
            <v>0.84722222222222221</v>
          </cell>
          <cell r="P423" t="str">
            <v xml:space="preserve">CONTINUE LOADING </v>
          </cell>
          <cell r="U423">
            <v>0.79166666666666663</v>
          </cell>
          <cell r="V423" t="str">
            <v>KY TOOLBOX</v>
          </cell>
          <cell r="AD423">
            <v>0.75</v>
          </cell>
          <cell r="AE423" t="str">
            <v>VESSEL BREAK</v>
          </cell>
        </row>
        <row r="424">
          <cell r="F424">
            <v>0.62847222222222221</v>
          </cell>
          <cell r="G424" t="str">
            <v xml:space="preserve">ONGOING LOADING </v>
          </cell>
          <cell r="O424">
            <v>0.89166666666666672</v>
          </cell>
          <cell r="P424" t="str">
            <v xml:space="preserve">CONTINUE LOADING </v>
          </cell>
          <cell r="U424">
            <v>0.83680555555555558</v>
          </cell>
          <cell r="V424" t="str">
            <v>LOADING LOOSEBAGS</v>
          </cell>
          <cell r="AD424">
            <v>0.79166666666666663</v>
          </cell>
          <cell r="AE424" t="str">
            <v>KY TOOLBOX</v>
          </cell>
        </row>
        <row r="425">
          <cell r="F425">
            <v>0.64444444444444449</v>
          </cell>
          <cell r="G425" t="str">
            <v xml:space="preserve">CONTINUE LOADING </v>
          </cell>
          <cell r="O425">
            <v>0.93541666666666667</v>
          </cell>
          <cell r="P425" t="str">
            <v xml:space="preserve">CONTINUE LOADING </v>
          </cell>
          <cell r="U425">
            <v>0.88541666666666663</v>
          </cell>
          <cell r="V425" t="str">
            <v>LOADING LOOSEBAGS</v>
          </cell>
          <cell r="AD425">
            <v>0.84930555555555554</v>
          </cell>
          <cell r="AE425" t="str">
            <v>CONTINUE LOADING</v>
          </cell>
        </row>
        <row r="426">
          <cell r="F426" t="str">
            <v xml:space="preserve"> </v>
          </cell>
          <cell r="G426" t="str">
            <v xml:space="preserve"> </v>
          </cell>
          <cell r="O426">
            <v>0.95833333333333337</v>
          </cell>
          <cell r="P426" t="str">
            <v>VESSEL CLOSE</v>
          </cell>
          <cell r="U426">
            <v>0.9375</v>
          </cell>
          <cell r="V426" t="str">
            <v xml:space="preserve">VESSEL CLOSE </v>
          </cell>
          <cell r="AD426">
            <v>0.90555555555555556</v>
          </cell>
          <cell r="AE426" t="str">
            <v>CONTINUE LOADING</v>
          </cell>
        </row>
        <row r="427">
          <cell r="F427">
            <v>0.66527777777777775</v>
          </cell>
          <cell r="G427" t="str">
            <v xml:space="preserve">ONGOING LOADING </v>
          </cell>
          <cell r="O427">
            <v>6.9444444444444447E-4</v>
          </cell>
          <cell r="P427" t="str">
            <v>VESSEL CLOSE</v>
          </cell>
          <cell r="U427">
            <v>0.97361111111111109</v>
          </cell>
          <cell r="V427" t="str">
            <v xml:space="preserve">VESSEL CLOSE </v>
          </cell>
          <cell r="AD427">
            <v>0.9375</v>
          </cell>
          <cell r="AE427" t="str">
            <v>VESSEL CLOSE</v>
          </cell>
        </row>
        <row r="428">
          <cell r="F428">
            <v>0.68125000000000002</v>
          </cell>
          <cell r="G428" t="str">
            <v xml:space="preserve">CONTINUE LOADING </v>
          </cell>
          <cell r="O428">
            <v>5.6944444444444443E-2</v>
          </cell>
          <cell r="P428" t="str">
            <v>VESSEL CLOSE</v>
          </cell>
          <cell r="U428">
            <v>6.9444444444444441E-3</v>
          </cell>
          <cell r="V428" t="str">
            <v xml:space="preserve">VESSEL CLOSE </v>
          </cell>
          <cell r="AD428">
            <v>0.95902777777777781</v>
          </cell>
          <cell r="AE428" t="str">
            <v>VESSEL CLOSE</v>
          </cell>
        </row>
        <row r="429">
          <cell r="F429">
            <v>0.71458333333333335</v>
          </cell>
          <cell r="G429" t="str">
            <v xml:space="preserve">CONTINUE LOADING </v>
          </cell>
          <cell r="O429">
            <v>8.3333333333333329E-2</v>
          </cell>
          <cell r="P429" t="str">
            <v xml:space="preserve">CONTINUE LOADING </v>
          </cell>
          <cell r="U429">
            <v>5.347222222222222E-2</v>
          </cell>
          <cell r="V429" t="str">
            <v>LOADING LOOSEBAGS</v>
          </cell>
          <cell r="AD429">
            <v>1.5277777777777777E-2</v>
          </cell>
          <cell r="AE429" t="str">
            <v>VESSEL CLOSE</v>
          </cell>
        </row>
        <row r="430">
          <cell r="F430">
            <v>0.72013888888888888</v>
          </cell>
          <cell r="G430" t="str">
            <v xml:space="preserve">ONGOING LOADING </v>
          </cell>
          <cell r="O430">
            <v>0.12569444444444444</v>
          </cell>
          <cell r="P430" t="str">
            <v xml:space="preserve">CONTINUE LOADING </v>
          </cell>
          <cell r="U430">
            <v>8.6805555555555552E-2</v>
          </cell>
          <cell r="V430" t="str">
            <v xml:space="preserve">CONTINUE LOADING </v>
          </cell>
          <cell r="AD430">
            <v>4.5138888888888888E-2</v>
          </cell>
          <cell r="AE430" t="str">
            <v>VESSEL CLOSE</v>
          </cell>
        </row>
        <row r="431">
          <cell r="F431">
            <v>0.72916666666666663</v>
          </cell>
          <cell r="G431" t="str">
            <v>WAITING MATERIAL</v>
          </cell>
          <cell r="O431">
            <v>0.1673611111111111</v>
          </cell>
          <cell r="P431" t="str">
            <v xml:space="preserve">CONTINUE LOADING </v>
          </cell>
          <cell r="U431">
            <v>0.125</v>
          </cell>
          <cell r="V431" t="str">
            <v xml:space="preserve">CONTINUE LOADING </v>
          </cell>
          <cell r="AD431">
            <v>8.4027777777777785E-2</v>
          </cell>
          <cell r="AE431" t="str">
            <v>CONTINUE LOADING</v>
          </cell>
        </row>
        <row r="432">
          <cell r="F432">
            <v>0.75</v>
          </cell>
          <cell r="G432" t="str">
            <v>VESSEL BREAK</v>
          </cell>
          <cell r="O432">
            <v>0.2361111111111111</v>
          </cell>
          <cell r="P432" t="str">
            <v xml:space="preserve">CONTINUE LOADING </v>
          </cell>
          <cell r="AD432">
            <v>0.13055555555555556</v>
          </cell>
          <cell r="AE432" t="str">
            <v>CONTINUE LOADING</v>
          </cell>
        </row>
        <row r="433">
          <cell r="F433">
            <v>0.79166666666666663</v>
          </cell>
          <cell r="G433" t="str">
            <v>KY TOOLBOX</v>
          </cell>
          <cell r="AD433">
            <v>0.19791666666666666</v>
          </cell>
          <cell r="AE433" t="str">
            <v>CONTINU E LOADING</v>
          </cell>
        </row>
        <row r="434">
          <cell r="F434">
            <v>0.84513888888888888</v>
          </cell>
          <cell r="G434" t="str">
            <v xml:space="preserve">CONTINUE LOADING </v>
          </cell>
          <cell r="AD434">
            <v>0.22013888888888888</v>
          </cell>
          <cell r="AE434" t="str">
            <v>CONTINUE LOADING</v>
          </cell>
        </row>
        <row r="435">
          <cell r="F435">
            <v>0.875</v>
          </cell>
          <cell r="G435" t="str">
            <v xml:space="preserve">CONTINUE LOADING </v>
          </cell>
        </row>
        <row r="436">
          <cell r="F436">
            <v>0.91736111111111107</v>
          </cell>
          <cell r="G436" t="str">
            <v xml:space="preserve">CONTINUE LOADING </v>
          </cell>
        </row>
        <row r="437">
          <cell r="F437">
            <v>0.95833333333333337</v>
          </cell>
          <cell r="G437" t="str">
            <v>VESSEL CLOSE</v>
          </cell>
        </row>
        <row r="438">
          <cell r="F438">
            <v>1.3888888888888889E-3</v>
          </cell>
          <cell r="G438" t="str">
            <v>VESSEL CLOSE</v>
          </cell>
        </row>
        <row r="439">
          <cell r="F439">
            <v>7.4999999999999997E-2</v>
          </cell>
          <cell r="G439" t="str">
            <v xml:space="preserve">CONTINUE LOADING </v>
          </cell>
        </row>
        <row r="440">
          <cell r="F440">
            <v>9.166666666666666E-2</v>
          </cell>
          <cell r="G440" t="str">
            <v xml:space="preserve">CONTINUE LOADING </v>
          </cell>
        </row>
        <row r="441">
          <cell r="F441">
            <v>0.12638888888888888</v>
          </cell>
          <cell r="G441" t="str">
            <v xml:space="preserve">CONTINUE LOADING </v>
          </cell>
        </row>
        <row r="442">
          <cell r="F442">
            <v>0.1673611111111111</v>
          </cell>
          <cell r="G442" t="str">
            <v xml:space="preserve">CONTINUE LOADING </v>
          </cell>
        </row>
        <row r="443">
          <cell r="F443">
            <v>0.19097222222222221</v>
          </cell>
          <cell r="G443" t="str">
            <v xml:space="preserve">CONTINUE LOADING </v>
          </cell>
        </row>
        <row r="444">
          <cell r="D444" t="str">
            <v>JOHANNAH 7</v>
          </cell>
          <cell r="G444" t="str">
            <v>INFINITY 8</v>
          </cell>
          <cell r="J444" t="str">
            <v>VACANT</v>
          </cell>
          <cell r="M444" t="str">
            <v>VACANT</v>
          </cell>
          <cell r="P444" t="str">
            <v>QUEEN CAROLYN</v>
          </cell>
          <cell r="S444" t="str">
            <v>VACANT</v>
          </cell>
          <cell r="V444" t="str">
            <v>ADOLFO SR</v>
          </cell>
          <cell r="Y444" t="str">
            <v>VACANT</v>
          </cell>
          <cell r="AB444" t="str">
            <v>VACANT</v>
          </cell>
          <cell r="AE444" t="str">
            <v>LADY OF WISDOM</v>
          </cell>
          <cell r="AH444" t="str">
            <v>VACANT</v>
          </cell>
        </row>
        <row r="445">
          <cell r="C445">
            <v>0.29166666666666669</v>
          </cell>
          <cell r="D445" t="str">
            <v>NEW SECURED VESSEL</v>
          </cell>
          <cell r="F445">
            <v>0.29166666666666669</v>
          </cell>
          <cell r="G445" t="str">
            <v>KY TOOLBOX</v>
          </cell>
          <cell r="I445" t="str">
            <v xml:space="preserve"> </v>
          </cell>
          <cell r="J445" t="str">
            <v xml:space="preserve"> </v>
          </cell>
          <cell r="L445" t="str">
            <v xml:space="preserve"> </v>
          </cell>
          <cell r="M445" t="str">
            <v xml:space="preserve"> </v>
          </cell>
          <cell r="O445">
            <v>0.29166666666666669</v>
          </cell>
          <cell r="P445" t="str">
            <v>KY TOOLBOX</v>
          </cell>
          <cell r="R445" t="str">
            <v xml:space="preserve"> </v>
          </cell>
          <cell r="S445" t="str">
            <v xml:space="preserve"> </v>
          </cell>
          <cell r="U445">
            <v>0.29166666666666669</v>
          </cell>
          <cell r="V445" t="str">
            <v>WAITING MATERIAL</v>
          </cell>
          <cell r="X445" t="str">
            <v xml:space="preserve"> </v>
          </cell>
          <cell r="Y445" t="str">
            <v xml:space="preserve">  </v>
          </cell>
          <cell r="AA445" t="str">
            <v xml:space="preserve">  </v>
          </cell>
          <cell r="AB445" t="str">
            <v xml:space="preserve">  </v>
          </cell>
          <cell r="AD445">
            <v>0.29166666666666669</v>
          </cell>
          <cell r="AE445" t="str">
            <v>KY TOOLBOX</v>
          </cell>
          <cell r="AG445" t="str">
            <v xml:space="preserve">  </v>
          </cell>
          <cell r="AH445" t="str">
            <v xml:space="preserve">  </v>
          </cell>
        </row>
        <row r="446">
          <cell r="C446">
            <v>0.54166666666666663</v>
          </cell>
          <cell r="D446" t="str">
            <v>WAITING MATERIAL</v>
          </cell>
          <cell r="F446">
            <v>0.35972222222222222</v>
          </cell>
          <cell r="G446" t="str">
            <v>RESUME LOADING</v>
          </cell>
          <cell r="O446">
            <v>0.35486111111111113</v>
          </cell>
          <cell r="P446" t="str">
            <v xml:space="preserve">RESUME LOADING </v>
          </cell>
          <cell r="U446">
            <v>0.43055555555555558</v>
          </cell>
          <cell r="V446" t="str">
            <v>RESUME LOADING</v>
          </cell>
          <cell r="AD446">
            <v>0.34236111111111112</v>
          </cell>
          <cell r="AE446" t="str">
            <v>RESUME LOADING</v>
          </cell>
        </row>
        <row r="447">
          <cell r="C447">
            <v>0.59930555555555554</v>
          </cell>
          <cell r="D447" t="str">
            <v>COMMENCE LOADING</v>
          </cell>
          <cell r="F447">
            <v>0.39583333333333331</v>
          </cell>
          <cell r="G447" t="str">
            <v>WAITING MATERIAL</v>
          </cell>
          <cell r="O447">
            <v>0.37847222222222221</v>
          </cell>
          <cell r="P447" t="str">
            <v>CONTINUE LOADING</v>
          </cell>
          <cell r="U447">
            <v>0.45208333333333334</v>
          </cell>
          <cell r="V447" t="str">
            <v>ONGOING LOADING</v>
          </cell>
          <cell r="AD447">
            <v>0.38055555555555554</v>
          </cell>
          <cell r="AE447" t="str">
            <v xml:space="preserve">CONTINUE LOADING </v>
          </cell>
        </row>
        <row r="448">
          <cell r="C448">
            <v>0.63263888888888886</v>
          </cell>
          <cell r="D448" t="str">
            <v xml:space="preserve">CONTINUE LOADING </v>
          </cell>
          <cell r="F448">
            <v>0.54166666666666663</v>
          </cell>
          <cell r="G448" t="str">
            <v>WAITING GEO TRUCKING</v>
          </cell>
          <cell r="O448">
            <v>0.39374999999999999</v>
          </cell>
          <cell r="P448" t="str">
            <v>ONGOING LOADING</v>
          </cell>
          <cell r="U448">
            <v>0.46875</v>
          </cell>
          <cell r="V448" t="str">
            <v xml:space="preserve">CONTINUE LOADING </v>
          </cell>
          <cell r="AD448">
            <v>0.39583333333333331</v>
          </cell>
          <cell r="AE448" t="str">
            <v>ONGOING LOADING</v>
          </cell>
        </row>
        <row r="449">
          <cell r="C449" t="str">
            <v xml:space="preserve"> 15:38</v>
          </cell>
          <cell r="D449" t="str">
            <v>ONGOING LOADING</v>
          </cell>
          <cell r="F449">
            <v>0.57847222222222228</v>
          </cell>
          <cell r="G449" t="str">
            <v>RESUME LOADING</v>
          </cell>
          <cell r="O449">
            <v>0.42708333333333331</v>
          </cell>
          <cell r="P449" t="str">
            <v>ONGOING LOADING</v>
          </cell>
          <cell r="U449">
            <v>0.5</v>
          </cell>
          <cell r="V449" t="str">
            <v>LUNCHBREAK</v>
          </cell>
          <cell r="AD449">
            <v>0.44097222222222221</v>
          </cell>
          <cell r="AE449" t="str">
            <v xml:space="preserve">CONTINUE LOADING </v>
          </cell>
        </row>
        <row r="450">
          <cell r="C450">
            <v>0.68055555555555558</v>
          </cell>
          <cell r="D450" t="str">
            <v>STOP LOADING</v>
          </cell>
          <cell r="F450">
            <v>0.60972222222222228</v>
          </cell>
          <cell r="G450" t="str">
            <v xml:space="preserve">CONTINUE LOADING </v>
          </cell>
          <cell r="O450">
            <v>0.43819444444444444</v>
          </cell>
          <cell r="P450" t="str">
            <v>CONTINUE LOADING</v>
          </cell>
          <cell r="U450">
            <v>0.5708333333333333</v>
          </cell>
          <cell r="V450" t="str">
            <v>RESUME LOADING</v>
          </cell>
          <cell r="AD450">
            <v>0.46597222222222223</v>
          </cell>
          <cell r="AE450" t="str">
            <v>ONGOING LOADING</v>
          </cell>
        </row>
        <row r="451">
          <cell r="C451">
            <v>0.70833333333333337</v>
          </cell>
          <cell r="D451" t="str">
            <v>STOP LOADING</v>
          </cell>
          <cell r="F451" t="str">
            <v xml:space="preserve"> 15:23</v>
          </cell>
          <cell r="G451" t="str">
            <v xml:space="preserve">ONGOING LOADING </v>
          </cell>
          <cell r="O451">
            <v>0.5</v>
          </cell>
          <cell r="P451" t="str">
            <v>LUNCHBREAK</v>
          </cell>
          <cell r="U451">
            <v>0.58958333333333335</v>
          </cell>
          <cell r="V451" t="str">
            <v xml:space="preserve">CONTINUE LOADING </v>
          </cell>
          <cell r="AD451">
            <v>0.5</v>
          </cell>
          <cell r="AE451" t="str">
            <v>LUNCHBREAK</v>
          </cell>
        </row>
        <row r="452">
          <cell r="C452">
            <v>0.75</v>
          </cell>
          <cell r="D452" t="str">
            <v>STOP LOADING</v>
          </cell>
          <cell r="F452">
            <v>0.68055555555555558</v>
          </cell>
          <cell r="G452" t="str">
            <v>STOP LOADING</v>
          </cell>
          <cell r="O452">
            <v>0.57777777777777772</v>
          </cell>
          <cell r="P452" t="str">
            <v xml:space="preserve">RESUME LOADING </v>
          </cell>
          <cell r="U452">
            <v>0.62083333333333335</v>
          </cell>
          <cell r="V452" t="str">
            <v>ONGOING LOADING</v>
          </cell>
          <cell r="AD452">
            <v>0.5805555555555556</v>
          </cell>
          <cell r="AE452" t="str">
            <v>RESUME LOADING</v>
          </cell>
        </row>
        <row r="453">
          <cell r="C453">
            <v>0.79166666666666663</v>
          </cell>
          <cell r="D453" t="str">
            <v>KY TOOLBOX</v>
          </cell>
          <cell r="F453">
            <v>0.70833333333333337</v>
          </cell>
          <cell r="G453" t="str">
            <v>STOP LOADING</v>
          </cell>
          <cell r="O453" t="str">
            <v xml:space="preserve"> 14:42</v>
          </cell>
          <cell r="P453" t="str">
            <v>CONTINUE LOADING</v>
          </cell>
          <cell r="U453">
            <v>0.625</v>
          </cell>
          <cell r="V453" t="str">
            <v>WAITING MATERIAL</v>
          </cell>
          <cell r="AD453">
            <v>0.6118055555555556</v>
          </cell>
          <cell r="AE453" t="str">
            <v xml:space="preserve">CONTINUE LOADING </v>
          </cell>
        </row>
        <row r="454">
          <cell r="C454">
            <v>0.83333333333333337</v>
          </cell>
          <cell r="D454" t="str">
            <v xml:space="preserve">CONTINUE LOADING </v>
          </cell>
          <cell r="F454">
            <v>0.75</v>
          </cell>
          <cell r="G454" t="str">
            <v>STOP LOADING</v>
          </cell>
          <cell r="O454">
            <v>0.62847222222222221</v>
          </cell>
          <cell r="P454" t="str">
            <v>ONGOING LOADING</v>
          </cell>
          <cell r="U454">
            <v>0.68055555555555558</v>
          </cell>
          <cell r="V454" t="str">
            <v xml:space="preserve">STOP LOADING </v>
          </cell>
          <cell r="AD454">
            <v>0.63541666666666663</v>
          </cell>
          <cell r="AE454" t="str">
            <v>TEMPORARY STOP LOADING</v>
          </cell>
        </row>
        <row r="455">
          <cell r="C455">
            <v>0.89583333333333337</v>
          </cell>
          <cell r="D455" t="str">
            <v xml:space="preserve">CONTINUE LOADING </v>
          </cell>
          <cell r="F455">
            <v>0.79166666666666663</v>
          </cell>
          <cell r="G455" t="str">
            <v>KY TOOLBOX</v>
          </cell>
          <cell r="O455">
            <v>0.68055555555555558</v>
          </cell>
          <cell r="P455" t="str">
            <v xml:space="preserve">STOP LOADING </v>
          </cell>
          <cell r="U455">
            <v>0.70833333333333337</v>
          </cell>
          <cell r="V455" t="str">
            <v xml:space="preserve">STOP LOADING </v>
          </cell>
          <cell r="AD455" t="str">
            <v xml:space="preserve"> 15:50</v>
          </cell>
          <cell r="AE455" t="str">
            <v>RESUME LOADING</v>
          </cell>
        </row>
        <row r="456">
          <cell r="C456">
            <v>0.91736111111111107</v>
          </cell>
          <cell r="D456" t="str">
            <v>CONTINUE LOADING</v>
          </cell>
          <cell r="F456">
            <v>0.8256944444444444</v>
          </cell>
          <cell r="G456" t="str">
            <v xml:space="preserve">CONTINUE LOADING </v>
          </cell>
          <cell r="O456">
            <v>0.70833333333333337</v>
          </cell>
          <cell r="P456" t="str">
            <v xml:space="preserve">STOP LOADING </v>
          </cell>
          <cell r="U456">
            <v>0.75</v>
          </cell>
          <cell r="V456" t="str">
            <v xml:space="preserve">STOP LOADING </v>
          </cell>
          <cell r="AD456">
            <v>0.68055555555555558</v>
          </cell>
          <cell r="AE456" t="str">
            <v>STOP LOADING</v>
          </cell>
        </row>
        <row r="457">
          <cell r="C457">
            <v>0.96527777777777779</v>
          </cell>
          <cell r="D457" t="str">
            <v xml:space="preserve">CONTINUE LOADING </v>
          </cell>
          <cell r="F457">
            <v>0.85763888888888884</v>
          </cell>
          <cell r="G457" t="str">
            <v xml:space="preserve">CONTINUE LOADING </v>
          </cell>
          <cell r="O457">
            <v>0.75</v>
          </cell>
          <cell r="P457" t="str">
            <v xml:space="preserve">STOP LOADING </v>
          </cell>
          <cell r="U457">
            <v>0.79166666666666663</v>
          </cell>
          <cell r="V457" t="str">
            <v>KY TOOLBOX</v>
          </cell>
          <cell r="AD457">
            <v>0.70833333333333337</v>
          </cell>
          <cell r="AE457" t="str">
            <v>STOP LOADING</v>
          </cell>
        </row>
        <row r="458">
          <cell r="C458">
            <v>1.5277777777777777E-2</v>
          </cell>
          <cell r="D458" t="str">
            <v xml:space="preserve">CONTINUE LOADING </v>
          </cell>
          <cell r="F458">
            <v>0.88611111111111107</v>
          </cell>
          <cell r="G458" t="str">
            <v xml:space="preserve">CONTINUE LOADING </v>
          </cell>
          <cell r="O458">
            <v>0.79166666666666663</v>
          </cell>
          <cell r="P458" t="str">
            <v>KY TOOLBOX</v>
          </cell>
          <cell r="U458">
            <v>0.82499999999999996</v>
          </cell>
          <cell r="V458" t="str">
            <v xml:space="preserve">CONTINUE LOADING </v>
          </cell>
          <cell r="AD458">
            <v>0.75</v>
          </cell>
          <cell r="AE458" t="str">
            <v>STOP LOADING</v>
          </cell>
        </row>
        <row r="459">
          <cell r="C459">
            <v>5.2777777777777778E-2</v>
          </cell>
          <cell r="D459" t="str">
            <v xml:space="preserve">CONTINUE LOADING </v>
          </cell>
          <cell r="F459">
            <v>0.91874999999999996</v>
          </cell>
          <cell r="G459" t="str">
            <v>LOADING COMPLETE</v>
          </cell>
          <cell r="O459">
            <v>0.82777777777777772</v>
          </cell>
          <cell r="P459" t="str">
            <v>CONTINUE LOADING</v>
          </cell>
          <cell r="U459">
            <v>0.84027777777777779</v>
          </cell>
          <cell r="V459" t="str">
            <v xml:space="preserve">CONTINUE LOADING </v>
          </cell>
          <cell r="AD459">
            <v>0.79166666666666663</v>
          </cell>
          <cell r="AE459" t="str">
            <v>KY TOOLBOX</v>
          </cell>
        </row>
        <row r="460">
          <cell r="C460">
            <v>9.2361111111111116E-2</v>
          </cell>
          <cell r="D460" t="str">
            <v xml:space="preserve">CONTINUE LOADING </v>
          </cell>
          <cell r="O460">
            <v>0.87291666666666667</v>
          </cell>
          <cell r="P460" t="str">
            <v>CONTINUE LOADING</v>
          </cell>
          <cell r="U460">
            <v>0.86111111111111116</v>
          </cell>
          <cell r="V460" t="str">
            <v>LOADING COMPLETE</v>
          </cell>
          <cell r="AD460">
            <v>0.8305555555555556</v>
          </cell>
          <cell r="AE460" t="str">
            <v xml:space="preserve">CONTINUE LOADING </v>
          </cell>
        </row>
        <row r="461">
          <cell r="C461">
            <v>0.12638888888888888</v>
          </cell>
          <cell r="D461" t="str">
            <v xml:space="preserve">CONTINUE LOADING </v>
          </cell>
          <cell r="O461">
            <v>0.90694444444444444</v>
          </cell>
          <cell r="P461" t="str">
            <v>CONTINUE LOADING</v>
          </cell>
          <cell r="AD461">
            <v>0.84861111111111109</v>
          </cell>
          <cell r="AE461" t="str">
            <v xml:space="preserve">CONTINUE LOADING </v>
          </cell>
        </row>
        <row r="462">
          <cell r="C462">
            <v>0.17430555555555555</v>
          </cell>
          <cell r="D462" t="str">
            <v>CONTINUE LOADING</v>
          </cell>
          <cell r="O462">
            <v>0.95972222222222225</v>
          </cell>
          <cell r="P462" t="str">
            <v>CONTINUE LOADING</v>
          </cell>
          <cell r="AD462">
            <v>0.87708333333333333</v>
          </cell>
          <cell r="AE462" t="str">
            <v>LOADING COMPLETE</v>
          </cell>
        </row>
        <row r="463">
          <cell r="C463">
            <v>0.22916666666666666</v>
          </cell>
          <cell r="D463" t="str">
            <v>CONTINUE LOADING</v>
          </cell>
          <cell r="O463">
            <v>6.9444444444444441E-3</v>
          </cell>
          <cell r="P463" t="str">
            <v>CONTINUE LOADING</v>
          </cell>
        </row>
        <row r="464">
          <cell r="O464">
            <v>4.2361111111111113E-2</v>
          </cell>
          <cell r="P464" t="str">
            <v>CONTINUE LOADING</v>
          </cell>
        </row>
        <row r="465">
          <cell r="O465">
            <v>0.10416666666666667</v>
          </cell>
          <cell r="P465" t="str">
            <v>CONTINUE LOADING</v>
          </cell>
        </row>
        <row r="466">
          <cell r="O466">
            <v>0.12777777777777777</v>
          </cell>
          <cell r="P466" t="str">
            <v>CONTINUE LOADING</v>
          </cell>
        </row>
        <row r="467">
          <cell r="O467">
            <v>0.16805555555555557</v>
          </cell>
          <cell r="P467" t="str">
            <v>CONTINUE LOADING</v>
          </cell>
        </row>
        <row r="468">
          <cell r="O468">
            <v>0.22916666666666666</v>
          </cell>
          <cell r="P468" t="str">
            <v>CONTINUE LOADING</v>
          </cell>
        </row>
        <row r="470">
          <cell r="D470" t="str">
            <v>JOHANNAH 7</v>
          </cell>
          <cell r="G470" t="str">
            <v>PHILIP MARK</v>
          </cell>
          <cell r="J470" t="str">
            <v>VACANT</v>
          </cell>
          <cell r="M470" t="str">
            <v>VACANT</v>
          </cell>
          <cell r="P470" t="str">
            <v>QUEEN CAROLYN</v>
          </cell>
          <cell r="S470" t="str">
            <v>VACANT</v>
          </cell>
          <cell r="V470" t="str">
            <v>STAR SOGOD</v>
          </cell>
          <cell r="Y470" t="str">
            <v>LADY OF REMEDY</v>
          </cell>
          <cell r="AB470" t="str">
            <v>VACANT</v>
          </cell>
          <cell r="AE470" t="str">
            <v>VACANT</v>
          </cell>
          <cell r="AH470" t="str">
            <v>VACANT</v>
          </cell>
        </row>
        <row r="471">
          <cell r="C471">
            <v>0.31944444444444442</v>
          </cell>
          <cell r="D471" t="str">
            <v>CONDUCT KY</v>
          </cell>
          <cell r="F471">
            <v>0.31597222222222221</v>
          </cell>
          <cell r="G471" t="str">
            <v>CONDUCT KY</v>
          </cell>
          <cell r="I471">
            <v>0.29166666666666669</v>
          </cell>
          <cell r="J471" t="str">
            <v>WAITING VESSEL</v>
          </cell>
          <cell r="L471">
            <v>0.29166666666666669</v>
          </cell>
          <cell r="M471" t="str">
            <v>WAITING VESSEL</v>
          </cell>
          <cell r="O471">
            <v>0.34375</v>
          </cell>
          <cell r="P471" t="str">
            <v>CONDUCT KY</v>
          </cell>
          <cell r="U471">
            <v>0.29166666666666669</v>
          </cell>
          <cell r="V471" t="str">
            <v>WAITING VESSEL</v>
          </cell>
          <cell r="X471">
            <v>0.72916666666666663</v>
          </cell>
          <cell r="Y471" t="str">
            <v xml:space="preserve">DOCKED AND SECURED </v>
          </cell>
          <cell r="AA471">
            <v>0.29166666666666669</v>
          </cell>
          <cell r="AB471" t="str">
            <v>WAITING VESSEL</v>
          </cell>
          <cell r="AD471">
            <v>0.29166666666666669</v>
          </cell>
          <cell r="AE471" t="str">
            <v>WAITING VESSEL</v>
          </cell>
          <cell r="AG471">
            <v>0.29166666666666669</v>
          </cell>
          <cell r="AH471" t="str">
            <v>WAITING VESSEL</v>
          </cell>
        </row>
        <row r="472">
          <cell r="C472">
            <v>0.33333333333333331</v>
          </cell>
          <cell r="D472" t="str">
            <v>WAITING SHORE CRANE</v>
          </cell>
          <cell r="F472">
            <v>0.33333333333333331</v>
          </cell>
          <cell r="G472" t="str">
            <v>TEMP STOP LOADING</v>
          </cell>
          <cell r="I472">
            <v>0.33333333333333331</v>
          </cell>
          <cell r="J472" t="str">
            <v>WAITING VESSEL</v>
          </cell>
          <cell r="L472">
            <v>0.33333333333333331</v>
          </cell>
          <cell r="M472" t="str">
            <v>WAITING VESSEL</v>
          </cell>
          <cell r="O472">
            <v>0.3527777777777778</v>
          </cell>
          <cell r="P472" t="str">
            <v>RESUME LOADING SLING</v>
          </cell>
          <cell r="U472">
            <v>0.33333333333333331</v>
          </cell>
          <cell r="V472" t="str">
            <v>WAITING VESSEL</v>
          </cell>
          <cell r="AA472">
            <v>0.33333333333333331</v>
          </cell>
          <cell r="AB472" t="str">
            <v>WAITING VESSEL</v>
          </cell>
          <cell r="AD472">
            <v>0.33333333333333331</v>
          </cell>
          <cell r="AE472" t="str">
            <v>WAITING VESSEL</v>
          </cell>
          <cell r="AG472">
            <v>0.33333333333333331</v>
          </cell>
          <cell r="AH472" t="str">
            <v>WAITING VESSEL</v>
          </cell>
        </row>
        <row r="473">
          <cell r="C473">
            <v>0.35416666666666669</v>
          </cell>
          <cell r="D473" t="str">
            <v>RESUME LOADING SLING</v>
          </cell>
          <cell r="F473">
            <v>0.46388888888888891</v>
          </cell>
          <cell r="G473" t="str">
            <v xml:space="preserve">RESUME LOADING </v>
          </cell>
          <cell r="I473">
            <v>0.375</v>
          </cell>
          <cell r="J473" t="str">
            <v>WAITING VESSEL</v>
          </cell>
          <cell r="L473">
            <v>0.375</v>
          </cell>
          <cell r="M473" t="str">
            <v>WAITING VESSEL</v>
          </cell>
          <cell r="O473">
            <v>0.375</v>
          </cell>
          <cell r="P473" t="str">
            <v>WAITING  MATERIAL</v>
          </cell>
          <cell r="U473">
            <v>0.375</v>
          </cell>
          <cell r="V473" t="str">
            <v>WAITING VESSEL</v>
          </cell>
          <cell r="AA473">
            <v>0.375</v>
          </cell>
          <cell r="AB473" t="str">
            <v>WAITING VESSEL</v>
          </cell>
          <cell r="AD473">
            <v>0.375</v>
          </cell>
          <cell r="AE473" t="str">
            <v>WAITING VESSEL</v>
          </cell>
          <cell r="AG473">
            <v>0.375</v>
          </cell>
          <cell r="AH473" t="str">
            <v>WAITING VESSEL</v>
          </cell>
        </row>
        <row r="474">
          <cell r="C474">
            <v>0.37361111111111112</v>
          </cell>
          <cell r="D474" t="str">
            <v>CONTINUE LOADING SLING</v>
          </cell>
          <cell r="F474">
            <v>0.5</v>
          </cell>
          <cell r="G474" t="str">
            <v>LUNCHBREAK</v>
          </cell>
          <cell r="I474">
            <v>0.41666666666666669</v>
          </cell>
          <cell r="J474" t="str">
            <v>WAITING VESSEL</v>
          </cell>
          <cell r="L474">
            <v>0.41666666666666669</v>
          </cell>
          <cell r="M474" t="str">
            <v>WAITING VESSEL</v>
          </cell>
          <cell r="O474">
            <v>0.41666666666666669</v>
          </cell>
          <cell r="P474" t="str">
            <v>WAITING  MATERIAL</v>
          </cell>
          <cell r="U474">
            <v>0.41666666666666669</v>
          </cell>
          <cell r="V474" t="str">
            <v>WAITING VESSEL</v>
          </cell>
          <cell r="AA474">
            <v>0.41666666666666669</v>
          </cell>
          <cell r="AB474" t="str">
            <v>WAITING VESSEL</v>
          </cell>
          <cell r="AD474">
            <v>0.41666666666666669</v>
          </cell>
          <cell r="AE474" t="str">
            <v>WAITING VESSEL</v>
          </cell>
          <cell r="AG474">
            <v>0.41666666666666669</v>
          </cell>
          <cell r="AH474" t="str">
            <v>WAITING VESSEL</v>
          </cell>
        </row>
        <row r="475">
          <cell r="C475">
            <v>0.41666666666666669</v>
          </cell>
          <cell r="D475" t="str">
            <v>ONGOING LOADING</v>
          </cell>
          <cell r="F475">
            <v>0.56388888888888888</v>
          </cell>
          <cell r="G475" t="str">
            <v xml:space="preserve">RESUME LOADING </v>
          </cell>
          <cell r="I475">
            <v>0.45833333333333331</v>
          </cell>
          <cell r="J475" t="str">
            <v>WAITING VESSEL</v>
          </cell>
          <cell r="L475">
            <v>0.45833333333333331</v>
          </cell>
          <cell r="M475" t="str">
            <v>WAITING VESSEL</v>
          </cell>
          <cell r="O475">
            <v>0.45833333333333331</v>
          </cell>
          <cell r="P475" t="str">
            <v>WAITING  MATERIAL</v>
          </cell>
          <cell r="U475">
            <v>0.45833333333333331</v>
          </cell>
          <cell r="V475" t="str">
            <v>WAITING VESSEL</v>
          </cell>
          <cell r="AA475">
            <v>0.45833333333333331</v>
          </cell>
          <cell r="AB475" t="str">
            <v>WAITING VESSEL</v>
          </cell>
          <cell r="AD475">
            <v>0.45833333333333331</v>
          </cell>
          <cell r="AE475" t="str">
            <v>WAITING VESSEL</v>
          </cell>
          <cell r="AG475">
            <v>0.45833333333333331</v>
          </cell>
          <cell r="AH475" t="str">
            <v>WAITING VESSEL</v>
          </cell>
        </row>
        <row r="476">
          <cell r="C476">
            <v>0.43194444444444446</v>
          </cell>
          <cell r="D476" t="str">
            <v xml:space="preserve">CONTINUE LOADING </v>
          </cell>
          <cell r="F476">
            <v>0.59305555555555556</v>
          </cell>
          <cell r="G476" t="str">
            <v xml:space="preserve">CONTINUE LOADING </v>
          </cell>
          <cell r="I476">
            <v>0.5</v>
          </cell>
          <cell r="J476" t="str">
            <v>WAITING VESSEL</v>
          </cell>
          <cell r="L476">
            <v>0.5</v>
          </cell>
          <cell r="M476" t="str">
            <v>WAITING VESSEL</v>
          </cell>
          <cell r="O476">
            <v>0.56111111111111112</v>
          </cell>
          <cell r="P476" t="str">
            <v xml:space="preserve">RESUME LOADING </v>
          </cell>
          <cell r="U476">
            <v>0.61805555555555558</v>
          </cell>
          <cell r="V476" t="str">
            <v xml:space="preserve">COMMENCE LOADING </v>
          </cell>
          <cell r="AA476">
            <v>0.5</v>
          </cell>
          <cell r="AB476" t="str">
            <v>WAITING VESSEL</v>
          </cell>
          <cell r="AD476">
            <v>0.5</v>
          </cell>
          <cell r="AE476" t="str">
            <v>WAITING VESSEL</v>
          </cell>
          <cell r="AG476">
            <v>0.5</v>
          </cell>
          <cell r="AH476" t="str">
            <v>WAITING VESSEL</v>
          </cell>
        </row>
        <row r="477">
          <cell r="C477">
            <v>0.45416666666666666</v>
          </cell>
          <cell r="D477" t="str">
            <v>ONGOING LOADING</v>
          </cell>
          <cell r="F477">
            <v>0.64583333333333337</v>
          </cell>
          <cell r="G477" t="str">
            <v>STOP LOADING</v>
          </cell>
          <cell r="I477">
            <v>0.54166666666666663</v>
          </cell>
          <cell r="J477" t="str">
            <v>WAITING VESSEL</v>
          </cell>
          <cell r="L477">
            <v>0.54166666666666663</v>
          </cell>
          <cell r="M477" t="str">
            <v>WAITING VESSEL</v>
          </cell>
          <cell r="O477" t="str">
            <v xml:space="preserve"> 13:46</v>
          </cell>
          <cell r="P477" t="str">
            <v>CONTINU E LOADING</v>
          </cell>
          <cell r="U477">
            <v>0.63888888888888884</v>
          </cell>
          <cell r="V477" t="str">
            <v xml:space="preserve">STOP LOADING </v>
          </cell>
          <cell r="AA477">
            <v>0.54166666666666663</v>
          </cell>
          <cell r="AB477" t="str">
            <v>WAITING VESSEL</v>
          </cell>
          <cell r="AD477">
            <v>0.54166666666666663</v>
          </cell>
          <cell r="AE477" t="str">
            <v>WAITING VESSEL</v>
          </cell>
          <cell r="AG477">
            <v>0.54166666666666663</v>
          </cell>
          <cell r="AH477" t="str">
            <v>WAITING VESSEL</v>
          </cell>
        </row>
        <row r="478">
          <cell r="C478">
            <v>0.47222222222222221</v>
          </cell>
          <cell r="D478" t="str">
            <v>CONTINUE LOADING</v>
          </cell>
          <cell r="F478">
            <v>0.66666666666666663</v>
          </cell>
          <cell r="G478" t="str">
            <v>RAIN</v>
          </cell>
          <cell r="I478">
            <v>0.58333333333333337</v>
          </cell>
          <cell r="J478" t="str">
            <v>WAITING VESSEL</v>
          </cell>
          <cell r="L478">
            <v>0.58333333333333337</v>
          </cell>
          <cell r="M478" t="str">
            <v>WAITING VESSEL</v>
          </cell>
          <cell r="O478">
            <v>0.58333333333333337</v>
          </cell>
          <cell r="P478" t="str">
            <v xml:space="preserve">TEMP. STOP LOADING </v>
          </cell>
          <cell r="U478">
            <v>0.66666666666666663</v>
          </cell>
          <cell r="V478" t="str">
            <v>RAIN</v>
          </cell>
          <cell r="AA478">
            <v>0.58333333333333337</v>
          </cell>
          <cell r="AB478" t="str">
            <v>WAITING VESSEL</v>
          </cell>
          <cell r="AD478">
            <v>0.58333333333333337</v>
          </cell>
          <cell r="AE478" t="str">
            <v>WAITING VESSEL</v>
          </cell>
          <cell r="AG478">
            <v>0.58333333333333337</v>
          </cell>
          <cell r="AH478" t="str">
            <v>WAITING VESSEL</v>
          </cell>
        </row>
        <row r="479">
          <cell r="C479">
            <v>0.5</v>
          </cell>
          <cell r="D479" t="str">
            <v>LUNCHBREAK</v>
          </cell>
          <cell r="F479">
            <v>0.70833333333333337</v>
          </cell>
          <cell r="G479" t="str">
            <v>RAIN</v>
          </cell>
          <cell r="I479">
            <v>0.625</v>
          </cell>
          <cell r="J479" t="str">
            <v>WAITING VESSEL</v>
          </cell>
          <cell r="L479">
            <v>0.625</v>
          </cell>
          <cell r="M479" t="str">
            <v>WAITING VESSEL</v>
          </cell>
          <cell r="O479">
            <v>0.625</v>
          </cell>
          <cell r="P479" t="str">
            <v xml:space="preserve">UNABLE TO RESUME LOADING </v>
          </cell>
          <cell r="U479">
            <v>0.70833333333333337</v>
          </cell>
          <cell r="V479" t="str">
            <v>RAIN</v>
          </cell>
          <cell r="AA479">
            <v>0.625</v>
          </cell>
          <cell r="AB479" t="str">
            <v>WAITING VESSEL</v>
          </cell>
          <cell r="AD479">
            <v>0.625</v>
          </cell>
          <cell r="AE479" t="str">
            <v>WAITING VESSEL</v>
          </cell>
          <cell r="AG479">
            <v>0.625</v>
          </cell>
          <cell r="AH479" t="str">
            <v>WAITING VESSEL</v>
          </cell>
        </row>
        <row r="480">
          <cell r="C480">
            <v>0.56666666666666665</v>
          </cell>
          <cell r="D480" t="str">
            <v>RESUME LOADING</v>
          </cell>
          <cell r="F480">
            <v>0.75</v>
          </cell>
          <cell r="G480" t="str">
            <v>RAIN</v>
          </cell>
          <cell r="I480">
            <v>0.66666666666666663</v>
          </cell>
          <cell r="J480" t="str">
            <v>WAITING VESSEL</v>
          </cell>
          <cell r="L480">
            <v>0.66666666666666663</v>
          </cell>
          <cell r="M480" t="str">
            <v>WAITING VESSEL</v>
          </cell>
          <cell r="O480">
            <v>0.66666666666666663</v>
          </cell>
          <cell r="P480" t="str">
            <v>RAIN</v>
          </cell>
          <cell r="U480">
            <v>0.75</v>
          </cell>
          <cell r="V480" t="str">
            <v>RAIN</v>
          </cell>
          <cell r="AA480">
            <v>0.66666666666666663</v>
          </cell>
          <cell r="AB480" t="str">
            <v>WAITING VESSEL</v>
          </cell>
          <cell r="AD480">
            <v>0.66666666666666663</v>
          </cell>
          <cell r="AE480" t="str">
            <v>WAITING VESSEL</v>
          </cell>
          <cell r="AG480">
            <v>0.66666666666666663</v>
          </cell>
          <cell r="AH480" t="str">
            <v>WAITING VESSEL</v>
          </cell>
        </row>
        <row r="481">
          <cell r="C481">
            <v>0.58125000000000004</v>
          </cell>
          <cell r="D481" t="str">
            <v>ONGOING LOADING</v>
          </cell>
          <cell r="F481">
            <v>0.79166666666666663</v>
          </cell>
          <cell r="G481" t="str">
            <v>UNABLE TO RESUME</v>
          </cell>
          <cell r="I481">
            <v>0.70833333333333337</v>
          </cell>
          <cell r="J481" t="str">
            <v>WAITING VESSEL</v>
          </cell>
          <cell r="L481">
            <v>0.70833333333333337</v>
          </cell>
          <cell r="M481" t="str">
            <v>WAITING VESSEL</v>
          </cell>
          <cell r="O481">
            <v>0.70833333333333337</v>
          </cell>
          <cell r="P481" t="str">
            <v>RAIN</v>
          </cell>
          <cell r="U481">
            <v>0.79166666666666663</v>
          </cell>
          <cell r="V481" t="str">
            <v xml:space="preserve">UNABLE TO RESUME </v>
          </cell>
          <cell r="AA481">
            <v>0.70833333333333337</v>
          </cell>
          <cell r="AB481" t="str">
            <v>WAITING VESSEL</v>
          </cell>
          <cell r="AD481">
            <v>0.70833333333333337</v>
          </cell>
          <cell r="AE481" t="str">
            <v>WAITING VESSEL</v>
          </cell>
          <cell r="AG481">
            <v>0.70833333333333337</v>
          </cell>
          <cell r="AH481" t="str">
            <v>WAITING VESSEL</v>
          </cell>
        </row>
        <row r="482">
          <cell r="C482" t="str">
            <v xml:space="preserve"> 14:43</v>
          </cell>
          <cell r="D482" t="str">
            <v>CONTINUE LOADING</v>
          </cell>
          <cell r="I482" t="str">
            <v xml:space="preserve"> </v>
          </cell>
          <cell r="J482" t="str">
            <v xml:space="preserve"> </v>
          </cell>
          <cell r="L482" t="str">
            <v xml:space="preserve"> </v>
          </cell>
          <cell r="M482" t="str">
            <v xml:space="preserve"> </v>
          </cell>
          <cell r="O482">
            <v>0.79166666666666663</v>
          </cell>
          <cell r="P482" t="str">
            <v xml:space="preserve">UNABLE TO RESUME </v>
          </cell>
          <cell r="AA482" t="str">
            <v xml:space="preserve"> </v>
          </cell>
          <cell r="AB482" t="str">
            <v xml:space="preserve"> </v>
          </cell>
          <cell r="AD482" t="str">
            <v xml:space="preserve"> </v>
          </cell>
          <cell r="AE482" t="str">
            <v xml:space="preserve"> </v>
          </cell>
          <cell r="AG482" t="str">
            <v xml:space="preserve"> </v>
          </cell>
          <cell r="AH482" t="str">
            <v>RAIN</v>
          </cell>
        </row>
        <row r="483">
          <cell r="C483">
            <v>0.625</v>
          </cell>
          <cell r="D483" t="str">
            <v>STOP LOADING</v>
          </cell>
        </row>
        <row r="484">
          <cell r="C484">
            <v>0.66666666666666663</v>
          </cell>
          <cell r="D484" t="str">
            <v>RAIN</v>
          </cell>
        </row>
        <row r="485">
          <cell r="C485">
            <v>0.70833333333333337</v>
          </cell>
          <cell r="D485" t="str">
            <v>RAIN</v>
          </cell>
        </row>
        <row r="486">
          <cell r="C486">
            <v>0.75</v>
          </cell>
          <cell r="D486" t="str">
            <v>RAIN</v>
          </cell>
        </row>
        <row r="487">
          <cell r="C487">
            <v>0.79166666666666663</v>
          </cell>
          <cell r="D487" t="str">
            <v xml:space="preserve">UNABLE TO RESUME </v>
          </cell>
        </row>
        <row r="488">
          <cell r="D488" t="str">
            <v>JOHANNAH 7</v>
          </cell>
          <cell r="G488" t="str">
            <v>PHILIP MARK</v>
          </cell>
          <cell r="J488" t="str">
            <v>VACANT</v>
          </cell>
          <cell r="M488" t="str">
            <v>VACANT</v>
          </cell>
          <cell r="P488" t="str">
            <v>QUEEN CAROLYN</v>
          </cell>
          <cell r="S488" t="str">
            <v>VACANT</v>
          </cell>
          <cell r="V488" t="str">
            <v>STAR SOGOD</v>
          </cell>
          <cell r="Y488" t="str">
            <v>LADY OF REMEDY</v>
          </cell>
          <cell r="AB488" t="str">
            <v>STAR FREEDOM</v>
          </cell>
          <cell r="AE488" t="str">
            <v>VACANT</v>
          </cell>
          <cell r="AH488" t="str">
            <v>VACANT</v>
          </cell>
        </row>
        <row r="489">
          <cell r="C489">
            <v>0.31944444444444442</v>
          </cell>
          <cell r="D489" t="str">
            <v>CONDUCT KY</v>
          </cell>
          <cell r="F489">
            <v>0.31944444444444442</v>
          </cell>
          <cell r="G489" t="str">
            <v>CONDUCT KY</v>
          </cell>
          <cell r="I489">
            <v>0.29166666666666669</v>
          </cell>
          <cell r="J489" t="str">
            <v>WAITING VESSEL</v>
          </cell>
          <cell r="L489">
            <v>0.29166666666666669</v>
          </cell>
          <cell r="M489" t="str">
            <v>WAITING VESSEL</v>
          </cell>
          <cell r="O489">
            <v>0.4548611111111111</v>
          </cell>
          <cell r="P489" t="str">
            <v>LOADING COMPLETE</v>
          </cell>
          <cell r="R489">
            <v>0.29166666666666669</v>
          </cell>
          <cell r="S489" t="str">
            <v>WAITING VESSEL</v>
          </cell>
          <cell r="U489">
            <v>0.31944444444444442</v>
          </cell>
          <cell r="V489" t="str">
            <v>CONDUCT KY</v>
          </cell>
          <cell r="X489">
            <v>0.31944444444444442</v>
          </cell>
          <cell r="Y489" t="str">
            <v>CONDUCT KY</v>
          </cell>
          <cell r="AA489">
            <v>0.29166666666666669</v>
          </cell>
          <cell r="AB489" t="str">
            <v>WAITING VESSEL</v>
          </cell>
          <cell r="AD489">
            <v>0.29166666666666669</v>
          </cell>
          <cell r="AE489" t="str">
            <v>WAITING VESSEL</v>
          </cell>
          <cell r="AG489">
            <v>0.29166666666666669</v>
          </cell>
          <cell r="AH489" t="str">
            <v>WAITING VESSEL</v>
          </cell>
        </row>
        <row r="490">
          <cell r="C490">
            <v>0.32291666666666669</v>
          </cell>
          <cell r="D490" t="str">
            <v>VESSEL OPEN HATCH COVER</v>
          </cell>
          <cell r="F490">
            <v>0.32291666666666669</v>
          </cell>
          <cell r="G490" t="str">
            <v>VESSEL OPEN HATCH COVER</v>
          </cell>
          <cell r="I490">
            <v>0.33333333333333331</v>
          </cell>
          <cell r="J490" t="str">
            <v>WAITING VESSEL</v>
          </cell>
          <cell r="L490">
            <v>0.33333333333333331</v>
          </cell>
          <cell r="M490" t="str">
            <v>WAITING VESSEL</v>
          </cell>
          <cell r="R490">
            <v>0.33333333333333331</v>
          </cell>
          <cell r="S490" t="str">
            <v>WAITING VESSEL</v>
          </cell>
          <cell r="U490">
            <v>0.32291666666666669</v>
          </cell>
          <cell r="V490" t="str">
            <v>VESSEL OPEN HATCH COVER</v>
          </cell>
          <cell r="X490">
            <v>0.32291666666666669</v>
          </cell>
          <cell r="Y490" t="str">
            <v>VESSEL OPEN HATCH COVER</v>
          </cell>
          <cell r="AA490">
            <v>0.33333333333333331</v>
          </cell>
          <cell r="AB490" t="str">
            <v>WAITING VESSEL</v>
          </cell>
          <cell r="AD490">
            <v>0.33333333333333331</v>
          </cell>
          <cell r="AE490" t="str">
            <v>WAITING VESSEL</v>
          </cell>
          <cell r="AG490">
            <v>0.33333333333333331</v>
          </cell>
          <cell r="AH490" t="str">
            <v>WAITING VESSEL</v>
          </cell>
        </row>
        <row r="491">
          <cell r="C491">
            <v>0.3527777777777778</v>
          </cell>
          <cell r="D491" t="str">
            <v>RESUME LOADING SLING</v>
          </cell>
          <cell r="F491">
            <v>0.34722222222222221</v>
          </cell>
          <cell r="G491" t="str">
            <v>RESUME LOADING SLING</v>
          </cell>
          <cell r="I491">
            <v>0.375</v>
          </cell>
          <cell r="J491" t="str">
            <v>WAITING VESSEL</v>
          </cell>
          <cell r="L491">
            <v>0.375</v>
          </cell>
          <cell r="M491" t="str">
            <v>WAITING VESSEL</v>
          </cell>
          <cell r="R491">
            <v>0.375</v>
          </cell>
          <cell r="S491" t="str">
            <v>WAITING VESSEL</v>
          </cell>
          <cell r="U491">
            <v>0.35625000000000001</v>
          </cell>
          <cell r="V491" t="str">
            <v>RESUME LOADING</v>
          </cell>
          <cell r="X491">
            <v>0.4548611111111111</v>
          </cell>
          <cell r="Y491" t="str">
            <v xml:space="preserve">COMMENCE LOADING </v>
          </cell>
          <cell r="AA491">
            <v>0.3611111111111111</v>
          </cell>
          <cell r="AB491" t="str">
            <v>DOCK AND SECURE</v>
          </cell>
          <cell r="AD491">
            <v>0.375</v>
          </cell>
          <cell r="AE491" t="str">
            <v>WAITING VESSEL</v>
          </cell>
          <cell r="AG491">
            <v>0.375</v>
          </cell>
          <cell r="AH491" t="str">
            <v>WAITING VESSEL</v>
          </cell>
        </row>
        <row r="492">
          <cell r="C492">
            <v>0.36944444444444446</v>
          </cell>
          <cell r="D492" t="str">
            <v>CONTINUE LOADING</v>
          </cell>
          <cell r="F492">
            <v>0.37916666666666665</v>
          </cell>
          <cell r="G492" t="str">
            <v xml:space="preserve">CONTINUE LOADING </v>
          </cell>
          <cell r="U492">
            <v>0.40694444444444444</v>
          </cell>
          <cell r="V492" t="str">
            <v xml:space="preserve">CONTINUE LOADING </v>
          </cell>
          <cell r="X492">
            <v>0.45833333333333331</v>
          </cell>
          <cell r="Y492" t="str">
            <v>WAITING GEO TRUCKING</v>
          </cell>
          <cell r="AA492" t="str">
            <v xml:space="preserve"> </v>
          </cell>
          <cell r="AB492" t="str">
            <v xml:space="preserve"> </v>
          </cell>
        </row>
        <row r="493">
          <cell r="C493">
            <v>0.39374999999999999</v>
          </cell>
          <cell r="D493" t="str">
            <v>ONGOING LOADING</v>
          </cell>
          <cell r="F493">
            <v>0.38750000000000001</v>
          </cell>
          <cell r="G493" t="str">
            <v>ONGOING LOADING</v>
          </cell>
          <cell r="U493">
            <v>0.43055555555555558</v>
          </cell>
          <cell r="V493" t="str">
            <v>ONGOING LOADING</v>
          </cell>
          <cell r="X493">
            <v>0.58333333333333337</v>
          </cell>
          <cell r="Y493" t="str">
            <v xml:space="preserve">VESSEL CLOSE </v>
          </cell>
          <cell r="AA493" t="str">
            <v xml:space="preserve"> </v>
          </cell>
          <cell r="AB493" t="str">
            <v xml:space="preserve"> </v>
          </cell>
        </row>
        <row r="494">
          <cell r="C494">
            <v>0.4152777777777778</v>
          </cell>
          <cell r="D494" t="str">
            <v>CONTINUE LOADING</v>
          </cell>
          <cell r="F494">
            <v>0.42222222222222222</v>
          </cell>
          <cell r="G494" t="str">
            <v xml:space="preserve">CONTINUE LOADING </v>
          </cell>
          <cell r="U494">
            <v>0.5</v>
          </cell>
          <cell r="V494" t="str">
            <v>LUNCHBREAK</v>
          </cell>
          <cell r="X494">
            <v>0.71111111111111114</v>
          </cell>
          <cell r="Y494" t="str">
            <v>RESUME LOADING</v>
          </cell>
        </row>
        <row r="495">
          <cell r="C495">
            <v>0.43472222222222223</v>
          </cell>
          <cell r="D495" t="str">
            <v>ONGOING LOADING</v>
          </cell>
          <cell r="F495">
            <v>0.45277777777777778</v>
          </cell>
          <cell r="G495" t="str">
            <v>ONGOING LOADING</v>
          </cell>
          <cell r="U495">
            <v>0.58333333333333337</v>
          </cell>
          <cell r="V495" t="str">
            <v xml:space="preserve">VESSEL CLOSE </v>
          </cell>
          <cell r="X495">
            <v>0.73124999999999996</v>
          </cell>
          <cell r="Y495" t="str">
            <v xml:space="preserve">CONTINUE LOADING </v>
          </cell>
        </row>
        <row r="496">
          <cell r="C496">
            <v>0.5</v>
          </cell>
          <cell r="D496" t="str">
            <v>LUNCHBREAK</v>
          </cell>
          <cell r="F496">
            <v>0.5</v>
          </cell>
          <cell r="G496" t="str">
            <v>LUNCHBREAK</v>
          </cell>
          <cell r="U496">
            <v>0.79166666666666663</v>
          </cell>
          <cell r="V496" t="str">
            <v>UNABLE TO RESUME</v>
          </cell>
          <cell r="X496">
            <v>0.79166666666666663</v>
          </cell>
          <cell r="Y496" t="str">
            <v>UNABLE TO RESUME</v>
          </cell>
        </row>
        <row r="497">
          <cell r="C497">
            <v>0.58333333333333337</v>
          </cell>
          <cell r="D497" t="str">
            <v xml:space="preserve">VESSEL CLOSE </v>
          </cell>
          <cell r="F497">
            <v>0.58333333333333337</v>
          </cell>
          <cell r="G497" t="str">
            <v xml:space="preserve">VESSEL CLOSE </v>
          </cell>
          <cell r="U497">
            <v>0.84027777777777779</v>
          </cell>
          <cell r="V497" t="str">
            <v>RESUME LOADING</v>
          </cell>
          <cell r="X497">
            <v>0.93055555555555558</v>
          </cell>
          <cell r="Y497" t="str">
            <v>RESUME LOADING</v>
          </cell>
        </row>
        <row r="498">
          <cell r="C498">
            <v>0.71597222222222223</v>
          </cell>
          <cell r="D498" t="str">
            <v>RESUME LOADING</v>
          </cell>
          <cell r="F498">
            <v>0.68611111111111112</v>
          </cell>
          <cell r="G498" t="str">
            <v xml:space="preserve">RESUME LOADING </v>
          </cell>
          <cell r="U498">
            <v>0.86458333333333337</v>
          </cell>
          <cell r="V498" t="str">
            <v>WAITING MATERIAL</v>
          </cell>
          <cell r="X498">
            <v>0.95833333333333337</v>
          </cell>
          <cell r="Y498" t="str">
            <v>STEVEDORES BREAK</v>
          </cell>
        </row>
        <row r="499">
          <cell r="C499">
            <v>0.73055555555555551</v>
          </cell>
          <cell r="D499" t="str">
            <v xml:space="preserve">CONTINUE LOADING </v>
          </cell>
          <cell r="F499">
            <v>0.71527777777777779</v>
          </cell>
          <cell r="G499" t="str">
            <v xml:space="preserve">CONTINUE LOADING </v>
          </cell>
          <cell r="X499">
            <v>4.1666666666666664E-2</v>
          </cell>
          <cell r="Y499" t="str">
            <v>VESSEL REFUSE TO LOAD</v>
          </cell>
        </row>
        <row r="500">
          <cell r="C500">
            <v>0.79166666666666663</v>
          </cell>
          <cell r="D500" t="str">
            <v xml:space="preserve">UNABLE TO RESUME </v>
          </cell>
          <cell r="F500">
            <v>0.79166666666666663</v>
          </cell>
          <cell r="G500" t="str">
            <v>UNABLE TO RESUME</v>
          </cell>
        </row>
        <row r="501">
          <cell r="C501">
            <v>0.91527777777777775</v>
          </cell>
          <cell r="D501" t="str">
            <v>RESUME LOADING SLING</v>
          </cell>
          <cell r="F501">
            <v>0.85763888888888884</v>
          </cell>
          <cell r="G501" t="str">
            <v xml:space="preserve">RESUME LOADING </v>
          </cell>
        </row>
        <row r="502">
          <cell r="C502">
            <v>0.93055555555555558</v>
          </cell>
          <cell r="D502" t="str">
            <v>ONGOING LOADING</v>
          </cell>
          <cell r="F502">
            <v>0.88194444444444442</v>
          </cell>
          <cell r="G502" t="str">
            <v>ONGOING LOADING</v>
          </cell>
        </row>
        <row r="503">
          <cell r="C503">
            <v>0.94791666666666663</v>
          </cell>
          <cell r="D503" t="str">
            <v>CONTINUE LOADING</v>
          </cell>
          <cell r="F503">
            <v>0.91111111111111109</v>
          </cell>
          <cell r="G503" t="str">
            <v>ONGOING LOADING</v>
          </cell>
        </row>
        <row r="504">
          <cell r="C504">
            <v>0.95833333333333337</v>
          </cell>
          <cell r="D504" t="str">
            <v>STEVEDORES BREAK</v>
          </cell>
          <cell r="F504">
            <v>0.93541666666666667</v>
          </cell>
          <cell r="G504" t="str">
            <v xml:space="preserve">CONTINUE LOADING </v>
          </cell>
        </row>
        <row r="505">
          <cell r="C505">
            <v>6.1111111111111109E-2</v>
          </cell>
          <cell r="D505" t="str">
            <v>RESUME LOADING</v>
          </cell>
          <cell r="F505">
            <v>0.95833333333333337</v>
          </cell>
          <cell r="G505" t="str">
            <v>STEVEDORES BREAK</v>
          </cell>
        </row>
        <row r="506">
          <cell r="C506">
            <v>9.6527777777777782E-2</v>
          </cell>
          <cell r="D506" t="str">
            <v>ONGOING LOADING</v>
          </cell>
          <cell r="F506">
            <v>6.3888888888888884E-2</v>
          </cell>
          <cell r="G506" t="str">
            <v>RESUME LOADING</v>
          </cell>
        </row>
        <row r="507">
          <cell r="C507">
            <v>0.13194444444444445</v>
          </cell>
          <cell r="D507" t="str">
            <v>CONTINU LOADING</v>
          </cell>
          <cell r="F507">
            <v>9.930555555555555E-2</v>
          </cell>
          <cell r="G507" t="str">
            <v xml:space="preserve">CONTINUE LOADING </v>
          </cell>
        </row>
        <row r="508">
          <cell r="C508">
            <v>0.14861111111111111</v>
          </cell>
          <cell r="D508" t="str">
            <v>ONGOING LOADING</v>
          </cell>
          <cell r="F508">
            <v>0.13402777777777777</v>
          </cell>
          <cell r="G508" t="str">
            <v>ONGOING LOADING</v>
          </cell>
        </row>
        <row r="509">
          <cell r="C509">
            <v>0.18333333333333332</v>
          </cell>
          <cell r="D509" t="str">
            <v>CONTINUE LOADING</v>
          </cell>
          <cell r="F509">
            <v>0.15833333333333333</v>
          </cell>
          <cell r="G509" t="str">
            <v>WAITING MATERIAL</v>
          </cell>
        </row>
        <row r="510">
          <cell r="C510">
            <v>0.21319444444444444</v>
          </cell>
          <cell r="D510" t="str">
            <v>ONGOING LOADING</v>
          </cell>
        </row>
        <row r="511">
          <cell r="C511">
            <v>0.25</v>
          </cell>
          <cell r="D511" t="str">
            <v>VESSEL BREAK</v>
          </cell>
        </row>
        <row r="513">
          <cell r="D513" t="str">
            <v>JOHANNAH 7</v>
          </cell>
          <cell r="G513" t="str">
            <v>PHILIP MARK</v>
          </cell>
          <cell r="J513" t="str">
            <v>VACANT</v>
          </cell>
          <cell r="M513" t="str">
            <v>VACANT</v>
          </cell>
          <cell r="P513" t="str">
            <v>VACANT</v>
          </cell>
          <cell r="S513" t="str">
            <v>CESAR ESTER</v>
          </cell>
          <cell r="V513" t="str">
            <v>STAR SOGOD</v>
          </cell>
          <cell r="Y513" t="str">
            <v>LADY OF REMEDY</v>
          </cell>
          <cell r="AB513" t="str">
            <v>STAR FREEDOM</v>
          </cell>
          <cell r="AE513" t="str">
            <v>VACANT</v>
          </cell>
          <cell r="AH513" t="str">
            <v>VACANT</v>
          </cell>
        </row>
        <row r="514">
          <cell r="C514">
            <v>0.3125</v>
          </cell>
          <cell r="D514" t="str">
            <v>CONDUCT KY</v>
          </cell>
          <cell r="F514">
            <v>0.29166666666666669</v>
          </cell>
          <cell r="G514" t="str">
            <v>WAITING MATERIAL</v>
          </cell>
          <cell r="I514">
            <v>0.29166666666666669</v>
          </cell>
          <cell r="J514" t="str">
            <v>WAITING VESSEL</v>
          </cell>
          <cell r="L514">
            <v>0.29166666666666669</v>
          </cell>
          <cell r="M514" t="str">
            <v>WAITING VESSEL</v>
          </cell>
          <cell r="O514">
            <v>0.29166666666666669</v>
          </cell>
          <cell r="P514" t="str">
            <v>WAITING VESSEL</v>
          </cell>
          <cell r="R514">
            <v>0.29166666666666669</v>
          </cell>
          <cell r="S514" t="str">
            <v>WAITING VESSEL</v>
          </cell>
          <cell r="U514">
            <v>0.29166666666666669</v>
          </cell>
          <cell r="V514" t="str">
            <v>WAITING MATERIAL</v>
          </cell>
          <cell r="X514">
            <v>0.3125</v>
          </cell>
          <cell r="Y514" t="str">
            <v>CONDUCT KY</v>
          </cell>
          <cell r="AA514">
            <v>0.29166666666666669</v>
          </cell>
          <cell r="AB514" t="str">
            <v>VESSEL CLOSE</v>
          </cell>
          <cell r="AD514">
            <v>0.29166666666666669</v>
          </cell>
          <cell r="AE514" t="str">
            <v>WAITING VESSEL</v>
          </cell>
          <cell r="AG514">
            <v>0.29166666666666669</v>
          </cell>
          <cell r="AH514" t="str">
            <v>WAITING VESSEL</v>
          </cell>
        </row>
        <row r="515">
          <cell r="C515">
            <v>0.33958333333333335</v>
          </cell>
          <cell r="D515" t="str">
            <v>RESUME LOADING SLING</v>
          </cell>
          <cell r="F515">
            <v>0.33333333333333331</v>
          </cell>
          <cell r="G515" t="str">
            <v>WAITING MATERIAL</v>
          </cell>
          <cell r="I515">
            <v>0.33333333333333331</v>
          </cell>
          <cell r="J515" t="str">
            <v>WAITING VESSEL</v>
          </cell>
          <cell r="L515">
            <v>0.33333333333333331</v>
          </cell>
          <cell r="M515" t="str">
            <v>WAITING VESSEL</v>
          </cell>
          <cell r="O515">
            <v>0.33333333333333331</v>
          </cell>
          <cell r="P515" t="str">
            <v>WAITING VESSEL</v>
          </cell>
          <cell r="R515">
            <v>0.33333333333333331</v>
          </cell>
          <cell r="S515" t="str">
            <v>WAITING VESSEL</v>
          </cell>
          <cell r="U515">
            <v>0.33333333333333331</v>
          </cell>
          <cell r="V515" t="str">
            <v>WAITING MATERIAL</v>
          </cell>
          <cell r="X515">
            <v>0.33333333333333331</v>
          </cell>
          <cell r="Y515" t="str">
            <v>WAITING SHORE CRANE</v>
          </cell>
          <cell r="AA515">
            <v>0.33333333333333331</v>
          </cell>
          <cell r="AB515" t="str">
            <v>VESSEL CLOSE</v>
          </cell>
          <cell r="AD515">
            <v>0.33333333333333331</v>
          </cell>
          <cell r="AE515" t="str">
            <v>WAITING VESSEL</v>
          </cell>
          <cell r="AG515">
            <v>0.33333333333333331</v>
          </cell>
          <cell r="AH515" t="str">
            <v>WAITING VESSEL</v>
          </cell>
        </row>
        <row r="516">
          <cell r="C516">
            <v>0.375</v>
          </cell>
          <cell r="D516" t="str">
            <v>CONTINUE LOADING SLING</v>
          </cell>
          <cell r="F516">
            <v>0.375</v>
          </cell>
          <cell r="G516" t="str">
            <v>WAITING MATERIAL</v>
          </cell>
          <cell r="I516">
            <v>0.375</v>
          </cell>
          <cell r="J516" t="str">
            <v>WAITING VESSEL</v>
          </cell>
          <cell r="L516">
            <v>0.375</v>
          </cell>
          <cell r="M516" t="str">
            <v>WAITING VESSEL</v>
          </cell>
          <cell r="O516">
            <v>0.375</v>
          </cell>
          <cell r="P516" t="str">
            <v>WAITING VESSEL</v>
          </cell>
          <cell r="R516">
            <v>0.35069444444444442</v>
          </cell>
          <cell r="S516" t="str">
            <v>DOCK AND SECURE</v>
          </cell>
          <cell r="U516">
            <v>0.375</v>
          </cell>
          <cell r="V516" t="str">
            <v>WAITING MATERIAL</v>
          </cell>
          <cell r="X516">
            <v>0.36736111111111114</v>
          </cell>
          <cell r="Y516" t="str">
            <v xml:space="preserve">CONTINUE  LOADING </v>
          </cell>
          <cell r="AA516">
            <v>0.375</v>
          </cell>
          <cell r="AB516" t="str">
            <v>VESSEL CLOSE</v>
          </cell>
          <cell r="AD516">
            <v>0.375</v>
          </cell>
          <cell r="AE516" t="str">
            <v>WAITING VESSEL</v>
          </cell>
          <cell r="AG516">
            <v>0.375</v>
          </cell>
          <cell r="AH516" t="str">
            <v>WAITING VESSEL</v>
          </cell>
        </row>
        <row r="517">
          <cell r="C517">
            <v>0.40069444444444446</v>
          </cell>
          <cell r="D517" t="str">
            <v>CONTINUE LOADING SLING</v>
          </cell>
          <cell r="F517">
            <v>0.41666666666666669</v>
          </cell>
          <cell r="G517" t="str">
            <v>WAITING MATERIAL</v>
          </cell>
          <cell r="I517">
            <v>0.41666666666666669</v>
          </cell>
          <cell r="J517" t="str">
            <v>WAITING VESSEL</v>
          </cell>
          <cell r="L517">
            <v>0.41666666666666669</v>
          </cell>
          <cell r="M517" t="str">
            <v>WAITING VESSEL</v>
          </cell>
          <cell r="O517">
            <v>0.41666666666666669</v>
          </cell>
          <cell r="P517" t="str">
            <v>WAITING VESSEL</v>
          </cell>
          <cell r="R517">
            <v>0.375</v>
          </cell>
          <cell r="S517" t="str">
            <v>WAITING BOOKING</v>
          </cell>
          <cell r="U517">
            <v>0.43402777777777779</v>
          </cell>
          <cell r="V517" t="str">
            <v>RESUME LOADING SLING</v>
          </cell>
          <cell r="X517">
            <v>0.46666666666666667</v>
          </cell>
          <cell r="Y517" t="str">
            <v xml:space="preserve">CONTINUE  LOADING </v>
          </cell>
          <cell r="AA517">
            <v>0.41666666666666669</v>
          </cell>
          <cell r="AB517" t="str">
            <v>VESSEL CLOSE</v>
          </cell>
          <cell r="AD517">
            <v>0.41666666666666669</v>
          </cell>
          <cell r="AE517" t="str">
            <v>WAITING VESSEL</v>
          </cell>
          <cell r="AG517">
            <v>0.41666666666666669</v>
          </cell>
          <cell r="AH517" t="str">
            <v>WAITING VESSEL</v>
          </cell>
        </row>
        <row r="518">
          <cell r="C518">
            <v>0.41666666666666669</v>
          </cell>
          <cell r="D518" t="str">
            <v>CONTINUE LOADING SLING</v>
          </cell>
          <cell r="F518">
            <v>0.44236111111111109</v>
          </cell>
          <cell r="G518" t="str">
            <v>RESUME LOADING SLING</v>
          </cell>
          <cell r="I518">
            <v>0.45833333333333331</v>
          </cell>
          <cell r="J518" t="str">
            <v>WAITING VESSEL</v>
          </cell>
          <cell r="L518">
            <v>0.45833333333333331</v>
          </cell>
          <cell r="M518" t="str">
            <v>WAITING VESSEL</v>
          </cell>
          <cell r="O518">
            <v>0.45833333333333331</v>
          </cell>
          <cell r="P518" t="str">
            <v>WAITING VESSEL</v>
          </cell>
          <cell r="R518">
            <v>0.41666666666666669</v>
          </cell>
          <cell r="S518" t="str">
            <v>WAITING BOOKING</v>
          </cell>
          <cell r="U518">
            <v>0.45833333333333331</v>
          </cell>
          <cell r="V518" t="str">
            <v>CONTINUE LOADING</v>
          </cell>
          <cell r="X518">
            <v>0.5</v>
          </cell>
          <cell r="Y518" t="str">
            <v>LUNCH BREAK</v>
          </cell>
          <cell r="AA518">
            <v>0.45833333333333331</v>
          </cell>
          <cell r="AB518" t="str">
            <v>VESSEL CLOSE</v>
          </cell>
          <cell r="AD518">
            <v>0.45833333333333331</v>
          </cell>
          <cell r="AE518" t="str">
            <v>WAITING VESSEL</v>
          </cell>
          <cell r="AG518">
            <v>0.45833333333333331</v>
          </cell>
          <cell r="AH518" t="str">
            <v>WAITING VESSEL</v>
          </cell>
        </row>
        <row r="519">
          <cell r="C519">
            <v>0.45833333333333331</v>
          </cell>
          <cell r="D519" t="str">
            <v>CONTINUE LOADING SLING</v>
          </cell>
          <cell r="F519">
            <v>0.45833333333333331</v>
          </cell>
          <cell r="G519" t="str">
            <v>WAITING MATERIAL</v>
          </cell>
          <cell r="I519">
            <v>0.5</v>
          </cell>
          <cell r="J519" t="str">
            <v>WAITING VESSEL</v>
          </cell>
          <cell r="L519">
            <v>0.5</v>
          </cell>
          <cell r="M519" t="str">
            <v>WAITING VESSEL</v>
          </cell>
          <cell r="O519">
            <v>0.5</v>
          </cell>
          <cell r="P519" t="str">
            <v>WAITING VESSEL</v>
          </cell>
          <cell r="R519">
            <v>0.45833333333333331</v>
          </cell>
          <cell r="S519" t="str">
            <v>WAITING BOOKING</v>
          </cell>
          <cell r="U519">
            <v>0.5</v>
          </cell>
          <cell r="V519" t="str">
            <v>LUNCH BREAK</v>
          </cell>
          <cell r="X519">
            <v>0.54166666666666663</v>
          </cell>
          <cell r="Y519" t="str">
            <v>VESSEL CLOSE</v>
          </cell>
          <cell r="AA519">
            <v>0.5</v>
          </cell>
          <cell r="AB519" t="str">
            <v>LUNCH BREAK</v>
          </cell>
          <cell r="AD519">
            <v>0.5</v>
          </cell>
          <cell r="AE519" t="str">
            <v>WAITING VESSEL</v>
          </cell>
          <cell r="AG519">
            <v>0.5</v>
          </cell>
          <cell r="AH519" t="str">
            <v>WAITING VESSEL</v>
          </cell>
        </row>
        <row r="520">
          <cell r="C520">
            <v>0.5</v>
          </cell>
          <cell r="D520" t="str">
            <v>LUNCH BREAK</v>
          </cell>
          <cell r="F520">
            <v>0.5</v>
          </cell>
          <cell r="G520" t="str">
            <v>LUNCH BREAK</v>
          </cell>
          <cell r="I520">
            <v>0.54166666666666663</v>
          </cell>
          <cell r="J520" t="str">
            <v>WAITING VESSEL</v>
          </cell>
          <cell r="L520">
            <v>0.54166666666666663</v>
          </cell>
          <cell r="M520" t="str">
            <v>WAITING VESSEL</v>
          </cell>
          <cell r="O520">
            <v>0.54166666666666663</v>
          </cell>
          <cell r="P520" t="str">
            <v>WAITING VESSEL</v>
          </cell>
          <cell r="R520">
            <v>0.5</v>
          </cell>
          <cell r="S520" t="str">
            <v>LUNCH BREAK</v>
          </cell>
          <cell r="U520">
            <v>0.54166666666666663</v>
          </cell>
          <cell r="V520" t="str">
            <v>VESSEL CLOSE</v>
          </cell>
          <cell r="X520">
            <v>0.58333333333333337</v>
          </cell>
          <cell r="Y520" t="str">
            <v>VESSEL CLOSE</v>
          </cell>
          <cell r="AA520">
            <v>0.54166666666666663</v>
          </cell>
          <cell r="AB520" t="str">
            <v>VESSEL CLOSE</v>
          </cell>
          <cell r="AD520">
            <v>0.54166666666666663</v>
          </cell>
          <cell r="AE520" t="str">
            <v>WAITING VESSEL</v>
          </cell>
          <cell r="AG520">
            <v>0.54166666666666663</v>
          </cell>
          <cell r="AH520" t="str">
            <v>WAITING VESSEL</v>
          </cell>
        </row>
        <row r="521">
          <cell r="C521">
            <v>0.54166666666666663</v>
          </cell>
          <cell r="D521" t="str">
            <v>VESSEL CLOSE</v>
          </cell>
          <cell r="F521">
            <v>0.54166666666666663</v>
          </cell>
          <cell r="G521" t="str">
            <v>VESSEL CLOSE</v>
          </cell>
          <cell r="I521">
            <v>0.58333333333333337</v>
          </cell>
          <cell r="J521" t="str">
            <v>WAITING VESSEL</v>
          </cell>
          <cell r="L521">
            <v>0.58333333333333337</v>
          </cell>
          <cell r="M521" t="str">
            <v>WAITING VESSEL</v>
          </cell>
          <cell r="O521">
            <v>0.58333333333333337</v>
          </cell>
          <cell r="P521" t="str">
            <v>WAITING VESSEL</v>
          </cell>
          <cell r="R521">
            <v>0.54166666666666663</v>
          </cell>
          <cell r="S521" t="str">
            <v>VESSEL CLOSE</v>
          </cell>
          <cell r="X521">
            <v>0.625</v>
          </cell>
          <cell r="Y521" t="str">
            <v>VESSEL CLOSE</v>
          </cell>
          <cell r="AA521">
            <v>0.58333333333333337</v>
          </cell>
          <cell r="AB521" t="str">
            <v>VESSEL CLOSE</v>
          </cell>
        </row>
        <row r="522">
          <cell r="C522">
            <v>0.58333333333333337</v>
          </cell>
          <cell r="D522" t="str">
            <v>VESSEL CLOSE</v>
          </cell>
          <cell r="F522">
            <v>0.59861111111111109</v>
          </cell>
          <cell r="G522" t="str">
            <v>VESSEL CLOSE</v>
          </cell>
          <cell r="I522">
            <v>0.625</v>
          </cell>
          <cell r="J522" t="str">
            <v>WAITING VESSEL</v>
          </cell>
          <cell r="L522">
            <v>0.625</v>
          </cell>
          <cell r="M522" t="str">
            <v>WAITING VESSEL</v>
          </cell>
          <cell r="O522">
            <v>0.625</v>
          </cell>
          <cell r="P522" t="str">
            <v>WAITING VESSEL</v>
          </cell>
          <cell r="R522">
            <v>0.58333333333333337</v>
          </cell>
          <cell r="S522" t="str">
            <v>VESSEL CLOSE</v>
          </cell>
          <cell r="U522">
            <v>1940</v>
          </cell>
          <cell r="V522" t="str">
            <v>RESUME LOADING SLING</v>
          </cell>
          <cell r="X522">
            <v>0.66736111111111107</v>
          </cell>
          <cell r="Y522" t="str">
            <v xml:space="preserve">CONTINUE  LOADING </v>
          </cell>
          <cell r="AA522">
            <v>0.625</v>
          </cell>
          <cell r="AB522" t="str">
            <v>VESSEL CLOSE</v>
          </cell>
        </row>
        <row r="523">
          <cell r="C523">
            <v>0.625</v>
          </cell>
          <cell r="D523" t="str">
            <v>VESSEL CLOSE</v>
          </cell>
          <cell r="F523">
            <v>0.64583333333333337</v>
          </cell>
          <cell r="G523" t="str">
            <v xml:space="preserve">CONTINUE LOADING </v>
          </cell>
          <cell r="I523">
            <v>0.66666666666666663</v>
          </cell>
          <cell r="J523" t="str">
            <v>WAITING VESSEL</v>
          </cell>
          <cell r="L523">
            <v>0.66666666666666663</v>
          </cell>
          <cell r="M523" t="str">
            <v>WAITING VESSEL</v>
          </cell>
          <cell r="O523">
            <v>0.66666666666666663</v>
          </cell>
          <cell r="P523" t="str">
            <v>WAITING VESSEL</v>
          </cell>
          <cell r="R523">
            <v>0.625</v>
          </cell>
          <cell r="S523" t="str">
            <v>VESSEL CLOSE</v>
          </cell>
          <cell r="X523">
            <v>0.72916666666666663</v>
          </cell>
          <cell r="Y523" t="str">
            <v xml:space="preserve">CONTINUE  LOADING </v>
          </cell>
          <cell r="AA523">
            <v>0.66736111111111107</v>
          </cell>
          <cell r="AB523" t="str">
            <v xml:space="preserve">CONTINUE LOADING </v>
          </cell>
        </row>
        <row r="524">
          <cell r="C524">
            <v>0.67569444444444449</v>
          </cell>
          <cell r="D524" t="str">
            <v>CONTINUE LOADING SLING</v>
          </cell>
          <cell r="F524">
            <v>0.6875</v>
          </cell>
          <cell r="G524" t="str">
            <v xml:space="preserve">CONTINUE LOADING </v>
          </cell>
          <cell r="I524">
            <v>0.70833333333333337</v>
          </cell>
          <cell r="J524" t="str">
            <v>WAITING VESSEL</v>
          </cell>
          <cell r="L524">
            <v>0.70833333333333337</v>
          </cell>
          <cell r="M524" t="str">
            <v>WAITING VESSEL</v>
          </cell>
          <cell r="O524">
            <v>0.70833333333333337</v>
          </cell>
          <cell r="P524" t="str">
            <v>WAITING VESSEL</v>
          </cell>
          <cell r="R524">
            <v>0.66666666666666663</v>
          </cell>
          <cell r="S524" t="str">
            <v>VESSEL CLOSE</v>
          </cell>
          <cell r="X524">
            <v>1900</v>
          </cell>
          <cell r="Y524" t="str">
            <v>NEED ASSIST SHORE CRANE</v>
          </cell>
          <cell r="AA524">
            <v>0.71527777777777779</v>
          </cell>
          <cell r="AB524" t="str">
            <v xml:space="preserve">CONTINUE LOADING </v>
          </cell>
        </row>
        <row r="525">
          <cell r="C525">
            <v>0.72916666666666663</v>
          </cell>
          <cell r="D525" t="str">
            <v>CONTINUE LOADING SLING</v>
          </cell>
          <cell r="F525">
            <v>0.71250000000000002</v>
          </cell>
          <cell r="G525" t="str">
            <v xml:space="preserve">CONTINUE LOADING </v>
          </cell>
          <cell r="R525">
            <v>0.7270833333333333</v>
          </cell>
          <cell r="S525" t="str">
            <v>COMMENCE LOADING</v>
          </cell>
          <cell r="AA525">
            <v>0.81944444444444442</v>
          </cell>
          <cell r="AB525" t="str">
            <v>RESUNE LOADING ALING BAGS</v>
          </cell>
        </row>
        <row r="526">
          <cell r="C526">
            <v>1935</v>
          </cell>
          <cell r="D526" t="str">
            <v>RESUME LOADING SLING</v>
          </cell>
          <cell r="F526">
            <v>1940</v>
          </cell>
          <cell r="G526" t="str">
            <v>RESUME LOADING SLING</v>
          </cell>
          <cell r="R526">
            <v>1933</v>
          </cell>
          <cell r="S526" t="str">
            <v>RESUME LOADING SLING BAGS</v>
          </cell>
          <cell r="AA526">
            <v>0.875</v>
          </cell>
          <cell r="AB526" t="str">
            <v xml:space="preserve">CONTINUE LOADING </v>
          </cell>
        </row>
        <row r="527">
          <cell r="AA527">
            <v>0.95833333333333337</v>
          </cell>
          <cell r="AB527" t="str">
            <v xml:space="preserve">CONTINUE LOADING </v>
          </cell>
        </row>
        <row r="528">
          <cell r="AA528">
            <v>0</v>
          </cell>
          <cell r="AB528" t="str">
            <v>STEVEDORE BREAKTIME</v>
          </cell>
        </row>
        <row r="529">
          <cell r="D529" t="str">
            <v>JOHANNAH 7</v>
          </cell>
          <cell r="G529" t="str">
            <v>PHILIP MARK</v>
          </cell>
          <cell r="J529" t="str">
            <v>VACANT</v>
          </cell>
          <cell r="M529" t="str">
            <v>VACANT</v>
          </cell>
          <cell r="P529" t="str">
            <v>LADY OF ROSARY</v>
          </cell>
          <cell r="S529" t="str">
            <v>CESAR ESTER</v>
          </cell>
          <cell r="V529" t="str">
            <v>STAR SOGOD</v>
          </cell>
          <cell r="Y529" t="str">
            <v>LADY OF REMEDY</v>
          </cell>
          <cell r="AB529" t="str">
            <v>STAR FREEDOM</v>
          </cell>
          <cell r="AE529" t="str">
            <v>NAPOLI</v>
          </cell>
          <cell r="AH529" t="str">
            <v>VACANT</v>
          </cell>
        </row>
        <row r="530">
          <cell r="C530">
            <v>0.3125</v>
          </cell>
          <cell r="D530" t="str">
            <v>CONDUCT KY</v>
          </cell>
          <cell r="F530">
            <v>0.3125</v>
          </cell>
          <cell r="G530" t="str">
            <v>CONDUCT KY</v>
          </cell>
          <cell r="I530">
            <v>0.29166666666666669</v>
          </cell>
          <cell r="J530" t="str">
            <v>WAITING VESSEL</v>
          </cell>
          <cell r="L530">
            <v>0.29166666666666669</v>
          </cell>
          <cell r="M530" t="str">
            <v>WAITING VESSEL</v>
          </cell>
          <cell r="O530">
            <v>0.29166666666666669</v>
          </cell>
          <cell r="P530" t="str">
            <v>WAITING VESSEL</v>
          </cell>
          <cell r="R530">
            <v>0.3125</v>
          </cell>
          <cell r="S530" t="str">
            <v>CONDUCT KY</v>
          </cell>
          <cell r="U530">
            <v>0.3125</v>
          </cell>
          <cell r="V530" t="str">
            <v>CONDUCT KY</v>
          </cell>
          <cell r="X530">
            <v>0.3125</v>
          </cell>
          <cell r="Y530" t="str">
            <v>CONDUCT KY</v>
          </cell>
          <cell r="AA530">
            <v>0.3125</v>
          </cell>
          <cell r="AB530" t="str">
            <v>CONDUCT KY</v>
          </cell>
          <cell r="AD530">
            <v>0.3125</v>
          </cell>
          <cell r="AE530" t="str">
            <v>CONDUCT KY</v>
          </cell>
          <cell r="AG530">
            <v>0.29166666666666669</v>
          </cell>
          <cell r="AH530" t="str">
            <v>WAITING VESSEL</v>
          </cell>
        </row>
        <row r="531">
          <cell r="C531">
            <v>0.33333333333333331</v>
          </cell>
          <cell r="D531" t="str">
            <v>WAITING DELIVERY</v>
          </cell>
          <cell r="F531">
            <v>0.35972222222222222</v>
          </cell>
          <cell r="G531" t="str">
            <v>CONTINUE LOADING</v>
          </cell>
          <cell r="O531">
            <v>0.61944444444444446</v>
          </cell>
          <cell r="P531" t="str">
            <v xml:space="preserve">COMMENCE LOADING </v>
          </cell>
          <cell r="R531">
            <v>0.34027777777777779</v>
          </cell>
          <cell r="S531" t="str">
            <v>CONTINUE LOADING</v>
          </cell>
          <cell r="U531">
            <v>0.86527777777777781</v>
          </cell>
          <cell r="V531" t="str">
            <v>RESUME LOADING</v>
          </cell>
          <cell r="X531">
            <v>0.35694444444444445</v>
          </cell>
          <cell r="Y531" t="str">
            <v>CONTINUE LOADING</v>
          </cell>
          <cell r="AA531">
            <v>0.33333333333333331</v>
          </cell>
          <cell r="AB531" t="str">
            <v>VESSEL CLOSE</v>
          </cell>
          <cell r="AD531">
            <v>0.33819444444444446</v>
          </cell>
          <cell r="AE531" t="str">
            <v>CONTINUE LOADING</v>
          </cell>
        </row>
        <row r="532">
          <cell r="C532">
            <v>0.375</v>
          </cell>
          <cell r="D532" t="str">
            <v xml:space="preserve">VESSEL CLOSE </v>
          </cell>
          <cell r="F532">
            <v>0.37986111111111109</v>
          </cell>
          <cell r="G532" t="str">
            <v>CONTINUE LOADING</v>
          </cell>
          <cell r="O532">
            <v>0.68888888888888888</v>
          </cell>
          <cell r="P532" t="str">
            <v xml:space="preserve">CONTINUE LOADING </v>
          </cell>
          <cell r="R532">
            <v>0.40625</v>
          </cell>
          <cell r="S532" t="str">
            <v>CONTINUE LOADING</v>
          </cell>
          <cell r="U532">
            <v>0.88749999999999996</v>
          </cell>
          <cell r="V532" t="str">
            <v>CONTINUE LOADING</v>
          </cell>
          <cell r="X532">
            <v>0.38750000000000001</v>
          </cell>
          <cell r="Y532" t="str">
            <v>CONTINUE LOADING</v>
          </cell>
          <cell r="AA532">
            <v>0.375</v>
          </cell>
          <cell r="AB532" t="str">
            <v>VESSEL CLOSE</v>
          </cell>
          <cell r="AD532">
            <v>0.79166666666666663</v>
          </cell>
          <cell r="AE532" t="str">
            <v>KY TOOLBOX</v>
          </cell>
        </row>
        <row r="533">
          <cell r="C533">
            <v>0.44097222222222221</v>
          </cell>
          <cell r="D533" t="str">
            <v>CONTINUE LOADING</v>
          </cell>
          <cell r="F533">
            <v>0.41666666666666669</v>
          </cell>
          <cell r="G533" t="str">
            <v>VESSEL CLOSE</v>
          </cell>
          <cell r="O533">
            <v>0.74722222222222223</v>
          </cell>
          <cell r="P533" t="str">
            <v xml:space="preserve">CONTINUE LOADING </v>
          </cell>
          <cell r="R533">
            <v>0.44374999999999998</v>
          </cell>
          <cell r="S533" t="str">
            <v>VESSEL CLOSE</v>
          </cell>
          <cell r="U533">
            <v>0.8979166666666667</v>
          </cell>
          <cell r="V533" t="str">
            <v>ONGOING LOADING</v>
          </cell>
          <cell r="X533">
            <v>0.45</v>
          </cell>
          <cell r="Y533" t="str">
            <v>VESSEL CLOSE</v>
          </cell>
          <cell r="AA533">
            <v>0.42916666666666664</v>
          </cell>
          <cell r="AB533" t="str">
            <v xml:space="preserve">CONTINUE LOADING </v>
          </cell>
          <cell r="AD533">
            <v>0.88611111111111107</v>
          </cell>
          <cell r="AE533" t="str">
            <v xml:space="preserve">RESUME LOADING </v>
          </cell>
        </row>
        <row r="534">
          <cell r="C534">
            <v>0.47916666666666669</v>
          </cell>
          <cell r="D534" t="str">
            <v xml:space="preserve">VESSEL CLOSE </v>
          </cell>
          <cell r="F534">
            <v>0.47291666666666665</v>
          </cell>
          <cell r="G534" t="str">
            <v>CONTINUE LOADING</v>
          </cell>
          <cell r="O534">
            <v>0.79166666666666663</v>
          </cell>
          <cell r="P534" t="str">
            <v>KY TOOLBOX</v>
          </cell>
          <cell r="R534">
            <v>0.46458333333333335</v>
          </cell>
          <cell r="S534" t="str">
            <v>CONTINUE LOADING</v>
          </cell>
          <cell r="U534">
            <v>0.92361111111111116</v>
          </cell>
          <cell r="V534" t="str">
            <v>CONTINUE LOADING</v>
          </cell>
          <cell r="X534">
            <v>0.46527777777777779</v>
          </cell>
          <cell r="Y534" t="str">
            <v xml:space="preserve">CONTINUE LOADING </v>
          </cell>
          <cell r="AA534">
            <v>0.45833333333333331</v>
          </cell>
          <cell r="AB534" t="str">
            <v xml:space="preserve">CONTINUE LOADING </v>
          </cell>
          <cell r="AD534">
            <v>0.93125000000000002</v>
          </cell>
          <cell r="AE534" t="str">
            <v>CONTINUE LOADING</v>
          </cell>
        </row>
        <row r="535">
          <cell r="C535">
            <v>0.56597222222222221</v>
          </cell>
          <cell r="D535" t="str">
            <v>RESUME LOADING SLING</v>
          </cell>
          <cell r="F535">
            <v>0.63888888888888884</v>
          </cell>
          <cell r="G535" t="str">
            <v>CONTINUE LOADING</v>
          </cell>
          <cell r="O535">
            <v>0.83333333333333337</v>
          </cell>
          <cell r="P535" t="str">
            <v>VESSEL CLOSED</v>
          </cell>
          <cell r="R535">
            <v>0.72916666666666663</v>
          </cell>
          <cell r="S535" t="str">
            <v>CONTINUE LOADING</v>
          </cell>
          <cell r="U535">
            <v>0.93541666666666667</v>
          </cell>
          <cell r="V535" t="str">
            <v>ONGOING LOADING</v>
          </cell>
          <cell r="X535">
            <v>0.6430555555555556</v>
          </cell>
          <cell r="Y535" t="str">
            <v>CONTINUE LOADING TONNER</v>
          </cell>
          <cell r="AA535">
            <v>0.79166666666666663</v>
          </cell>
          <cell r="AB535" t="str">
            <v>KY TOOLBOX</v>
          </cell>
          <cell r="AD535">
            <v>0.9916666666666667</v>
          </cell>
          <cell r="AE535" t="str">
            <v xml:space="preserve">ONGOING LOADING </v>
          </cell>
        </row>
        <row r="536">
          <cell r="C536">
            <v>0.58472222222222225</v>
          </cell>
          <cell r="D536" t="str">
            <v>CONTINUE LOADING SLING</v>
          </cell>
          <cell r="F536">
            <v>0.79166666666666663</v>
          </cell>
          <cell r="G536" t="str">
            <v>KY TOOLBOX</v>
          </cell>
          <cell r="O536">
            <v>0.95208333333333328</v>
          </cell>
          <cell r="P536" t="str">
            <v xml:space="preserve">RESUME LOADING </v>
          </cell>
          <cell r="R536">
            <v>0.79166666666666663</v>
          </cell>
          <cell r="S536" t="str">
            <v>KY TOOLBOX</v>
          </cell>
          <cell r="U536">
            <v>8.3333333333333329E-2</v>
          </cell>
          <cell r="V536" t="str">
            <v>RESUME LOADING</v>
          </cell>
          <cell r="X536">
            <v>0.79166666666666663</v>
          </cell>
          <cell r="Y536" t="str">
            <v>KY TOOLBOX</v>
          </cell>
          <cell r="AA536">
            <v>0.83333333333333337</v>
          </cell>
          <cell r="AB536" t="str">
            <v>VESSEL CLOSE</v>
          </cell>
        </row>
        <row r="537">
          <cell r="C537">
            <v>0.6</v>
          </cell>
          <cell r="D537" t="str">
            <v>CONTINUE LOADING SLING</v>
          </cell>
          <cell r="F537">
            <v>0.83333333333333337</v>
          </cell>
          <cell r="G537" t="str">
            <v>VESSEL CLOSE</v>
          </cell>
          <cell r="O537">
            <v>0.97916666666666663</v>
          </cell>
          <cell r="P537" t="str">
            <v xml:space="preserve">CONTINUE LOADING </v>
          </cell>
          <cell r="R537">
            <v>0.83333333333333337</v>
          </cell>
          <cell r="S537" t="str">
            <v>VESSEL CLOSE</v>
          </cell>
          <cell r="U537">
            <v>0.10416666666666667</v>
          </cell>
          <cell r="V537" t="str">
            <v>ONGOING LOADING</v>
          </cell>
          <cell r="X537">
            <v>0.83333333333333337</v>
          </cell>
          <cell r="Y537" t="str">
            <v>VESSEL CLOSE</v>
          </cell>
          <cell r="AA537">
            <v>0.87916666666666665</v>
          </cell>
          <cell r="AB537" t="str">
            <v xml:space="preserve">RESUME LOADING </v>
          </cell>
        </row>
        <row r="538">
          <cell r="C538">
            <v>0.79166666666666663</v>
          </cell>
          <cell r="D538" t="str">
            <v>KY TOOLBOX</v>
          </cell>
          <cell r="F538">
            <v>0.92013888888888884</v>
          </cell>
          <cell r="G538" t="str">
            <v xml:space="preserve">RESUME LOADING </v>
          </cell>
          <cell r="R538">
            <v>0.1423611111111111</v>
          </cell>
          <cell r="S538" t="str">
            <v xml:space="preserve">RESUME LOADING </v>
          </cell>
          <cell r="U538">
            <v>0.11041666666666666</v>
          </cell>
          <cell r="V538" t="str">
            <v>LOADING COMPLETE</v>
          </cell>
          <cell r="X538">
            <v>0.95902777777777781</v>
          </cell>
          <cell r="Y538" t="str">
            <v xml:space="preserve">RESUME LOADING </v>
          </cell>
          <cell r="AA538">
            <v>0.89930555555555558</v>
          </cell>
          <cell r="AB538" t="str">
            <v xml:space="preserve">CONTINUE LOADING </v>
          </cell>
        </row>
        <row r="539">
          <cell r="C539">
            <v>0.83333333333333337</v>
          </cell>
          <cell r="D539" t="str">
            <v xml:space="preserve">VESSEL CLOSE </v>
          </cell>
          <cell r="F539">
            <v>0.94791666666666663</v>
          </cell>
          <cell r="G539" t="str">
            <v xml:space="preserve">CONTINUE LOADING </v>
          </cell>
          <cell r="R539">
            <v>0.15625</v>
          </cell>
          <cell r="S539" t="str">
            <v xml:space="preserve">CONTINUE LOADING </v>
          </cell>
          <cell r="X539">
            <v>4.2361111111111113E-2</v>
          </cell>
          <cell r="Y539" t="str">
            <v>CONTINUE LOADING</v>
          </cell>
          <cell r="AA539">
            <v>0.91527777777777775</v>
          </cell>
          <cell r="AB539" t="str">
            <v>ONGOING LOADING</v>
          </cell>
        </row>
        <row r="540">
          <cell r="F540">
            <v>5.8333333333333334E-2</v>
          </cell>
          <cell r="G540" t="str">
            <v>ONGOING LOADING</v>
          </cell>
          <cell r="R540">
            <v>0.18472222222222223</v>
          </cell>
          <cell r="S540" t="str">
            <v xml:space="preserve">ONGOING LOADINGG </v>
          </cell>
          <cell r="AA540">
            <v>0.9375</v>
          </cell>
          <cell r="AB540" t="str">
            <v xml:space="preserve">CONTINUE LOADING </v>
          </cell>
        </row>
        <row r="541">
          <cell r="F541">
            <v>0.22152777777777777</v>
          </cell>
          <cell r="G541" t="str">
            <v xml:space="preserve">CONTINUE LOADING </v>
          </cell>
          <cell r="R541">
            <v>0.21666666666666667</v>
          </cell>
          <cell r="S541" t="str">
            <v xml:space="preserve">ONGOING LOADINGG </v>
          </cell>
          <cell r="AA541">
            <v>0.96527777777777779</v>
          </cell>
          <cell r="AB541" t="str">
            <v>ONGOING LOADING</v>
          </cell>
        </row>
        <row r="543">
          <cell r="AA543">
            <v>2.4305555555555556E-2</v>
          </cell>
          <cell r="AB543" t="str">
            <v>ONGOING LOADING</v>
          </cell>
        </row>
        <row r="544">
          <cell r="AA544">
            <v>4.583333333333333E-2</v>
          </cell>
          <cell r="AB544" t="str">
            <v xml:space="preserve">CONTINUE LOADING </v>
          </cell>
        </row>
        <row r="545">
          <cell r="AA545">
            <v>7.0833333333333331E-2</v>
          </cell>
          <cell r="AB545" t="str">
            <v>ONGOING LOADING</v>
          </cell>
        </row>
        <row r="546">
          <cell r="AA546">
            <v>8.6805555555555552E-2</v>
          </cell>
          <cell r="AB546" t="str">
            <v xml:space="preserve">CONTINUE LOADING </v>
          </cell>
        </row>
        <row r="547">
          <cell r="AA547">
            <v>0.125</v>
          </cell>
          <cell r="AB547" t="str">
            <v>WAITING MATERIAL</v>
          </cell>
        </row>
        <row r="548">
          <cell r="D548" t="str">
            <v>VACANT</v>
          </cell>
          <cell r="G548" t="str">
            <v>PHILIP MARK</v>
          </cell>
          <cell r="J548" t="str">
            <v>VACANT</v>
          </cell>
          <cell r="M548" t="str">
            <v>VACANT</v>
          </cell>
          <cell r="P548" t="str">
            <v>LADY OF ROSARY</v>
          </cell>
          <cell r="S548" t="str">
            <v>CESAR ESTER</v>
          </cell>
          <cell r="V548" t="str">
            <v>VACANT</v>
          </cell>
          <cell r="Y548" t="str">
            <v>LADY OF REMEDY</v>
          </cell>
          <cell r="AB548" t="str">
            <v>STAR FREEDOM</v>
          </cell>
          <cell r="AE548" t="str">
            <v>NAPOLI</v>
          </cell>
          <cell r="AH548" t="str">
            <v>VACANT</v>
          </cell>
        </row>
        <row r="549">
          <cell r="C549">
            <v>0.29166666666666669</v>
          </cell>
          <cell r="D549" t="str">
            <v>WAITING VESSEL</v>
          </cell>
          <cell r="F549">
            <v>0.29166666666666669</v>
          </cell>
          <cell r="G549" t="str">
            <v>KY TOOLBOX</v>
          </cell>
          <cell r="I549">
            <v>0.29166666666666669</v>
          </cell>
          <cell r="J549" t="str">
            <v>WAITING VESSEL</v>
          </cell>
          <cell r="L549">
            <v>0.29166666666666669</v>
          </cell>
          <cell r="M549" t="str">
            <v>WAITING VESSEL</v>
          </cell>
          <cell r="O549">
            <v>0.29166666666666669</v>
          </cell>
          <cell r="P549" t="str">
            <v>KY TOOLBOX</v>
          </cell>
          <cell r="R549">
            <v>0.29166666666666669</v>
          </cell>
          <cell r="S549" t="str">
            <v>KY TOOLBOX</v>
          </cell>
          <cell r="U549">
            <v>0.29166666666666669</v>
          </cell>
          <cell r="V549" t="str">
            <v>WAITING VESSEL</v>
          </cell>
          <cell r="X549">
            <v>0.29166666666666669</v>
          </cell>
          <cell r="Y549" t="str">
            <v>KY TOOLBOX</v>
          </cell>
          <cell r="AA549">
            <v>0.29166666666666669</v>
          </cell>
          <cell r="AB549" t="str">
            <v>KY TOOLBOX</v>
          </cell>
          <cell r="AD549">
            <v>0.29166666666666669</v>
          </cell>
          <cell r="AE549" t="str">
            <v>KY TOOLBOX</v>
          </cell>
          <cell r="AG549">
            <v>0.29166666666666669</v>
          </cell>
          <cell r="AH549" t="str">
            <v>WAITING VESSEL</v>
          </cell>
        </row>
        <row r="550">
          <cell r="F550">
            <v>0.3125</v>
          </cell>
          <cell r="G550" t="str">
            <v xml:space="preserve">CONTINUE LOADING </v>
          </cell>
          <cell r="O550">
            <v>0.3125</v>
          </cell>
          <cell r="P550" t="str">
            <v xml:space="preserve">CONTINUE LOADING </v>
          </cell>
          <cell r="R550">
            <v>0.3125</v>
          </cell>
          <cell r="S550" t="str">
            <v>CONTINUE LOADING</v>
          </cell>
          <cell r="X550">
            <v>0.3125</v>
          </cell>
          <cell r="Y550" t="str">
            <v>CONTINUE LOADING</v>
          </cell>
          <cell r="AA550">
            <v>0.3125</v>
          </cell>
          <cell r="AB550" t="str">
            <v xml:space="preserve">CONTINUE LOADING </v>
          </cell>
          <cell r="AD550" t="str">
            <v>7;30</v>
          </cell>
          <cell r="AE550" t="str">
            <v>CONTINUE LOADING</v>
          </cell>
        </row>
        <row r="551">
          <cell r="F551">
            <v>0.34166666666666667</v>
          </cell>
          <cell r="G551" t="str">
            <v xml:space="preserve">CONTINUE LOADING </v>
          </cell>
          <cell r="O551">
            <v>0.42152777777777778</v>
          </cell>
          <cell r="P551" t="str">
            <v xml:space="preserve">CONTINUE LOADING </v>
          </cell>
          <cell r="R551">
            <v>0.34722222222222221</v>
          </cell>
          <cell r="S551" t="str">
            <v>CONTINUE LOADING</v>
          </cell>
          <cell r="X551">
            <v>0.34652777777777777</v>
          </cell>
          <cell r="Y551" t="str">
            <v>CONTINUE LOADING</v>
          </cell>
          <cell r="AA551">
            <v>0.33333333333333331</v>
          </cell>
          <cell r="AB551" t="str">
            <v>WAITING MATERIAL</v>
          </cell>
          <cell r="AD551">
            <v>0.35208333333333336</v>
          </cell>
          <cell r="AE551" t="str">
            <v>CONTINUE LOADING</v>
          </cell>
        </row>
        <row r="552">
          <cell r="F552">
            <v>0.46458333333333335</v>
          </cell>
          <cell r="G552" t="str">
            <v xml:space="preserve">CONTINUE LOADING </v>
          </cell>
          <cell r="O552">
            <v>0.45763888888888887</v>
          </cell>
          <cell r="P552" t="str">
            <v xml:space="preserve">CONTINUE LOADING </v>
          </cell>
          <cell r="R552">
            <v>0.38055555555555554</v>
          </cell>
          <cell r="S552" t="str">
            <v>CONTINUE LOADING</v>
          </cell>
          <cell r="X552">
            <v>0.40069444444444446</v>
          </cell>
          <cell r="Y552" t="str">
            <v>CONTINUE LOADING</v>
          </cell>
          <cell r="AA552">
            <v>0.375</v>
          </cell>
          <cell r="AB552" t="str">
            <v>WAITING MATERIAL</v>
          </cell>
          <cell r="AD552">
            <v>0.38611111111111113</v>
          </cell>
          <cell r="AE552" t="str">
            <v>CONTINUE LOADING</v>
          </cell>
        </row>
        <row r="553">
          <cell r="F553">
            <v>0.5</v>
          </cell>
          <cell r="G553" t="str">
            <v>LUNCH BREAK</v>
          </cell>
          <cell r="O553">
            <v>0.45833333333333331</v>
          </cell>
          <cell r="P553" t="str">
            <v xml:space="preserve">CONTINUE LOADING </v>
          </cell>
          <cell r="R553">
            <v>0.42638888888888887</v>
          </cell>
          <cell r="S553" t="str">
            <v>CONTINUE LOADING</v>
          </cell>
          <cell r="X553">
            <v>0.44444444444444442</v>
          </cell>
          <cell r="Y553" t="str">
            <v>CONTINUE LOADING</v>
          </cell>
          <cell r="AA553">
            <v>0.41666666666666669</v>
          </cell>
          <cell r="AB553" t="str">
            <v>WAITING MATERIAL</v>
          </cell>
          <cell r="AD553">
            <v>0.43333333333333335</v>
          </cell>
          <cell r="AE553" t="str">
            <v>CONTINUE LOADING</v>
          </cell>
        </row>
        <row r="554">
          <cell r="F554">
            <v>0.55208333333333337</v>
          </cell>
          <cell r="G554" t="str">
            <v xml:space="preserve">CONTINUE LOADING </v>
          </cell>
          <cell r="O554">
            <v>0.5</v>
          </cell>
          <cell r="P554" t="str">
            <v>LUNCH BREAK</v>
          </cell>
          <cell r="R554">
            <v>0.46736111111111112</v>
          </cell>
          <cell r="S554" t="str">
            <v>CONTINUE LOADING</v>
          </cell>
          <cell r="X554">
            <v>0.45833333333333331</v>
          </cell>
          <cell r="Y554" t="str">
            <v>CONTINUE LOADING</v>
          </cell>
          <cell r="AA554">
            <v>0.45833333333333331</v>
          </cell>
          <cell r="AB554" t="str">
            <v>WAITING MATERIAL</v>
          </cell>
          <cell r="AD554">
            <v>0.46944444444444444</v>
          </cell>
          <cell r="AE554" t="str">
            <v>CONTINUE LOADING</v>
          </cell>
        </row>
        <row r="555">
          <cell r="F555">
            <v>0.60277777777777775</v>
          </cell>
          <cell r="G555" t="str">
            <v xml:space="preserve">CONTINUE LOADING </v>
          </cell>
          <cell r="O555">
            <v>0.54236111111111107</v>
          </cell>
          <cell r="P555" t="str">
            <v xml:space="preserve">CONTINUE LOADING </v>
          </cell>
          <cell r="R555">
            <v>0.5</v>
          </cell>
          <cell r="S555" t="str">
            <v>LUNCH BREAK</v>
          </cell>
          <cell r="X555">
            <v>0.5</v>
          </cell>
          <cell r="Y555" t="str">
            <v>LUNCH BREAK</v>
          </cell>
          <cell r="AA555">
            <v>0.5</v>
          </cell>
          <cell r="AB555" t="str">
            <v>LUNCH BREAK</v>
          </cell>
          <cell r="AD555">
            <v>0.5</v>
          </cell>
          <cell r="AE555" t="str">
            <v>LUNCH BREAK</v>
          </cell>
        </row>
        <row r="556">
          <cell r="F556">
            <v>0.69374999999999998</v>
          </cell>
          <cell r="G556" t="str">
            <v>VESSEL COMPLETE LOADING</v>
          </cell>
          <cell r="O556">
            <v>0.59027777777777779</v>
          </cell>
          <cell r="P556" t="str">
            <v xml:space="preserve">CONTINUE LOADING </v>
          </cell>
          <cell r="R556">
            <v>0.55902777777777779</v>
          </cell>
          <cell r="S556" t="str">
            <v>CONTINUE LOADING</v>
          </cell>
          <cell r="X556">
            <v>0.56527777777777777</v>
          </cell>
          <cell r="Y556" t="str">
            <v>CONTINUE LOADING</v>
          </cell>
          <cell r="AA556">
            <v>0.54166666666666663</v>
          </cell>
          <cell r="AB556" t="str">
            <v xml:space="preserve">CONTINUE LOADING </v>
          </cell>
          <cell r="AD556">
            <v>0.54236111111111107</v>
          </cell>
          <cell r="AE556" t="str">
            <v>CONTINUE LOADING</v>
          </cell>
        </row>
        <row r="557">
          <cell r="F557" t="str">
            <v xml:space="preserve"> </v>
          </cell>
          <cell r="G557" t="str">
            <v xml:space="preserve"> </v>
          </cell>
          <cell r="O557">
            <v>0.62152777777777779</v>
          </cell>
          <cell r="P557" t="str">
            <v xml:space="preserve">CONTINUE LOADING </v>
          </cell>
          <cell r="R557">
            <v>0.59722222222222221</v>
          </cell>
          <cell r="S557" t="str">
            <v>CONTINUE LOADING</v>
          </cell>
          <cell r="X557">
            <v>0.59861111111111109</v>
          </cell>
          <cell r="Y557" t="str">
            <v>CONTINUE LOADING</v>
          </cell>
          <cell r="AA557">
            <v>0.59722222222222221</v>
          </cell>
          <cell r="AB557" t="str">
            <v xml:space="preserve">CONTINUE LOADING </v>
          </cell>
          <cell r="AD557">
            <v>0.59930555555555554</v>
          </cell>
          <cell r="AE557" t="str">
            <v>CONTINUE LOADING</v>
          </cell>
        </row>
        <row r="558">
          <cell r="O558">
            <v>0.66111111111111109</v>
          </cell>
          <cell r="P558" t="str">
            <v xml:space="preserve">CONTINUE LOADING </v>
          </cell>
          <cell r="R558">
            <v>0.65972222222222221</v>
          </cell>
          <cell r="S558" t="str">
            <v>CONTINUE LOADING</v>
          </cell>
          <cell r="X558">
            <v>0.64583333333333337</v>
          </cell>
          <cell r="Y558" t="str">
            <v>CONTINUE LOADING</v>
          </cell>
          <cell r="AA558">
            <v>0.65972222222222221</v>
          </cell>
          <cell r="AB558" t="str">
            <v>VESSEL COMPLETE LOADING</v>
          </cell>
          <cell r="AD558">
            <v>0.63402777777777775</v>
          </cell>
          <cell r="AE558" t="str">
            <v>CONTINUE LOADING</v>
          </cell>
        </row>
        <row r="559">
          <cell r="O559">
            <v>0.71875</v>
          </cell>
          <cell r="P559" t="str">
            <v xml:space="preserve">CONTINUE LOADING </v>
          </cell>
          <cell r="R559">
            <v>0.68402777777777779</v>
          </cell>
          <cell r="S559" t="str">
            <v>CONTINUE LOADING</v>
          </cell>
          <cell r="X559">
            <v>0.66736111111111107</v>
          </cell>
          <cell r="Y559" t="str">
            <v>CONTINUE LOADING</v>
          </cell>
          <cell r="AD559">
            <v>0.67638888888888893</v>
          </cell>
          <cell r="AE559" t="str">
            <v>CONTINUE LOADING</v>
          </cell>
        </row>
        <row r="560">
          <cell r="O560">
            <v>0.72916666666666663</v>
          </cell>
          <cell r="P560" t="str">
            <v>VESSEL CLOSE</v>
          </cell>
          <cell r="R560">
            <v>0.72916666666666663</v>
          </cell>
          <cell r="S560" t="str">
            <v>VESSEL CLOSE</v>
          </cell>
          <cell r="X560">
            <v>0.70833333333333337</v>
          </cell>
          <cell r="Y560" t="str">
            <v>CONTINUE LOADING</v>
          </cell>
          <cell r="AD560">
            <v>0.72916666666666663</v>
          </cell>
          <cell r="AE560" t="str">
            <v>VESSEL CLOSE</v>
          </cell>
        </row>
        <row r="561">
          <cell r="O561">
            <v>0.79166666666666663</v>
          </cell>
          <cell r="P561" t="str">
            <v>VESSEL CLOSE</v>
          </cell>
          <cell r="R561">
            <v>0.79166666666666663</v>
          </cell>
          <cell r="S561" t="str">
            <v>VESSEL CLOSE</v>
          </cell>
          <cell r="X561">
            <v>0.72916666666666663</v>
          </cell>
          <cell r="Y561" t="str">
            <v>VESSEL CLOSE</v>
          </cell>
        </row>
        <row r="562">
          <cell r="D562" t="str">
            <v>VACANT</v>
          </cell>
          <cell r="G562" t="str">
            <v>VACANT</v>
          </cell>
          <cell r="J562" t="str">
            <v>VACANT</v>
          </cell>
          <cell r="M562" t="str">
            <v>EASTERN CEBU</v>
          </cell>
          <cell r="P562" t="str">
            <v>LADY OF ROSARY</v>
          </cell>
          <cell r="S562" t="str">
            <v>LADY OF DIVINE GRACE</v>
          </cell>
          <cell r="V562" t="str">
            <v>ADOLFO SR.</v>
          </cell>
          <cell r="Y562" t="str">
            <v>EFG 5</v>
          </cell>
          <cell r="AB562" t="str">
            <v>LADY OF COURAGE</v>
          </cell>
          <cell r="AE562" t="str">
            <v>NAPOLI</v>
          </cell>
          <cell r="AH562" t="str">
            <v>VACANT</v>
          </cell>
        </row>
        <row r="563">
          <cell r="C563">
            <v>0.29166666666666669</v>
          </cell>
          <cell r="D563" t="str">
            <v>WAITING VESSEL</v>
          </cell>
          <cell r="F563">
            <v>0.29166666666666669</v>
          </cell>
          <cell r="G563" t="str">
            <v>WAITING VESSEL</v>
          </cell>
          <cell r="I563">
            <v>0.29166666666666669</v>
          </cell>
          <cell r="J563" t="str">
            <v>WAITING VESSEL</v>
          </cell>
          <cell r="L563">
            <v>0.32291666666666669</v>
          </cell>
          <cell r="M563" t="str">
            <v>CONDUCT KY</v>
          </cell>
          <cell r="O563">
            <v>0.31944444444444442</v>
          </cell>
          <cell r="P563" t="str">
            <v>CONDUCT KY</v>
          </cell>
          <cell r="R563">
            <v>0.32291666666666669</v>
          </cell>
          <cell r="S563" t="str">
            <v>CONDUCT KY</v>
          </cell>
          <cell r="U563">
            <v>0.29166666666666669</v>
          </cell>
          <cell r="V563" t="str">
            <v>WAITING MATERIAL</v>
          </cell>
          <cell r="X563">
            <v>0.29166666666666669</v>
          </cell>
          <cell r="Y563" t="str">
            <v>WAITING VESSEL</v>
          </cell>
          <cell r="AA563">
            <v>0.29166666666666669</v>
          </cell>
          <cell r="AB563" t="str">
            <v>WAITING VESSEL</v>
          </cell>
          <cell r="AD563">
            <v>0.31944444444444442</v>
          </cell>
          <cell r="AE563" t="str">
            <v>CONDUCT KY</v>
          </cell>
          <cell r="AG563">
            <v>0.29166666666666669</v>
          </cell>
          <cell r="AH563" t="str">
            <v>WAITING VESSEL</v>
          </cell>
        </row>
        <row r="564">
          <cell r="C564">
            <v>0.66666666666666663</v>
          </cell>
          <cell r="D564" t="str">
            <v>WAITING VESSEL</v>
          </cell>
          <cell r="F564">
            <v>0.66666666666666663</v>
          </cell>
          <cell r="G564" t="str">
            <v>WAITING VESSEL</v>
          </cell>
          <cell r="I564">
            <v>0.66666666666666663</v>
          </cell>
          <cell r="J564" t="str">
            <v>WAITING VESSEL</v>
          </cell>
          <cell r="L564">
            <v>0.43125000000000002</v>
          </cell>
          <cell r="M564" t="str">
            <v>RESUME LOADING</v>
          </cell>
          <cell r="O564">
            <v>0.36875000000000002</v>
          </cell>
          <cell r="P564" t="str">
            <v>RESUME LOADING SLING</v>
          </cell>
          <cell r="R564">
            <v>0.35416666666666669</v>
          </cell>
          <cell r="S564" t="str">
            <v>RESUME LOADING TONNER</v>
          </cell>
          <cell r="U564">
            <v>0.66666666666666663</v>
          </cell>
          <cell r="V564" t="str">
            <v xml:space="preserve">TO PRESENT </v>
          </cell>
          <cell r="X564">
            <v>0.66666666666666663</v>
          </cell>
          <cell r="Y564" t="str">
            <v>WAITING VESSEL</v>
          </cell>
          <cell r="AA564">
            <v>0.33333333333333331</v>
          </cell>
          <cell r="AB564" t="str">
            <v>WAITING VESSEL</v>
          </cell>
          <cell r="AD564">
            <v>0.3576388888888889</v>
          </cell>
          <cell r="AE564" t="str">
            <v>RESUME LOADING</v>
          </cell>
          <cell r="AG564">
            <v>0.66666666666666663</v>
          </cell>
          <cell r="AH564" t="str">
            <v>WAITING VESSEL</v>
          </cell>
        </row>
        <row r="565">
          <cell r="C565">
            <v>0.70833333333333337</v>
          </cell>
          <cell r="D565" t="str">
            <v>WAITING VESSEL</v>
          </cell>
          <cell r="F565">
            <v>0.70833333333333337</v>
          </cell>
          <cell r="G565" t="str">
            <v>WAITING VESSEL</v>
          </cell>
          <cell r="J565" t="str">
            <v>WAITING VESSEL</v>
          </cell>
          <cell r="L565">
            <v>0.44791666666666669</v>
          </cell>
          <cell r="M565" t="str">
            <v>CONTINUE LOADING</v>
          </cell>
          <cell r="O565">
            <v>0.37638888888888888</v>
          </cell>
          <cell r="P565" t="str">
            <v>CONTINUE LOADING SLING</v>
          </cell>
          <cell r="R565">
            <v>0.35902777777777778</v>
          </cell>
          <cell r="S565" t="str">
            <v>CONTINUE LOADING</v>
          </cell>
          <cell r="U565">
            <v>0.79166666666666663</v>
          </cell>
          <cell r="V565" t="str">
            <v>WATING MARTERIALS</v>
          </cell>
          <cell r="X565">
            <v>0.70833333333333337</v>
          </cell>
          <cell r="Y565" t="str">
            <v>NEW VESSEL</v>
          </cell>
          <cell r="AA565">
            <v>0.39861111111111114</v>
          </cell>
          <cell r="AB565" t="str">
            <v>DOCK AND SECURE</v>
          </cell>
          <cell r="AD565">
            <v>0.38333333333333336</v>
          </cell>
          <cell r="AE565" t="str">
            <v>CONTINUE LOADING</v>
          </cell>
        </row>
        <row r="566">
          <cell r="C566">
            <v>0.75</v>
          </cell>
          <cell r="D566" t="str">
            <v>WAITING VESSEL</v>
          </cell>
          <cell r="F566">
            <v>0.75</v>
          </cell>
          <cell r="G566" t="str">
            <v>WAITING VESSEL</v>
          </cell>
          <cell r="J566" t="str">
            <v>WAITING VESSEL</v>
          </cell>
          <cell r="L566">
            <v>0.57291666666666663</v>
          </cell>
          <cell r="M566" t="str">
            <v>CONTINUE LOADING</v>
          </cell>
          <cell r="O566">
            <v>0.40486111111111112</v>
          </cell>
          <cell r="P566" t="str">
            <v xml:space="preserve">CONTINUE LOADING </v>
          </cell>
          <cell r="R566">
            <v>0.39305555555555555</v>
          </cell>
          <cell r="S566" t="str">
            <v>CONTINUE LOADING</v>
          </cell>
          <cell r="U566">
            <v>0.875</v>
          </cell>
          <cell r="V566" t="str">
            <v>WATING MARTERIALS</v>
          </cell>
          <cell r="X566">
            <v>0.79166666666666663</v>
          </cell>
          <cell r="Y566" t="str">
            <v>WAITING VESSEL</v>
          </cell>
          <cell r="AA566">
            <v>0.55902777777777779</v>
          </cell>
          <cell r="AB566" t="str">
            <v>CONDUCT KY</v>
          </cell>
          <cell r="AD566">
            <v>0.40833333333333333</v>
          </cell>
          <cell r="AE566" t="str">
            <v>CONTINUE LOADING</v>
          </cell>
        </row>
        <row r="567">
          <cell r="L567">
            <v>0.58888888888888891</v>
          </cell>
          <cell r="M567" t="str">
            <v>CONTINUE LOADING</v>
          </cell>
          <cell r="O567">
            <v>0.45624999999999999</v>
          </cell>
          <cell r="P567" t="str">
            <v>CONT LOADING</v>
          </cell>
          <cell r="R567">
            <v>0.44513888888888886</v>
          </cell>
          <cell r="S567" t="str">
            <v>CONTINUE LOADING</v>
          </cell>
          <cell r="U567">
            <v>0.91666666666666663</v>
          </cell>
          <cell r="V567" t="str">
            <v>WAITING ADVICE</v>
          </cell>
          <cell r="AA567">
            <v>0.5708333333333333</v>
          </cell>
          <cell r="AB567" t="str">
            <v>COMMENCE LOADING</v>
          </cell>
          <cell r="AD567">
            <v>0.4513888888888889</v>
          </cell>
          <cell r="AE567" t="str">
            <v>CONTINUE LOADING</v>
          </cell>
        </row>
        <row r="568">
          <cell r="L568">
            <v>0.59722222222222221</v>
          </cell>
          <cell r="M568" t="str">
            <v xml:space="preserve">VESSEL CLOSE </v>
          </cell>
          <cell r="O568">
            <v>0.47916666666666669</v>
          </cell>
          <cell r="P568" t="str">
            <v>WAITING MATERIAL</v>
          </cell>
          <cell r="R568">
            <v>0.46597222222222223</v>
          </cell>
          <cell r="S568" t="str">
            <v>VESSEL COMPLETE</v>
          </cell>
          <cell r="U568">
            <v>0.125</v>
          </cell>
          <cell r="V568" t="str">
            <v>START OPEN CARGOHOLD</v>
          </cell>
          <cell r="AA568">
            <v>0.59513888888888888</v>
          </cell>
          <cell r="AB568" t="str">
            <v xml:space="preserve">CONTINUE LOADING </v>
          </cell>
          <cell r="AD568">
            <v>0.55347222222222225</v>
          </cell>
          <cell r="AE568" t="str">
            <v>CONTINUE LOADING</v>
          </cell>
        </row>
        <row r="569">
          <cell r="L569">
            <v>0.60763888888888884</v>
          </cell>
          <cell r="M569" t="str">
            <v>RESUME LOADING</v>
          </cell>
          <cell r="O569">
            <v>0.56527777777777777</v>
          </cell>
          <cell r="P569" t="str">
            <v>RESUME LOADING SLING</v>
          </cell>
          <cell r="R569">
            <v>0.58333333333333337</v>
          </cell>
          <cell r="S569" t="str">
            <v>VESSEL PULL OUT</v>
          </cell>
          <cell r="U569">
            <v>0.1388888888888889</v>
          </cell>
          <cell r="AA569">
            <v>0.62083333333333335</v>
          </cell>
          <cell r="AB569" t="str">
            <v xml:space="preserve">CONTINUE LOADING </v>
          </cell>
          <cell r="AD569">
            <v>0.57986111111111116</v>
          </cell>
          <cell r="AE569" t="str">
            <v>CONTINUE LOADING</v>
          </cell>
        </row>
        <row r="570">
          <cell r="L570">
            <v>0.62847222222222221</v>
          </cell>
          <cell r="M570" t="str">
            <v>CONTINUE LOADING</v>
          </cell>
          <cell r="O570">
            <v>0.58263888888888893</v>
          </cell>
          <cell r="P570" t="str">
            <v>CONTINUE LOADING SLING</v>
          </cell>
          <cell r="R570">
            <v>0.75</v>
          </cell>
          <cell r="S570" t="str">
            <v>NEW VESSEL</v>
          </cell>
          <cell r="U570">
            <v>0.14930555555555555</v>
          </cell>
          <cell r="V570" t="str">
            <v xml:space="preserve">COMMENCE LOADING </v>
          </cell>
          <cell r="AA570">
            <v>0.625</v>
          </cell>
          <cell r="AB570" t="str">
            <v xml:space="preserve">VESSEL CLOSE </v>
          </cell>
          <cell r="AD570">
            <v>0.59652777777777777</v>
          </cell>
          <cell r="AE570" t="str">
            <v>CONTINUE LOADING</v>
          </cell>
        </row>
        <row r="571">
          <cell r="D571" t="str">
            <v>VACANT</v>
          </cell>
          <cell r="G571" t="str">
            <v>VACANT</v>
          </cell>
          <cell r="J571" t="str">
            <v>VACANT</v>
          </cell>
          <cell r="L571">
            <v>0.82291666666666663</v>
          </cell>
          <cell r="M571" t="str">
            <v>RESUME LOADING</v>
          </cell>
          <cell r="O571">
            <v>0.60763888888888884</v>
          </cell>
          <cell r="P571" t="str">
            <v>CONTINUE LOADING SLING</v>
          </cell>
          <cell r="AA571">
            <v>0.66666666666666663</v>
          </cell>
          <cell r="AB571" t="str">
            <v>RAIN</v>
          </cell>
          <cell r="AD571">
            <v>0.61944444444444446</v>
          </cell>
          <cell r="AE571" t="str">
            <v>CONTINUE LOADING</v>
          </cell>
        </row>
        <row r="572">
          <cell r="L572">
            <v>0.83333333333333337</v>
          </cell>
          <cell r="M572" t="str">
            <v>CONTINUE LOADING</v>
          </cell>
          <cell r="O572">
            <v>0.62291666666666667</v>
          </cell>
          <cell r="P572" t="str">
            <v>VESSEL COMPLETE</v>
          </cell>
          <cell r="AA572">
            <v>0.68888888888888888</v>
          </cell>
          <cell r="AB572" t="str">
            <v>RESUME LOADING SLING</v>
          </cell>
          <cell r="AD572">
            <v>0.63541666666666663</v>
          </cell>
          <cell r="AE572" t="str">
            <v>VESSEL COMPLETE</v>
          </cell>
        </row>
        <row r="573">
          <cell r="L573">
            <v>0.875</v>
          </cell>
          <cell r="M573" t="str">
            <v>CONTINUE LOADING</v>
          </cell>
          <cell r="AA573">
            <v>0.70833333333333337</v>
          </cell>
          <cell r="AB573" t="str">
            <v xml:space="preserve">CONTINUE LOADING </v>
          </cell>
        </row>
        <row r="574">
          <cell r="L574">
            <v>0.91666666666666663</v>
          </cell>
          <cell r="M574" t="str">
            <v>CONTINUE LOADING</v>
          </cell>
          <cell r="AA574">
            <v>0.8125</v>
          </cell>
          <cell r="AB574" t="str">
            <v>RESUME LOADING SLING</v>
          </cell>
        </row>
        <row r="575">
          <cell r="L575">
            <v>0.95833333333333337</v>
          </cell>
          <cell r="M575" t="str">
            <v>CONTINUE LOADING</v>
          </cell>
          <cell r="AA575">
            <v>0.83333333333333337</v>
          </cell>
          <cell r="AB575" t="str">
            <v xml:space="preserve">CONTINUE LOADING </v>
          </cell>
        </row>
        <row r="576">
          <cell r="L576">
            <v>0</v>
          </cell>
          <cell r="M576" t="str">
            <v>CONTINUE LOADING</v>
          </cell>
          <cell r="AA576">
            <v>0.875</v>
          </cell>
          <cell r="AB576" t="str">
            <v xml:space="preserve">CONTINUE LOADING </v>
          </cell>
        </row>
        <row r="577">
          <cell r="L577">
            <v>4.1666666666666664E-2</v>
          </cell>
          <cell r="M577" t="str">
            <v>CONTINUE LOADING</v>
          </cell>
          <cell r="AA577">
            <v>0.91666666666666663</v>
          </cell>
          <cell r="AB577" t="str">
            <v xml:space="preserve">CONTINUE LOADING </v>
          </cell>
        </row>
        <row r="578">
          <cell r="L578">
            <v>8.3333333333333329E-2</v>
          </cell>
          <cell r="M578" t="str">
            <v>CONTINUE LOADING</v>
          </cell>
          <cell r="AA578">
            <v>0.95833333333333337</v>
          </cell>
          <cell r="AB578" t="str">
            <v>ONBOARD FORKLIFT</v>
          </cell>
        </row>
        <row r="579">
          <cell r="L579">
            <v>0.125</v>
          </cell>
          <cell r="M579" t="str">
            <v>CONTINUE LOADING</v>
          </cell>
          <cell r="AA579">
            <v>0</v>
          </cell>
          <cell r="AB579" t="str">
            <v>RESUME LOADING SLING</v>
          </cell>
        </row>
        <row r="580">
          <cell r="AA580">
            <v>4.1666666666666664E-2</v>
          </cell>
          <cell r="AB580" t="str">
            <v xml:space="preserve">CONTINUE LOADING </v>
          </cell>
        </row>
        <row r="581">
          <cell r="AA581">
            <v>8.3333333333333329E-2</v>
          </cell>
          <cell r="AB581" t="str">
            <v xml:space="preserve">CONTINUE LOADING </v>
          </cell>
        </row>
        <row r="582">
          <cell r="AA582">
            <v>0.125</v>
          </cell>
          <cell r="AB582" t="str">
            <v xml:space="preserve">CONTINUE LOADING </v>
          </cell>
        </row>
        <row r="583">
          <cell r="AA583">
            <v>0.16666666666666666</v>
          </cell>
          <cell r="AB583" t="str">
            <v xml:space="preserve">CONTINUE LOADING </v>
          </cell>
        </row>
        <row r="584">
          <cell r="D584" t="str">
            <v>VACANT</v>
          </cell>
          <cell r="G584" t="str">
            <v>EFG 7</v>
          </cell>
          <cell r="J584" t="str">
            <v>VACANT</v>
          </cell>
          <cell r="M584" t="str">
            <v>EASTERN CEBU</v>
          </cell>
          <cell r="P584" t="str">
            <v>LADY OF DIVINE GRACE</v>
          </cell>
          <cell r="S584" t="str">
            <v>VACANT</v>
          </cell>
          <cell r="V584" t="str">
            <v>ADOLFO SR.</v>
          </cell>
          <cell r="Y584" t="str">
            <v>EFG 5</v>
          </cell>
          <cell r="AB584" t="str">
            <v>LADY OF COURAGE</v>
          </cell>
          <cell r="AE584" t="str">
            <v>VACANT</v>
          </cell>
          <cell r="AH584" t="str">
            <v>VACANT</v>
          </cell>
        </row>
        <row r="585">
          <cell r="C585">
            <v>0.29166666666666669</v>
          </cell>
          <cell r="D585" t="str">
            <v>WAITING VESSEL</v>
          </cell>
          <cell r="F585">
            <v>0.29166666666666669</v>
          </cell>
          <cell r="G585" t="str">
            <v>WAITING VESSEL</v>
          </cell>
          <cell r="I585">
            <v>0.29166666666666669</v>
          </cell>
          <cell r="J585" t="str">
            <v>WAITING VESSEL</v>
          </cell>
          <cell r="L585">
            <v>0.31944444444444442</v>
          </cell>
          <cell r="M585" t="str">
            <v>CONDUCT KY</v>
          </cell>
          <cell r="O585">
            <v>0.32291666666666669</v>
          </cell>
          <cell r="P585" t="str">
            <v>CONDUCT KY</v>
          </cell>
          <cell r="R585">
            <v>0.29166666666666669</v>
          </cell>
          <cell r="S585" t="str">
            <v>WAITING VESSEL</v>
          </cell>
          <cell r="U585">
            <v>0.3263888888888889</v>
          </cell>
          <cell r="V585" t="str">
            <v>CONDUCT KY</v>
          </cell>
          <cell r="X585">
            <v>0.32291666666666669</v>
          </cell>
          <cell r="Y585" t="str">
            <v>CONDUCT KY</v>
          </cell>
          <cell r="AA585">
            <v>0.32291666666666669</v>
          </cell>
          <cell r="AB585" t="str">
            <v>CONDUCT KY</v>
          </cell>
          <cell r="AD585">
            <v>0.29166666666666669</v>
          </cell>
          <cell r="AE585" t="str">
            <v>WAITING VESSEL</v>
          </cell>
          <cell r="AG585">
            <v>0.29166666666666669</v>
          </cell>
          <cell r="AH585" t="str">
            <v>WAITING VESSEL</v>
          </cell>
        </row>
        <row r="586">
          <cell r="C586">
            <v>0.33333333333333331</v>
          </cell>
          <cell r="D586" t="str">
            <v>WAITING VESSEL</v>
          </cell>
          <cell r="F586">
            <v>0.35416666666666669</v>
          </cell>
          <cell r="G586" t="str">
            <v>NEW VESSEL</v>
          </cell>
          <cell r="I586">
            <v>0.33333333333333331</v>
          </cell>
          <cell r="J586" t="str">
            <v>WAITING VESSEL</v>
          </cell>
          <cell r="L586">
            <v>0.36388888888888887</v>
          </cell>
          <cell r="M586" t="str">
            <v>CONTINUE LOADING SLING</v>
          </cell>
          <cell r="O586">
            <v>0.40833333333333333</v>
          </cell>
          <cell r="P586" t="str">
            <v>CONTINUE LOADING SLING</v>
          </cell>
          <cell r="R586">
            <v>0.33333333333333331</v>
          </cell>
          <cell r="S586" t="str">
            <v>WAITING VESSEL</v>
          </cell>
          <cell r="U586">
            <v>0.33194444444444443</v>
          </cell>
          <cell r="V586" t="str">
            <v>RESUME LOADING LOOSEBAG</v>
          </cell>
          <cell r="X586">
            <v>0.33333333333333331</v>
          </cell>
          <cell r="Y586" t="str">
            <v>UNABLE TO RESUME LOADING</v>
          </cell>
          <cell r="AA586">
            <v>0.37152777777777779</v>
          </cell>
          <cell r="AB586" t="str">
            <v>CONTINUE LOADING SLING</v>
          </cell>
          <cell r="AD586">
            <v>0.33333333333333331</v>
          </cell>
          <cell r="AE586" t="str">
            <v>WAITING VESSEL</v>
          </cell>
          <cell r="AG586">
            <v>0.33333333333333331</v>
          </cell>
          <cell r="AH586" t="str">
            <v>WAITING VESSEL</v>
          </cell>
        </row>
        <row r="587">
          <cell r="C587">
            <v>0.375</v>
          </cell>
          <cell r="D587" t="str">
            <v>WAITING VESSEL</v>
          </cell>
          <cell r="F587">
            <v>0.375</v>
          </cell>
          <cell r="G587" t="str">
            <v xml:space="preserve">WAITNG BOOKING </v>
          </cell>
          <cell r="I587">
            <v>0.375</v>
          </cell>
          <cell r="J587" t="str">
            <v>WAITING VESSEL</v>
          </cell>
          <cell r="L587">
            <v>0.38124999999999998</v>
          </cell>
          <cell r="M587" t="str">
            <v>CONTINUE LOADING SLING</v>
          </cell>
          <cell r="O587">
            <v>0.4284722222222222</v>
          </cell>
          <cell r="P587" t="str">
            <v>CONTINUE LOADING SLING</v>
          </cell>
          <cell r="R587">
            <v>0.375</v>
          </cell>
          <cell r="S587" t="str">
            <v>WAITING VESSEL</v>
          </cell>
          <cell r="U587">
            <v>0.34861111111111109</v>
          </cell>
          <cell r="V587" t="str">
            <v>CONTINUE LOADDING LOOSEBAG</v>
          </cell>
          <cell r="X587">
            <v>0.375</v>
          </cell>
          <cell r="Y587" t="str">
            <v>UNABLE TO RESUME LOADING</v>
          </cell>
          <cell r="AA587">
            <v>0.34027777777777779</v>
          </cell>
          <cell r="AB587" t="str">
            <v>CONTINUE LOADING SLING</v>
          </cell>
          <cell r="AD587">
            <v>0.375</v>
          </cell>
          <cell r="AE587" t="str">
            <v>WAITING VESSEL</v>
          </cell>
          <cell r="AG587">
            <v>0.375</v>
          </cell>
          <cell r="AH587" t="str">
            <v>WAITING VESSEL</v>
          </cell>
        </row>
        <row r="588">
          <cell r="C588">
            <v>0.41666666666666669</v>
          </cell>
          <cell r="D588" t="str">
            <v>WAITING VESSEL</v>
          </cell>
          <cell r="F588">
            <v>0.41666666666666669</v>
          </cell>
          <cell r="G588" t="str">
            <v xml:space="preserve">WAITNG BOOKING </v>
          </cell>
          <cell r="I588">
            <v>0.41666666666666669</v>
          </cell>
          <cell r="J588" t="str">
            <v>WAITING VESSEL</v>
          </cell>
          <cell r="L588">
            <v>0.39166666666666666</v>
          </cell>
          <cell r="M588" t="str">
            <v>CONTINUE LOADING SLING</v>
          </cell>
          <cell r="O588">
            <v>0.44930555555555557</v>
          </cell>
          <cell r="P588" t="str">
            <v>CONTINUE LOADING SLING</v>
          </cell>
          <cell r="R588">
            <v>0.41666666666666669</v>
          </cell>
          <cell r="S588" t="str">
            <v>WAITING VESSEL</v>
          </cell>
          <cell r="U588">
            <v>0.42083333333333334</v>
          </cell>
          <cell r="V588" t="str">
            <v>CONTINUE LOADING LOOSEBAG</v>
          </cell>
          <cell r="X588">
            <v>0.41666666666666669</v>
          </cell>
          <cell r="Y588" t="str">
            <v>UNABLE TO RESUME LOADING</v>
          </cell>
          <cell r="AA588">
            <v>0.4513888888888889</v>
          </cell>
          <cell r="AB588" t="str">
            <v>CONTINUE LOADING TONNER</v>
          </cell>
          <cell r="AD588">
            <v>0.41666666666666669</v>
          </cell>
          <cell r="AE588" t="str">
            <v>WAITING VESSEL</v>
          </cell>
          <cell r="AG588">
            <v>0.41666666666666669</v>
          </cell>
          <cell r="AH588" t="str">
            <v>WAITING VESSEL</v>
          </cell>
        </row>
        <row r="589">
          <cell r="C589">
            <v>0.45833333333333331</v>
          </cell>
          <cell r="D589" t="str">
            <v>WAITING VESSEL</v>
          </cell>
          <cell r="F589">
            <v>0.45833333333333331</v>
          </cell>
          <cell r="G589" t="str">
            <v xml:space="preserve">WAITNG BOOKING </v>
          </cell>
          <cell r="I589">
            <v>0.45833333333333331</v>
          </cell>
          <cell r="J589" t="str">
            <v>WAITING VESSEL</v>
          </cell>
          <cell r="L589">
            <v>0.41249999999999998</v>
          </cell>
          <cell r="M589" t="str">
            <v>CONTINUE LOADING SLING</v>
          </cell>
          <cell r="O589">
            <v>0.54166666666666663</v>
          </cell>
          <cell r="P589" t="str">
            <v>WAITING ASSIST SHORECRANE</v>
          </cell>
          <cell r="R589">
            <v>0.45833333333333331</v>
          </cell>
          <cell r="S589" t="str">
            <v>WAITING VESSEL</v>
          </cell>
          <cell r="U589">
            <v>0.56666666666666665</v>
          </cell>
          <cell r="V589" t="str">
            <v>CONTINUE LOADING LOOSEBAG</v>
          </cell>
          <cell r="X589">
            <v>0.45833333333333331</v>
          </cell>
          <cell r="Y589" t="str">
            <v>UNABLE TO RESUME LOADING</v>
          </cell>
          <cell r="AA589">
            <v>0.58402777777777781</v>
          </cell>
          <cell r="AB589" t="str">
            <v>CONTINUE LOADING TONNER</v>
          </cell>
          <cell r="AD589">
            <v>0.45833333333333331</v>
          </cell>
          <cell r="AE589" t="str">
            <v>WAITING VESSEL</v>
          </cell>
          <cell r="AG589">
            <v>0.45833333333333331</v>
          </cell>
          <cell r="AH589" t="str">
            <v>WAITING VESSEL</v>
          </cell>
        </row>
        <row r="590">
          <cell r="C590" t="str">
            <v>12;00</v>
          </cell>
          <cell r="D590" t="str">
            <v>WAITING VESSEL</v>
          </cell>
          <cell r="F590">
            <v>0.5</v>
          </cell>
          <cell r="G590" t="str">
            <v xml:space="preserve">WAITNG BOOKING </v>
          </cell>
          <cell r="I590">
            <v>0.5</v>
          </cell>
          <cell r="J590" t="str">
            <v>WAITING VESSEL</v>
          </cell>
          <cell r="L590">
            <v>0.43472222222222223</v>
          </cell>
          <cell r="M590" t="str">
            <v>CONTINUE LOADING SLING</v>
          </cell>
          <cell r="O590">
            <v>0.5625</v>
          </cell>
          <cell r="P590" t="str">
            <v>WAITING LAPU LAPU DRIVER</v>
          </cell>
          <cell r="R590">
            <v>0.5</v>
          </cell>
          <cell r="S590" t="str">
            <v>WAITING VESSEL</v>
          </cell>
          <cell r="U590">
            <v>0.62777777777777777</v>
          </cell>
          <cell r="V590" t="str">
            <v>CONTINUE LOADING LOOSEBAG</v>
          </cell>
          <cell r="X590">
            <v>0.5</v>
          </cell>
          <cell r="Y590" t="str">
            <v>UNABLE TO RESUME LOADING</v>
          </cell>
          <cell r="AA590">
            <v>0.56041666666666667</v>
          </cell>
          <cell r="AB590" t="str">
            <v>CONTINUE LOADING TONNER</v>
          </cell>
          <cell r="AD590">
            <v>0.5</v>
          </cell>
          <cell r="AE590" t="str">
            <v>WAITING VESSEL</v>
          </cell>
          <cell r="AG590">
            <v>0.5</v>
          </cell>
          <cell r="AH590" t="str">
            <v>WAITING VESSEL</v>
          </cell>
        </row>
        <row r="591">
          <cell r="C591">
            <v>0.54166666666666663</v>
          </cell>
          <cell r="D591" t="str">
            <v>WAITING VESSEL</v>
          </cell>
          <cell r="F591">
            <v>0.54166666666666663</v>
          </cell>
          <cell r="G591" t="str">
            <v xml:space="preserve">WAITNG BOOKING </v>
          </cell>
          <cell r="I591">
            <v>0.54166666666666663</v>
          </cell>
          <cell r="J591" t="str">
            <v>WAITING VESSEL</v>
          </cell>
          <cell r="L591">
            <v>0.44444444444444442</v>
          </cell>
          <cell r="M591" t="str">
            <v>VESSEL COMPLETE</v>
          </cell>
          <cell r="O591">
            <v>0.62083333333333335</v>
          </cell>
          <cell r="P591" t="str">
            <v>RESUME LOADING SLING</v>
          </cell>
          <cell r="R591">
            <v>0.54166666666666663</v>
          </cell>
          <cell r="S591" t="str">
            <v>WAITING VESSEL</v>
          </cell>
          <cell r="U591">
            <v>0.69097222222222221</v>
          </cell>
          <cell r="V591" t="str">
            <v>CONTINUE LOADING LOOSEBAG</v>
          </cell>
          <cell r="X591">
            <v>0.54166666666666663</v>
          </cell>
          <cell r="Y591" t="str">
            <v>UNABLE TO RESUME LOADING</v>
          </cell>
          <cell r="AA591">
            <v>0.60624999999999996</v>
          </cell>
          <cell r="AB591" t="str">
            <v>CONTINUE LOADING TONNER</v>
          </cell>
          <cell r="AD591">
            <v>0.54166666666666663</v>
          </cell>
          <cell r="AE591" t="str">
            <v>WAITING VESSEL</v>
          </cell>
          <cell r="AG591">
            <v>0.54166666666666663</v>
          </cell>
          <cell r="AH591" t="str">
            <v>WAITING VESSEL</v>
          </cell>
        </row>
        <row r="592">
          <cell r="C592" t="str">
            <v xml:space="preserve"> </v>
          </cell>
          <cell r="D592" t="str">
            <v xml:space="preserve"> </v>
          </cell>
          <cell r="F592">
            <v>0.79166666666666663</v>
          </cell>
          <cell r="G592" t="str">
            <v>NO BOOKING</v>
          </cell>
          <cell r="I592" t="str">
            <v xml:space="preserve"> </v>
          </cell>
          <cell r="J592" t="str">
            <v xml:space="preserve"> </v>
          </cell>
          <cell r="L592" t="str">
            <v xml:space="preserve"> </v>
          </cell>
          <cell r="M592" t="str">
            <v xml:space="preserve"> </v>
          </cell>
          <cell r="O592">
            <v>0.63888888888888884</v>
          </cell>
          <cell r="P592" t="str">
            <v>CONTINUE LOADING TONNER</v>
          </cell>
          <cell r="R592" t="str">
            <v xml:space="preserve"> </v>
          </cell>
          <cell r="S592" t="str">
            <v xml:space="preserve"> </v>
          </cell>
          <cell r="U592">
            <v>0.79166666666666663</v>
          </cell>
          <cell r="V592" t="str">
            <v>KY TOOLBOX</v>
          </cell>
          <cell r="X592">
            <v>0.79166666666666663</v>
          </cell>
          <cell r="Y592" t="str">
            <v>KY TOOLBOX</v>
          </cell>
          <cell r="AA592">
            <v>0.65138888888888891</v>
          </cell>
          <cell r="AB592" t="str">
            <v>CONTINUE LOADING TONNER</v>
          </cell>
          <cell r="AD592" t="str">
            <v xml:space="preserve"> </v>
          </cell>
          <cell r="AE592" t="str">
            <v xml:space="preserve"> </v>
          </cell>
          <cell r="AG592" t="str">
            <v xml:space="preserve"> </v>
          </cell>
          <cell r="AH592" t="str">
            <v xml:space="preserve">  </v>
          </cell>
        </row>
        <row r="593">
          <cell r="O593">
            <v>0.79166666666666663</v>
          </cell>
          <cell r="P593" t="str">
            <v>KY TOOLBOX</v>
          </cell>
          <cell r="R593" t="str">
            <v xml:space="preserve"> </v>
          </cell>
          <cell r="U593">
            <v>0.84722222222222221</v>
          </cell>
          <cell r="V593" t="str">
            <v>RESUME LOADING</v>
          </cell>
          <cell r="X593">
            <v>0.88194444444444442</v>
          </cell>
          <cell r="Y593" t="str">
            <v xml:space="preserve">COMMEN CE LOADING </v>
          </cell>
          <cell r="AA593">
            <v>0.6694444444444444</v>
          </cell>
          <cell r="AB593" t="str">
            <v>VESSEL COMPLETE LOADING</v>
          </cell>
        </row>
        <row r="594">
          <cell r="O594">
            <v>0.85763888888888884</v>
          </cell>
          <cell r="P594" t="str">
            <v xml:space="preserve">RESUME LOADING </v>
          </cell>
          <cell r="U594">
            <v>0.86111111111111116</v>
          </cell>
          <cell r="V594" t="str">
            <v xml:space="preserve">CONTINUE LOADING </v>
          </cell>
          <cell r="X594">
            <v>0.8979166666666667</v>
          </cell>
          <cell r="Y594" t="str">
            <v xml:space="preserve">CONTINUE LOADING </v>
          </cell>
          <cell r="AA594">
            <v>0.1875</v>
          </cell>
          <cell r="AB594" t="str">
            <v>VESSEL PULLOUT</v>
          </cell>
        </row>
        <row r="595">
          <cell r="O595">
            <v>0.90208333333333335</v>
          </cell>
          <cell r="P595" t="str">
            <v xml:space="preserve">CONTINUE LOADING </v>
          </cell>
          <cell r="U595">
            <v>0.89583333333333337</v>
          </cell>
          <cell r="V595" t="str">
            <v xml:space="preserve">ONGOING LOADING </v>
          </cell>
          <cell r="X595">
            <v>0.92013888888888884</v>
          </cell>
          <cell r="Y595" t="str">
            <v xml:space="preserve">ONGOING LOADING </v>
          </cell>
        </row>
        <row r="596">
          <cell r="O596">
            <v>0.92986111111111114</v>
          </cell>
          <cell r="P596" t="str">
            <v>ONGOING LOADING</v>
          </cell>
          <cell r="U596">
            <v>0.91111111111111109</v>
          </cell>
          <cell r="V596" t="str">
            <v xml:space="preserve">ONGOING LOADING </v>
          </cell>
          <cell r="X596">
            <v>0.9375</v>
          </cell>
          <cell r="Y596" t="str">
            <v xml:space="preserve">CONTINUE LOADING </v>
          </cell>
        </row>
        <row r="597">
          <cell r="O597">
            <v>0.97291666666666665</v>
          </cell>
          <cell r="P597" t="str">
            <v xml:space="preserve">CONTINUE LOADING </v>
          </cell>
          <cell r="U597">
            <v>0.9291666666666667</v>
          </cell>
          <cell r="V597" t="str">
            <v xml:space="preserve">CONTINUE LOADING </v>
          </cell>
          <cell r="X597">
            <v>0.96527777777777779</v>
          </cell>
          <cell r="Y597" t="str">
            <v xml:space="preserve">ONGOING LOADING </v>
          </cell>
        </row>
        <row r="598">
          <cell r="O598">
            <v>0</v>
          </cell>
          <cell r="P598" t="str">
            <v>STEVEDORES BREAK</v>
          </cell>
          <cell r="U598">
            <v>0.94930555555555551</v>
          </cell>
          <cell r="V598" t="str">
            <v xml:space="preserve">ONGOING LOADING </v>
          </cell>
          <cell r="X598">
            <v>0.98958333333333337</v>
          </cell>
          <cell r="Y598" t="str">
            <v xml:space="preserve">CONTINUE LOADING </v>
          </cell>
        </row>
        <row r="599">
          <cell r="O599">
            <v>5.6944444444444443E-2</v>
          </cell>
          <cell r="P599" t="str">
            <v xml:space="preserve">RESUME LOADING </v>
          </cell>
          <cell r="U599">
            <v>0.97430555555555554</v>
          </cell>
          <cell r="V599" t="str">
            <v>CONTINUE LOADING</v>
          </cell>
          <cell r="X599">
            <v>0</v>
          </cell>
          <cell r="Y599" t="str">
            <v>STEVEDORES BREAK</v>
          </cell>
        </row>
        <row r="600">
          <cell r="O600">
            <v>8.9583333333333334E-2</v>
          </cell>
          <cell r="P600" t="str">
            <v xml:space="preserve">CONTINUE LOADING </v>
          </cell>
          <cell r="U600">
            <v>0</v>
          </cell>
          <cell r="V600" t="str">
            <v>STEVEDORES BREAK</v>
          </cell>
          <cell r="X600">
            <v>5.7638888888888892E-2</v>
          </cell>
          <cell r="Y600" t="str">
            <v xml:space="preserve">RESUME LOADING </v>
          </cell>
        </row>
        <row r="601">
          <cell r="O601">
            <v>0.12569444444444444</v>
          </cell>
          <cell r="P601" t="str">
            <v>ONGOING LOADING</v>
          </cell>
          <cell r="U601">
            <v>5.7638888888888892E-2</v>
          </cell>
          <cell r="V601" t="str">
            <v xml:space="preserve">RESUME LOADING </v>
          </cell>
          <cell r="X601">
            <v>8.6805555555555552E-2</v>
          </cell>
          <cell r="Y601" t="str">
            <v xml:space="preserve">CONTINUE LOADING </v>
          </cell>
        </row>
        <row r="602">
          <cell r="O602">
            <v>0.14583333333333334</v>
          </cell>
          <cell r="P602" t="str">
            <v xml:space="preserve">CONTINUE LOADING </v>
          </cell>
          <cell r="U602">
            <v>8.1944444444444445E-2</v>
          </cell>
          <cell r="V602" t="str">
            <v xml:space="preserve">CONTINUE LOADING </v>
          </cell>
          <cell r="X602">
            <v>0.1111111111111111</v>
          </cell>
          <cell r="Y602" t="str">
            <v xml:space="preserve">ONGOING LOADING </v>
          </cell>
        </row>
        <row r="603">
          <cell r="O603">
            <v>0.1701388888888889</v>
          </cell>
          <cell r="P603" t="str">
            <v>ONGOING LOADING</v>
          </cell>
          <cell r="U603">
            <v>0.11944444444444445</v>
          </cell>
          <cell r="V603" t="str">
            <v xml:space="preserve">ONGOING LOADING </v>
          </cell>
          <cell r="X603">
            <v>0.13402777777777777</v>
          </cell>
          <cell r="Y603" t="str">
            <v xml:space="preserve">CONTINUE LOADING </v>
          </cell>
        </row>
        <row r="604">
          <cell r="O604">
            <v>0.19583333333333333</v>
          </cell>
          <cell r="P604" t="str">
            <v xml:space="preserve">CONTINUE LOADING </v>
          </cell>
          <cell r="U604">
            <v>0.16527777777777777</v>
          </cell>
          <cell r="V604" t="str">
            <v xml:space="preserve">CONTINUE LOADING </v>
          </cell>
          <cell r="X604">
            <v>0.16666666666666666</v>
          </cell>
          <cell r="Y604" t="str">
            <v xml:space="preserve">ONGOING LOADING </v>
          </cell>
        </row>
        <row r="605">
          <cell r="O605">
            <v>0.22361111111111112</v>
          </cell>
          <cell r="P605" t="str">
            <v>ONGOING LOADING</v>
          </cell>
          <cell r="U605">
            <v>0.19722222222222222</v>
          </cell>
          <cell r="V605" t="str">
            <v xml:space="preserve">ONGOING LOADING </v>
          </cell>
          <cell r="X605">
            <v>0.19513888888888889</v>
          </cell>
          <cell r="Y605" t="str">
            <v xml:space="preserve">CONTINUE LOADING </v>
          </cell>
        </row>
        <row r="606">
          <cell r="O606">
            <v>0.24305555555555555</v>
          </cell>
          <cell r="P606" t="str">
            <v xml:space="preserve">CONTINUE LOADING </v>
          </cell>
          <cell r="U606">
            <v>0.25</v>
          </cell>
          <cell r="V606" t="str">
            <v>VESSEL BREAK</v>
          </cell>
          <cell r="X606">
            <v>0.25</v>
          </cell>
          <cell r="Y606" t="str">
            <v>VESSEL BREAK</v>
          </cell>
        </row>
        <row r="607">
          <cell r="O607">
            <v>0.25555555555555554</v>
          </cell>
          <cell r="P607" t="str">
            <v>LOADING COMPLETE</v>
          </cell>
        </row>
        <row r="608">
          <cell r="D608" t="str">
            <v>VACANT</v>
          </cell>
          <cell r="G608" t="str">
            <v>EFG 7</v>
          </cell>
          <cell r="J608" t="str">
            <v>VACANT</v>
          </cell>
          <cell r="M608" t="str">
            <v>VACANT</v>
          </cell>
          <cell r="P608" t="str">
            <v>VACANT</v>
          </cell>
          <cell r="S608" t="str">
            <v>VACANT</v>
          </cell>
          <cell r="V608" t="str">
            <v>ADOLFO SR.</v>
          </cell>
          <cell r="Y608" t="str">
            <v>EFG 5</v>
          </cell>
          <cell r="AB608" t="str">
            <v>VACANT</v>
          </cell>
          <cell r="AE608" t="str">
            <v>VACANT</v>
          </cell>
          <cell r="AH608" t="str">
            <v>VACANT</v>
          </cell>
        </row>
        <row r="609">
          <cell r="C609">
            <v>0.29166666666666669</v>
          </cell>
          <cell r="D609" t="str">
            <v>WAITING VESSEL</v>
          </cell>
          <cell r="F609">
            <v>0.29166666666666669</v>
          </cell>
          <cell r="G609" t="str">
            <v>NO BOOKING</v>
          </cell>
          <cell r="I609">
            <v>0.29166666666666669</v>
          </cell>
          <cell r="J609" t="str">
            <v>WAITING VESSEL</v>
          </cell>
          <cell r="L609">
            <v>0.29166666666666669</v>
          </cell>
          <cell r="M609" t="str">
            <v>WAITING VESSEL</v>
          </cell>
          <cell r="O609">
            <v>0.29166666666666669</v>
          </cell>
          <cell r="P609" t="str">
            <v>WAITING VESSEL</v>
          </cell>
          <cell r="R609">
            <v>0.29166666666666669</v>
          </cell>
          <cell r="S609" t="str">
            <v>WAITING VESSEL</v>
          </cell>
          <cell r="U609">
            <v>0.29166666666666669</v>
          </cell>
          <cell r="V609" t="str">
            <v xml:space="preserve">KY TOOL </v>
          </cell>
          <cell r="X609">
            <v>0.29166666666666669</v>
          </cell>
          <cell r="Y609" t="str">
            <v>KY TOOLBOX</v>
          </cell>
          <cell r="AA609">
            <v>0.29166666666666669</v>
          </cell>
          <cell r="AB609" t="str">
            <v>WAITING VESSEL</v>
          </cell>
          <cell r="AD609">
            <v>0.29166666666666669</v>
          </cell>
          <cell r="AE609" t="str">
            <v>WAITIING VESSEL</v>
          </cell>
          <cell r="AG609">
            <v>0.29166666666666669</v>
          </cell>
          <cell r="AH609" t="str">
            <v>WAITING VESSEL</v>
          </cell>
        </row>
        <row r="610">
          <cell r="G610" t="str">
            <v>NO BOOKING</v>
          </cell>
          <cell r="U610">
            <v>0.31944444444444442</v>
          </cell>
          <cell r="V610" t="str">
            <v>CONTINUE LOADING LOOSEBAG</v>
          </cell>
          <cell r="X610">
            <v>0.31319444444444444</v>
          </cell>
          <cell r="Y610" t="str">
            <v xml:space="preserve">CONTINUE LOADING </v>
          </cell>
        </row>
        <row r="611">
          <cell r="G611" t="str">
            <v>NO BOOKING</v>
          </cell>
          <cell r="U611">
            <v>0.34166666666666667</v>
          </cell>
          <cell r="V611" t="str">
            <v>CONTINUE LOADING LOOSEBAG</v>
          </cell>
          <cell r="X611">
            <v>0.38055555555555554</v>
          </cell>
          <cell r="Y611" t="str">
            <v xml:space="preserve">CONTINUE LOADING </v>
          </cell>
        </row>
        <row r="612">
          <cell r="G612" t="str">
            <v>NO BOOKING</v>
          </cell>
          <cell r="U612">
            <v>0.4201388888888889</v>
          </cell>
          <cell r="V612" t="str">
            <v>CONTINUE LOADING LOOSEBAG</v>
          </cell>
          <cell r="X612">
            <v>0.40972222222222221</v>
          </cell>
          <cell r="Y612" t="str">
            <v xml:space="preserve">CONTINUE LOADING </v>
          </cell>
        </row>
        <row r="613">
          <cell r="G613" t="str">
            <v>NO BOOKING</v>
          </cell>
          <cell r="U613">
            <v>0.47916666666666669</v>
          </cell>
          <cell r="V613" t="str">
            <v>CONTINUE LOADING LOOSEBAG</v>
          </cell>
          <cell r="X613">
            <v>0.4201388888888889</v>
          </cell>
          <cell r="Y613" t="str">
            <v xml:space="preserve">CONTINUE LOADING </v>
          </cell>
        </row>
        <row r="614">
          <cell r="G614" t="str">
            <v>NO BOOKING</v>
          </cell>
          <cell r="U614">
            <v>0.5</v>
          </cell>
          <cell r="V614" t="str">
            <v>LUNCH BREAK</v>
          </cell>
          <cell r="X614">
            <v>0.46111111111111114</v>
          </cell>
          <cell r="Y614" t="str">
            <v xml:space="preserve">CONTINUE LOADING  </v>
          </cell>
        </row>
        <row r="615">
          <cell r="G615" t="str">
            <v>NO BOOKING</v>
          </cell>
          <cell r="U615">
            <v>0.57291666666666663</v>
          </cell>
          <cell r="V615" t="str">
            <v>CONTINUE LOADING LOOSEBAG</v>
          </cell>
          <cell r="X615">
            <v>0.5</v>
          </cell>
          <cell r="Y615" t="str">
            <v>LUNCH BREAK</v>
          </cell>
        </row>
        <row r="616">
          <cell r="G616" t="str">
            <v>NO BOOKING</v>
          </cell>
          <cell r="U616">
            <v>0.61458333333333337</v>
          </cell>
          <cell r="V616" t="str">
            <v xml:space="preserve">CONTINUE LOADING </v>
          </cell>
          <cell r="X616">
            <v>0.56180555555555556</v>
          </cell>
          <cell r="Y616" t="str">
            <v>CONTINUE LOADING</v>
          </cell>
        </row>
        <row r="617">
          <cell r="G617" t="str">
            <v>NO BOOKING</v>
          </cell>
          <cell r="U617">
            <v>0.63055555555555554</v>
          </cell>
          <cell r="V617" t="str">
            <v xml:space="preserve">CONTINUE LOADING </v>
          </cell>
          <cell r="X617">
            <v>0.58819444444444446</v>
          </cell>
          <cell r="Y617" t="str">
            <v xml:space="preserve">CONTINUE LOADING </v>
          </cell>
        </row>
        <row r="618">
          <cell r="U618">
            <v>0.67013888888888884</v>
          </cell>
          <cell r="V618" t="str">
            <v>CONTINUE LOADING</v>
          </cell>
          <cell r="X618">
            <v>0.62847222222222221</v>
          </cell>
          <cell r="Y618" t="str">
            <v xml:space="preserve">CONTINUE LOADING </v>
          </cell>
        </row>
        <row r="619">
          <cell r="U619">
            <v>0.72013888888888888</v>
          </cell>
          <cell r="V619" t="str">
            <v xml:space="preserve">CONTINUE LOADING </v>
          </cell>
          <cell r="X619">
            <v>0.66666666666666663</v>
          </cell>
          <cell r="Y619" t="str">
            <v xml:space="preserve">CONTINUE LOADING </v>
          </cell>
        </row>
        <row r="620">
          <cell r="U620">
            <v>0.75694444444444442</v>
          </cell>
          <cell r="V620" t="str">
            <v>VESSEL COMPLETE LOADING</v>
          </cell>
          <cell r="X620">
            <v>0.72847222222222219</v>
          </cell>
          <cell r="Y620" t="str">
            <v>VESSEL COMPLETE LOADING</v>
          </cell>
        </row>
        <row r="622">
          <cell r="D622" t="str">
            <v>VACANT</v>
          </cell>
          <cell r="G622" t="str">
            <v>EFG 7</v>
          </cell>
          <cell r="J622" t="str">
            <v>VACANT</v>
          </cell>
          <cell r="M622" t="str">
            <v>VACANT</v>
          </cell>
          <cell r="P622" t="str">
            <v>YUMI II</v>
          </cell>
          <cell r="S622" t="str">
            <v>EMERALD STAR</v>
          </cell>
          <cell r="V622" t="str">
            <v>STAR ILIGAN</v>
          </cell>
          <cell r="Y622" t="str">
            <v>VACANT</v>
          </cell>
          <cell r="AB622" t="str">
            <v>SALVACION VI</v>
          </cell>
          <cell r="AE622" t="str">
            <v>QUEEN CAROYLN</v>
          </cell>
          <cell r="AH622" t="str">
            <v>VACANT</v>
          </cell>
        </row>
        <row r="623">
          <cell r="C623">
            <v>0.29166666666666669</v>
          </cell>
          <cell r="D623" t="str">
            <v>WAITING VESSEL</v>
          </cell>
          <cell r="F623">
            <v>0.29166666666666669</v>
          </cell>
          <cell r="G623" t="str">
            <v>NO BOOKING</v>
          </cell>
          <cell r="I623">
            <v>0.29166666666666669</v>
          </cell>
          <cell r="J623" t="str">
            <v>WAITING VESSEL</v>
          </cell>
          <cell r="L623">
            <v>0.29166666666666669</v>
          </cell>
          <cell r="M623" t="str">
            <v>WAITING VESSEL</v>
          </cell>
          <cell r="O623">
            <v>0.29166666666666669</v>
          </cell>
          <cell r="P623" t="str">
            <v>WAITING VESSEL</v>
          </cell>
          <cell r="R623">
            <v>0.29166666666666669</v>
          </cell>
          <cell r="S623" t="str">
            <v>WAITING VESSEL</v>
          </cell>
          <cell r="U623">
            <v>0.29166666666666669</v>
          </cell>
          <cell r="V623" t="str">
            <v>WAITING VESSEL</v>
          </cell>
          <cell r="AA623">
            <v>0.29166666666666669</v>
          </cell>
          <cell r="AB623" t="str">
            <v>WAITING VESSEL</v>
          </cell>
          <cell r="AD623">
            <v>0.29166666666666669</v>
          </cell>
          <cell r="AE623" t="str">
            <v>WAITING VESSEL</v>
          </cell>
        </row>
        <row r="624">
          <cell r="C624">
            <v>0.54166666666666663</v>
          </cell>
          <cell r="D624" t="str">
            <v>WAITING VESSEL</v>
          </cell>
          <cell r="F624">
            <v>0.54166666666666663</v>
          </cell>
          <cell r="G624" t="str">
            <v>NO BOOKING</v>
          </cell>
          <cell r="I624">
            <v>0.54166666666666663</v>
          </cell>
          <cell r="J624" t="str">
            <v>WAITING VESSEL</v>
          </cell>
          <cell r="L624">
            <v>0.54166666666666663</v>
          </cell>
          <cell r="M624" t="str">
            <v>WAITING VESSEL</v>
          </cell>
          <cell r="O624">
            <v>0.4826388888888889</v>
          </cell>
          <cell r="P624" t="str">
            <v>INCOMING VESSEL</v>
          </cell>
          <cell r="R624">
            <v>0.36249999999999999</v>
          </cell>
          <cell r="S624" t="str">
            <v xml:space="preserve">DOCK AND SECURE </v>
          </cell>
          <cell r="U624">
            <v>0.38194444444444442</v>
          </cell>
          <cell r="V624" t="str">
            <v>DOCK AND SECURE</v>
          </cell>
          <cell r="AA624">
            <v>0.47916666666666669</v>
          </cell>
          <cell r="AB624" t="str">
            <v xml:space="preserve">DOCK AND SECURE </v>
          </cell>
          <cell r="AD624">
            <v>0.4201388888888889</v>
          </cell>
          <cell r="AE624" t="str">
            <v>DOCK AND SECURE</v>
          </cell>
        </row>
        <row r="625">
          <cell r="O625">
            <v>0.52222222222222225</v>
          </cell>
          <cell r="P625" t="str">
            <v xml:space="preserve">DOCKED &amp; SECURED </v>
          </cell>
          <cell r="R625">
            <v>0.54166666666666663</v>
          </cell>
          <cell r="S625" t="str">
            <v>WAITING MATERIAL</v>
          </cell>
          <cell r="U625">
            <v>0.54166666666666663</v>
          </cell>
          <cell r="V625" t="str">
            <v>WAITING MATERIAL</v>
          </cell>
          <cell r="AA625">
            <v>0.54166666666666663</v>
          </cell>
          <cell r="AB625" t="str">
            <v>WAITING MATERIAL</v>
          </cell>
          <cell r="AD625">
            <v>0.54166666666666663</v>
          </cell>
          <cell r="AE625" t="str">
            <v>WAITING MATERIAL</v>
          </cell>
        </row>
        <row r="626">
          <cell r="O626">
            <v>0.54166666666666663</v>
          </cell>
          <cell r="P626" t="str">
            <v>WAITING BOOKING</v>
          </cell>
          <cell r="R626">
            <v>0.5625</v>
          </cell>
          <cell r="S626" t="str">
            <v>CONDUCT KY</v>
          </cell>
          <cell r="U626">
            <v>0.6166666666666667</v>
          </cell>
          <cell r="V626" t="str">
            <v xml:space="preserve">UNABLE TO COMMENCE </v>
          </cell>
          <cell r="AA626">
            <v>0.66666666666666663</v>
          </cell>
          <cell r="AB626" t="str">
            <v>RESUME LOADING</v>
          </cell>
          <cell r="AD626">
            <v>0.5805555555555556</v>
          </cell>
          <cell r="AE626" t="str">
            <v>CONDUCT KY</v>
          </cell>
        </row>
        <row r="627">
          <cell r="R627">
            <v>0.57430555555555551</v>
          </cell>
          <cell r="S627" t="str">
            <v>COMMENCE LAODING SLING</v>
          </cell>
          <cell r="U627">
            <v>0.69791666666666663</v>
          </cell>
          <cell r="V627" t="str">
            <v>RESUME LOADING</v>
          </cell>
          <cell r="AD627">
            <v>0.58333333333333337</v>
          </cell>
          <cell r="AE627" t="str">
            <v>COMMENCE LOADING SLING</v>
          </cell>
        </row>
        <row r="628">
          <cell r="R628">
            <v>0.60416666666666663</v>
          </cell>
          <cell r="S628" t="str">
            <v>CONTINUE LOADING</v>
          </cell>
          <cell r="U628">
            <v>0.72777777777777775</v>
          </cell>
          <cell r="V628" t="str">
            <v>CONTINUE LOADING</v>
          </cell>
          <cell r="AA628">
            <v>0.81944444444444442</v>
          </cell>
          <cell r="AB628" t="str">
            <v xml:space="preserve">RESUME LOADING </v>
          </cell>
          <cell r="AD628">
            <v>0.6166666666666667</v>
          </cell>
          <cell r="AE628" t="str">
            <v xml:space="preserve">STOP LOADING </v>
          </cell>
        </row>
        <row r="629">
          <cell r="R629">
            <v>0.6166666666666667</v>
          </cell>
          <cell r="S629" t="str">
            <v xml:space="preserve">STOP LOADING </v>
          </cell>
          <cell r="U629">
            <v>0.75</v>
          </cell>
          <cell r="V629" t="str">
            <v>VESSEL BREAK</v>
          </cell>
          <cell r="AA629">
            <v>0.875</v>
          </cell>
          <cell r="AB629" t="str">
            <v>CONTINUE LOADING</v>
          </cell>
          <cell r="AD629">
            <v>0.68958333333333333</v>
          </cell>
          <cell r="AE629" t="str">
            <v xml:space="preserve">RESUME LOADING </v>
          </cell>
        </row>
        <row r="630">
          <cell r="R630">
            <v>0.6743055555555556</v>
          </cell>
          <cell r="S630" t="str">
            <v xml:space="preserve">RESUME LOADING </v>
          </cell>
          <cell r="U630" t="str">
            <v>19"35</v>
          </cell>
          <cell r="V630" t="str">
            <v xml:space="preserve">RESUME LOADING </v>
          </cell>
          <cell r="AA630">
            <v>0.91666666666666663</v>
          </cell>
          <cell r="AB630" t="str">
            <v>CONTINUE LOADING</v>
          </cell>
          <cell r="AD630">
            <v>0.72361111111111109</v>
          </cell>
          <cell r="AE630" t="str">
            <v xml:space="preserve">CONTINUE LOADING </v>
          </cell>
        </row>
        <row r="631">
          <cell r="R631">
            <v>0.69791666666666663</v>
          </cell>
          <cell r="S631" t="str">
            <v>CONTINUE LOADING</v>
          </cell>
          <cell r="U631">
            <v>0.875</v>
          </cell>
          <cell r="V631" t="str">
            <v>CONTINUE LOADING</v>
          </cell>
          <cell r="AA631">
            <v>0.99305555555555558</v>
          </cell>
          <cell r="AB631" t="str">
            <v>CONTINUE LOADING</v>
          </cell>
          <cell r="AD631">
            <v>0.75</v>
          </cell>
          <cell r="AE631" t="str">
            <v>VESSEL BREAK</v>
          </cell>
        </row>
        <row r="632">
          <cell r="R632">
            <v>0.75</v>
          </cell>
          <cell r="S632" t="str">
            <v>VESSEL BREAK</v>
          </cell>
          <cell r="U632">
            <v>0.91666666666666663</v>
          </cell>
          <cell r="V632" t="str">
            <v>CONTINUE LOADING</v>
          </cell>
          <cell r="AA632" t="str">
            <v xml:space="preserve">                                                                               </v>
          </cell>
          <cell r="AD632">
            <v>0.81597222222222221</v>
          </cell>
          <cell r="AE632" t="str">
            <v xml:space="preserve">RESUME LOADING </v>
          </cell>
        </row>
        <row r="633">
          <cell r="R633">
            <v>0.8125</v>
          </cell>
          <cell r="S633" t="str">
            <v xml:space="preserve">RESUME LOADING </v>
          </cell>
          <cell r="U633">
            <v>0.95833333333333337</v>
          </cell>
          <cell r="V633" t="str">
            <v>CONTINUE LOADING</v>
          </cell>
        </row>
        <row r="634">
          <cell r="R634">
            <v>0.83333333333333337</v>
          </cell>
          <cell r="S634" t="str">
            <v>BUNKERING</v>
          </cell>
          <cell r="AD634">
            <v>0.83333333333333337</v>
          </cell>
          <cell r="AE634" t="str">
            <v>BUNKERING</v>
          </cell>
        </row>
        <row r="635">
          <cell r="R635">
            <v>0.89583333333333337</v>
          </cell>
          <cell r="S635" t="str">
            <v>BUNKERING</v>
          </cell>
          <cell r="AD635">
            <v>0.875</v>
          </cell>
          <cell r="AE635" t="str">
            <v>BUNKERING</v>
          </cell>
        </row>
        <row r="636">
          <cell r="R636">
            <v>0.91666666666666663</v>
          </cell>
          <cell r="S636" t="str">
            <v xml:space="preserve">RESUME LOADING </v>
          </cell>
          <cell r="AD636">
            <v>0.91666666666666663</v>
          </cell>
          <cell r="AE636" t="str">
            <v>RESUME LOADING</v>
          </cell>
        </row>
        <row r="637">
          <cell r="R637">
            <v>0.95833333333333337</v>
          </cell>
          <cell r="S637" t="str">
            <v>ONBOARD FRKLIFT</v>
          </cell>
          <cell r="AD637">
            <v>0.98958333333333337</v>
          </cell>
          <cell r="AE637" t="str">
            <v>ONBOARD FORKLIFT</v>
          </cell>
        </row>
        <row r="638">
          <cell r="D638" t="str">
            <v>VACANT</v>
          </cell>
          <cell r="G638" t="str">
            <v>EFG 7</v>
          </cell>
          <cell r="J638" t="str">
            <v>NAPOLI</v>
          </cell>
          <cell r="M638" t="str">
            <v>STAR FREEDOM</v>
          </cell>
          <cell r="P638" t="str">
            <v>UMI 2</v>
          </cell>
          <cell r="S638" t="str">
            <v>EMERALD STAR</v>
          </cell>
          <cell r="V638" t="str">
            <v>STAR ILIGAN</v>
          </cell>
          <cell r="Y638" t="str">
            <v>VACANT</v>
          </cell>
          <cell r="AB638" t="str">
            <v>SALVACION VI</v>
          </cell>
          <cell r="AE638" t="str">
            <v>QUEEN CAROLYN</v>
          </cell>
          <cell r="AH638" t="str">
            <v>VACANT</v>
          </cell>
        </row>
        <row r="639">
          <cell r="F639">
            <v>0.29166666666666669</v>
          </cell>
          <cell r="G639" t="str">
            <v>NO BOOKING</v>
          </cell>
          <cell r="I639">
            <v>0.29166666666666669</v>
          </cell>
          <cell r="J639" t="str">
            <v>WAITING MATERIAL</v>
          </cell>
          <cell r="L639">
            <v>0.29166666666666669</v>
          </cell>
          <cell r="M639" t="str">
            <v>WAITING MATERIAL</v>
          </cell>
          <cell r="O639">
            <v>0.29166666666666669</v>
          </cell>
          <cell r="P639" t="str">
            <v>NO BOOKING</v>
          </cell>
          <cell r="R639">
            <v>0.29166666666666669</v>
          </cell>
          <cell r="S639" t="str">
            <v>KY TOOLBOX</v>
          </cell>
          <cell r="U639">
            <v>0.29166666666666669</v>
          </cell>
          <cell r="V639" t="str">
            <v>KY TOOLBOX</v>
          </cell>
          <cell r="AA639">
            <v>0.29166666666666669</v>
          </cell>
          <cell r="AB639" t="str">
            <v>KY TOOLBOX</v>
          </cell>
          <cell r="AD639">
            <v>0.29166666666666669</v>
          </cell>
          <cell r="AE639" t="str">
            <v>WAITING MATERIAL</v>
          </cell>
        </row>
        <row r="640">
          <cell r="I640">
            <v>0.57638888888888884</v>
          </cell>
          <cell r="J640" t="str">
            <v xml:space="preserve">COMMENCE LOADING </v>
          </cell>
          <cell r="L640">
            <v>0.41666666666666669</v>
          </cell>
          <cell r="M640" t="str">
            <v>UNABLE TO COMMENCE</v>
          </cell>
          <cell r="R640">
            <v>0.35208333333333336</v>
          </cell>
          <cell r="S640" t="str">
            <v xml:space="preserve">RESUME LOADING </v>
          </cell>
          <cell r="U640">
            <v>0.34236111111111112</v>
          </cell>
          <cell r="V640" t="str">
            <v xml:space="preserve">RESUME LOADING </v>
          </cell>
          <cell r="AA640">
            <v>0.3347222222222222</v>
          </cell>
          <cell r="AB640" t="str">
            <v xml:space="preserve">RESUME LOADING </v>
          </cell>
          <cell r="AD640">
            <v>0.40069444444444446</v>
          </cell>
          <cell r="AE640" t="str">
            <v>RESUME LOADING</v>
          </cell>
        </row>
        <row r="641">
          <cell r="F641" t="str">
            <v xml:space="preserve">  </v>
          </cell>
          <cell r="I641" t="str">
            <v xml:space="preserve"> 14:38</v>
          </cell>
          <cell r="J641" t="str">
            <v xml:space="preserve">CONTINUE LOADING </v>
          </cell>
          <cell r="L641">
            <v>0.55902777777777779</v>
          </cell>
          <cell r="M641" t="str">
            <v xml:space="preserve">RESUME LOADING </v>
          </cell>
          <cell r="R641">
            <v>0.3840277777777778</v>
          </cell>
          <cell r="S641" t="str">
            <v>CONTINUE LOADING</v>
          </cell>
          <cell r="U641">
            <v>0.36319444444444443</v>
          </cell>
          <cell r="V641" t="str">
            <v>CONTINUE LOADING</v>
          </cell>
          <cell r="AA641">
            <v>0.3576388888888889</v>
          </cell>
          <cell r="AB641" t="str">
            <v xml:space="preserve">CONTINUE LOADING </v>
          </cell>
          <cell r="AD641">
            <v>0.41805555555555557</v>
          </cell>
          <cell r="AE641" t="str">
            <v>WAITING MATERIAL</v>
          </cell>
        </row>
        <row r="642">
          <cell r="F642" t="str">
            <v xml:space="preserve">  </v>
          </cell>
          <cell r="I642">
            <v>0.62638888888888888</v>
          </cell>
          <cell r="J642" t="str">
            <v xml:space="preserve">TEMP. STOP LOADING </v>
          </cell>
          <cell r="L642">
            <v>0.57361111111111107</v>
          </cell>
          <cell r="M642" t="str">
            <v>CONTINUE LOADING</v>
          </cell>
          <cell r="R642">
            <v>0.43055555555555558</v>
          </cell>
          <cell r="S642" t="str">
            <v xml:space="preserve">STOP LOADING </v>
          </cell>
          <cell r="U642">
            <v>0.43055555555555558</v>
          </cell>
          <cell r="V642" t="str">
            <v xml:space="preserve">STOP LOADING </v>
          </cell>
          <cell r="AA642">
            <v>0.40277777777777779</v>
          </cell>
          <cell r="AB642" t="str">
            <v xml:space="preserve">ONGOING LOADING </v>
          </cell>
          <cell r="AD642">
            <v>0.55763888888888891</v>
          </cell>
          <cell r="AE642" t="str">
            <v>RESUME LOADING</v>
          </cell>
        </row>
        <row r="643">
          <cell r="I643">
            <v>0.66666666666666663</v>
          </cell>
          <cell r="J643" t="str">
            <v xml:space="preserve">RESUME LOADING </v>
          </cell>
          <cell r="L643">
            <v>0.60416666666666663</v>
          </cell>
          <cell r="M643" t="str">
            <v xml:space="preserve">TEMP. STOP LOADING </v>
          </cell>
          <cell r="R643">
            <v>0.54166666666666663</v>
          </cell>
          <cell r="S643" t="str">
            <v>UNABLE TO RESUME</v>
          </cell>
          <cell r="U643">
            <v>0.55486111111111114</v>
          </cell>
          <cell r="V643" t="str">
            <v xml:space="preserve">RESUME LOADING </v>
          </cell>
          <cell r="AA643">
            <v>0.43055555555555558</v>
          </cell>
          <cell r="AB643" t="str">
            <v xml:space="preserve">STOP LOADING </v>
          </cell>
          <cell r="AD643">
            <v>0.59583333333333333</v>
          </cell>
          <cell r="AE643" t="str">
            <v xml:space="preserve">CONTINUE LOADING </v>
          </cell>
        </row>
        <row r="644">
          <cell r="L644">
            <v>0.66319444444444442</v>
          </cell>
          <cell r="M644" t="str">
            <v xml:space="preserve">RESUME LOADING </v>
          </cell>
          <cell r="R644">
            <v>0.68541666666666667</v>
          </cell>
          <cell r="S644" t="str">
            <v xml:space="preserve">RESUME LOADING </v>
          </cell>
          <cell r="U644">
            <v>0.5756944444444444</v>
          </cell>
          <cell r="V644" t="str">
            <v>CONTINUE LOADING</v>
          </cell>
          <cell r="AA644">
            <v>0.54652777777777772</v>
          </cell>
          <cell r="AB644" t="str">
            <v xml:space="preserve">RESUME LOADING </v>
          </cell>
          <cell r="AD644">
            <v>0.625</v>
          </cell>
          <cell r="AE644" t="str">
            <v>TEMP. STOP LOADING</v>
          </cell>
        </row>
        <row r="645">
          <cell r="L645">
            <v>0.68194444444444446</v>
          </cell>
          <cell r="M645" t="str">
            <v>CONTINUE LOADING</v>
          </cell>
          <cell r="R645">
            <v>0.70833333333333337</v>
          </cell>
          <cell r="S645" t="str">
            <v>CONTINUE LOADING</v>
          </cell>
          <cell r="U645">
            <v>0.58819444444444446</v>
          </cell>
          <cell r="V645" t="str">
            <v>LOADING COMPLETE</v>
          </cell>
          <cell r="AA645">
            <v>0.57361111111111107</v>
          </cell>
          <cell r="AB645" t="str">
            <v xml:space="preserve">CONTINUE LOADING </v>
          </cell>
          <cell r="AD645">
            <v>0.64652777777777781</v>
          </cell>
          <cell r="AE645" t="str">
            <v>RESUME LOADING</v>
          </cell>
        </row>
        <row r="646">
          <cell r="U646">
            <v>0.625</v>
          </cell>
          <cell r="V646" t="str">
            <v xml:space="preserve">TEMP. STOP LOADING </v>
          </cell>
          <cell r="AA646">
            <v>0.60555555555555551</v>
          </cell>
          <cell r="AB646" t="str">
            <v xml:space="preserve">ONGOING LOADING </v>
          </cell>
        </row>
        <row r="647">
          <cell r="U647">
            <v>0.66666666666666663</v>
          </cell>
          <cell r="V647" t="str">
            <v xml:space="preserve">RESUME LOADING </v>
          </cell>
          <cell r="AA647">
            <v>0.64375000000000004</v>
          </cell>
          <cell r="AB647" t="str">
            <v xml:space="preserve">CONTINUE LOADING </v>
          </cell>
        </row>
        <row r="648">
          <cell r="AA648">
            <v>0.67361111111111116</v>
          </cell>
          <cell r="AB648" t="str">
            <v xml:space="preserve">ONGOING LOADING </v>
          </cell>
        </row>
        <row r="650">
          <cell r="D650" t="str">
            <v>INFINITY 8</v>
          </cell>
          <cell r="G650" t="str">
            <v>EFG 7</v>
          </cell>
          <cell r="J650" t="str">
            <v>EFG 8</v>
          </cell>
          <cell r="M650" t="str">
            <v>VACANT</v>
          </cell>
          <cell r="P650" t="str">
            <v>UMI II</v>
          </cell>
          <cell r="S650" t="str">
            <v>VACANT</v>
          </cell>
          <cell r="V650" t="str">
            <v>CESAR ESTER</v>
          </cell>
          <cell r="Y650" t="str">
            <v>NAPOLI</v>
          </cell>
          <cell r="AB650" t="str">
            <v>STAR SOGOD</v>
          </cell>
          <cell r="AE650" t="str">
            <v xml:space="preserve"> VACANT</v>
          </cell>
          <cell r="AH650" t="str">
            <v>VACANT</v>
          </cell>
        </row>
        <row r="651">
          <cell r="C651">
            <v>0.29166666666666669</v>
          </cell>
          <cell r="D651" t="str">
            <v xml:space="preserve">UNABLE TO COMMENCE </v>
          </cell>
          <cell r="F651">
            <v>0.29166666666666669</v>
          </cell>
          <cell r="G651" t="str">
            <v xml:space="preserve">UNABLE TO RESUME </v>
          </cell>
          <cell r="I651">
            <v>0.29166666666666669</v>
          </cell>
          <cell r="J651" t="str">
            <v>UNABLE TO COMMENCE</v>
          </cell>
          <cell r="L651" t="str">
            <v xml:space="preserve"> </v>
          </cell>
          <cell r="M651" t="str">
            <v xml:space="preserve"> </v>
          </cell>
          <cell r="O651">
            <v>0.29166666666666669</v>
          </cell>
          <cell r="P651" t="str">
            <v xml:space="preserve">UNABLE TO RESUME </v>
          </cell>
          <cell r="R651" t="str">
            <v xml:space="preserve"> </v>
          </cell>
          <cell r="S651" t="str">
            <v xml:space="preserve"> </v>
          </cell>
          <cell r="U651">
            <v>0.29166666666666669</v>
          </cell>
          <cell r="V651" t="str">
            <v>UNABLE TO RESUME</v>
          </cell>
          <cell r="X651">
            <v>0.29166666666666669</v>
          </cell>
          <cell r="Y651" t="str">
            <v xml:space="preserve">UNABLE TO RESUME </v>
          </cell>
          <cell r="AA651">
            <v>0.29166666666666669</v>
          </cell>
          <cell r="AB651" t="str">
            <v>UNABLE TO COMMENCE</v>
          </cell>
          <cell r="AD651" t="str">
            <v xml:space="preserve"> </v>
          </cell>
          <cell r="AE651" t="str">
            <v xml:space="preserve"> </v>
          </cell>
          <cell r="AG651" t="str">
            <v xml:space="preserve"> </v>
          </cell>
          <cell r="AH651" t="str">
            <v xml:space="preserve">  </v>
          </cell>
        </row>
        <row r="652">
          <cell r="C652">
            <v>0.29166666666666669</v>
          </cell>
          <cell r="D652" t="str">
            <v>WAITING FOR FINAL BOOKING</v>
          </cell>
          <cell r="F652">
            <v>0.29166666666666669</v>
          </cell>
          <cell r="G652" t="str">
            <v>WAITING TO DOCK</v>
          </cell>
          <cell r="I652">
            <v>0.29166666666666669</v>
          </cell>
          <cell r="J652" t="str">
            <v>KY TOOLBOX</v>
          </cell>
          <cell r="O652">
            <v>0.29166666666666669</v>
          </cell>
          <cell r="P652" t="str">
            <v>KY TOOLBOX</v>
          </cell>
          <cell r="U652">
            <v>0.29166666666666669</v>
          </cell>
          <cell r="V652" t="str">
            <v>KY TOOLBOX</v>
          </cell>
          <cell r="X652">
            <v>0.29166666666666669</v>
          </cell>
          <cell r="Y652" t="str">
            <v>KY TOOLBOX</v>
          </cell>
          <cell r="AA652">
            <v>0.29166666666666669</v>
          </cell>
          <cell r="AB652" t="str">
            <v>REFUSE TO LOAD</v>
          </cell>
          <cell r="AD652" t="str">
            <v xml:space="preserve"> </v>
          </cell>
          <cell r="AE652" t="str">
            <v xml:space="preserve"> </v>
          </cell>
        </row>
        <row r="653">
          <cell r="F653">
            <v>0.33333333333333331</v>
          </cell>
          <cell r="G653" t="str">
            <v>DOCKED &amp; SECURED</v>
          </cell>
          <cell r="I653">
            <v>0.33333333333333331</v>
          </cell>
          <cell r="J653" t="str">
            <v>ONGOING OPEN HATCH</v>
          </cell>
          <cell r="O653">
            <v>0.33333333333333331</v>
          </cell>
          <cell r="P653" t="str">
            <v>ONGOING OPEN HATCH</v>
          </cell>
          <cell r="U653">
            <v>0.33333333333333331</v>
          </cell>
          <cell r="V653" t="str">
            <v>ONGOING OPEN HATCH</v>
          </cell>
          <cell r="X653">
            <v>0.33333333333333331</v>
          </cell>
          <cell r="Y653" t="str">
            <v>ONGOING OPEN HATCH</v>
          </cell>
          <cell r="AA653">
            <v>0.54166666666666663</v>
          </cell>
          <cell r="AB653" t="str">
            <v>STILL REFUSE TO LOAD</v>
          </cell>
          <cell r="AD653" t="str">
            <v xml:space="preserve"> </v>
          </cell>
          <cell r="AE653" t="str">
            <v xml:space="preserve"> </v>
          </cell>
        </row>
        <row r="654">
          <cell r="F654">
            <v>0.4236111111111111</v>
          </cell>
          <cell r="G654" t="str">
            <v xml:space="preserve">RESUME LOADING </v>
          </cell>
          <cell r="I654">
            <v>0.375</v>
          </cell>
          <cell r="J654" t="str">
            <v>WAITING FOR SINOMA CRANE</v>
          </cell>
          <cell r="O654">
            <v>0.36458333333333331</v>
          </cell>
          <cell r="P654" t="str">
            <v xml:space="preserve">RESUME LOADING </v>
          </cell>
          <cell r="U654">
            <v>0.36736111111111114</v>
          </cell>
          <cell r="V654" t="str">
            <v xml:space="preserve">RESUME LOADING </v>
          </cell>
          <cell r="X654">
            <v>0.35416666666666669</v>
          </cell>
          <cell r="Y654" t="str">
            <v xml:space="preserve">RESUME LOADING </v>
          </cell>
          <cell r="AA654">
            <v>0.79166666666666663</v>
          </cell>
          <cell r="AB654" t="str">
            <v>KY TOOLBOX</v>
          </cell>
        </row>
        <row r="655">
          <cell r="F655">
            <v>0.43472222222222223</v>
          </cell>
          <cell r="G655" t="str">
            <v xml:space="preserve">CONTINUE LOADING </v>
          </cell>
          <cell r="I655">
            <v>0.41666666666666669</v>
          </cell>
          <cell r="J655" t="str">
            <v xml:space="preserve">FORKLIFT ONBOARD </v>
          </cell>
          <cell r="O655">
            <v>0.40277777777777779</v>
          </cell>
          <cell r="P655" t="str">
            <v xml:space="preserve">ONGOING LOADING </v>
          </cell>
          <cell r="U655">
            <v>0.39583333333333331</v>
          </cell>
          <cell r="V655" t="str">
            <v xml:space="preserve">ONGOING LOADING </v>
          </cell>
          <cell r="X655">
            <v>0.3659722222222222</v>
          </cell>
          <cell r="Y655" t="str">
            <v>LOADING COMPLETE</v>
          </cell>
          <cell r="AA655">
            <v>0.83333333333333337</v>
          </cell>
          <cell r="AB655" t="str">
            <v>STILL REFUSE TO LOAD</v>
          </cell>
        </row>
        <row r="656">
          <cell r="F656">
            <v>0.43888888888888888</v>
          </cell>
          <cell r="G656" t="str">
            <v>LOADING COMPLETE</v>
          </cell>
          <cell r="I656">
            <v>0.44930555555555557</v>
          </cell>
          <cell r="J656" t="str">
            <v xml:space="preserve">COMMENCE LOADING </v>
          </cell>
          <cell r="O656">
            <v>0.42777777777777776</v>
          </cell>
          <cell r="P656" t="str">
            <v xml:space="preserve">CONTINUE LOADING </v>
          </cell>
          <cell r="U656">
            <v>0.40625</v>
          </cell>
          <cell r="V656" t="str">
            <v xml:space="preserve">CONTINUE LOADING </v>
          </cell>
          <cell r="X656">
            <v>0.625</v>
          </cell>
          <cell r="Y656" t="str">
            <v>VESSEL PULLOUT</v>
          </cell>
          <cell r="AA656">
            <v>0.875</v>
          </cell>
          <cell r="AB656" t="str">
            <v>STILL REFUSE TO LOAD</v>
          </cell>
        </row>
        <row r="657">
          <cell r="F657">
            <v>0.72916666666666663</v>
          </cell>
          <cell r="G657" t="str">
            <v>VESSEL PULLOUT</v>
          </cell>
          <cell r="I657">
            <v>0.5</v>
          </cell>
          <cell r="J657" t="str">
            <v>LUNCHBREAK</v>
          </cell>
          <cell r="O657">
            <v>0.45277777777777778</v>
          </cell>
          <cell r="P657" t="str">
            <v xml:space="preserve">ONGOING LOADING </v>
          </cell>
          <cell r="U657">
            <v>0.42152777777777778</v>
          </cell>
          <cell r="V657" t="str">
            <v xml:space="preserve">ONGOING LOADING </v>
          </cell>
          <cell r="X657" t="str">
            <v xml:space="preserve"> </v>
          </cell>
          <cell r="Y657" t="str">
            <v xml:space="preserve"> </v>
          </cell>
          <cell r="AA657">
            <v>0.91666666666666663</v>
          </cell>
          <cell r="AB657" t="str">
            <v>STILL REFUSE TO LOAD</v>
          </cell>
        </row>
        <row r="658">
          <cell r="I658">
            <v>0.54166666666666663</v>
          </cell>
          <cell r="J658" t="str">
            <v>REFUSE TO LOAD</v>
          </cell>
          <cell r="O658">
            <v>0.48194444444444445</v>
          </cell>
          <cell r="P658" t="str">
            <v xml:space="preserve">CONTINUE LOADING </v>
          </cell>
          <cell r="U658">
            <v>0.45208333333333334</v>
          </cell>
          <cell r="V658" t="str">
            <v xml:space="preserve">CONTINUE LOADING </v>
          </cell>
          <cell r="AA658">
            <v>0.95833333333333337</v>
          </cell>
          <cell r="AB658" t="str">
            <v>STILL REFUSE TO LOAD</v>
          </cell>
        </row>
        <row r="659">
          <cell r="I659">
            <v>0.79166666666666663</v>
          </cell>
          <cell r="J659" t="str">
            <v>KY TOOLBOX</v>
          </cell>
          <cell r="O659">
            <v>0.49444444444444446</v>
          </cell>
          <cell r="P659" t="str">
            <v>LOADING COMPLETE</v>
          </cell>
          <cell r="U659">
            <v>0.43611111111111112</v>
          </cell>
          <cell r="V659" t="str">
            <v xml:space="preserve">ONGOING LOADING </v>
          </cell>
          <cell r="AA659">
            <v>0</v>
          </cell>
          <cell r="AB659" t="str">
            <v>STILL REFUSE TO LOAD</v>
          </cell>
        </row>
        <row r="660">
          <cell r="I660">
            <v>0.83333333333333337</v>
          </cell>
          <cell r="J660" t="str">
            <v>REFUSE TO LOAD</v>
          </cell>
          <cell r="O660">
            <v>0.70833333333333337</v>
          </cell>
          <cell r="P660" t="str">
            <v>VESSEL PULLOUT</v>
          </cell>
          <cell r="U660">
            <v>0.46388888888888891</v>
          </cell>
          <cell r="V660" t="str">
            <v xml:space="preserve">CONTINUE LOADING </v>
          </cell>
          <cell r="AA660">
            <v>4.1666666666666664E-2</v>
          </cell>
          <cell r="AB660" t="str">
            <v>STILL REFUSE TO LOAD</v>
          </cell>
        </row>
        <row r="661">
          <cell r="I661">
            <v>0.875</v>
          </cell>
          <cell r="J661" t="str">
            <v>REFUSE TO LOAD</v>
          </cell>
          <cell r="U661">
            <v>0.5</v>
          </cell>
          <cell r="V661" t="str">
            <v>LUNCHBREAK</v>
          </cell>
          <cell r="AA661">
            <v>8.3333333333333329E-2</v>
          </cell>
          <cell r="AB661" t="str">
            <v>STILL REFUSE TO LOAD</v>
          </cell>
        </row>
        <row r="662">
          <cell r="I662">
            <v>0.91666666666666663</v>
          </cell>
          <cell r="J662" t="str">
            <v>REFUSE TO LOAD</v>
          </cell>
          <cell r="U662">
            <v>0.57638888888888884</v>
          </cell>
          <cell r="V662" t="str">
            <v xml:space="preserve">RESUME LOADING </v>
          </cell>
          <cell r="AA662">
            <v>0.14027777777777778</v>
          </cell>
          <cell r="AB662" t="str">
            <v>STILL REFUSE TO LOAD</v>
          </cell>
        </row>
        <row r="663">
          <cell r="I663">
            <v>0.95833333333333337</v>
          </cell>
          <cell r="J663" t="str">
            <v>REFUSE TO LOAD</v>
          </cell>
          <cell r="U663">
            <v>0.59722222222222221</v>
          </cell>
          <cell r="V663" t="str">
            <v xml:space="preserve">ONGOING LOADING </v>
          </cell>
          <cell r="AA663">
            <v>0.17499999999999999</v>
          </cell>
          <cell r="AB663" t="str">
            <v>STILL REFUSE TO LOAD</v>
          </cell>
        </row>
        <row r="664">
          <cell r="I664">
            <v>0</v>
          </cell>
          <cell r="J664" t="str">
            <v>REFUSE TO LOAD</v>
          </cell>
          <cell r="U664">
            <v>0.62847222222222221</v>
          </cell>
          <cell r="V664" t="str">
            <v xml:space="preserve">CONTINUE LOADING </v>
          </cell>
          <cell r="AA664">
            <v>0.22916666666666666</v>
          </cell>
          <cell r="AB664" t="str">
            <v>STILL REFUSE TO LOAD</v>
          </cell>
        </row>
        <row r="665">
          <cell r="I665">
            <v>4.1666666666666664E-2</v>
          </cell>
          <cell r="J665" t="str">
            <v>REFUSE TO LOAD</v>
          </cell>
          <cell r="U665">
            <v>0.64722222222222225</v>
          </cell>
          <cell r="V665" t="str">
            <v xml:space="preserve">ONGOING LOADING </v>
          </cell>
          <cell r="AA665">
            <v>0.25069444444444444</v>
          </cell>
          <cell r="AB665" t="str">
            <v>STILL REFUSE TO LOAD</v>
          </cell>
        </row>
        <row r="666">
          <cell r="I666">
            <v>8.3333333333333329E-2</v>
          </cell>
          <cell r="J666" t="str">
            <v xml:space="preserve">RESUME LOADING </v>
          </cell>
          <cell r="U666">
            <v>0.65972222222222221</v>
          </cell>
          <cell r="V666" t="str">
            <v xml:space="preserve">CONTINUE LOADING </v>
          </cell>
        </row>
        <row r="667">
          <cell r="I667">
            <v>0.14027777777777778</v>
          </cell>
          <cell r="J667" t="str">
            <v>CONTINUE LOADING</v>
          </cell>
          <cell r="U667">
            <v>0.66527777777777775</v>
          </cell>
          <cell r="V667" t="str">
            <v xml:space="preserve">ONGOING LOADING </v>
          </cell>
        </row>
        <row r="668">
          <cell r="I668">
            <v>0.17499999999999999</v>
          </cell>
          <cell r="J668" t="str">
            <v>CONTINUE LOADING</v>
          </cell>
          <cell r="U668">
            <v>0.6791666666666667</v>
          </cell>
          <cell r="V668" t="str">
            <v xml:space="preserve">CONTINUE LOADING </v>
          </cell>
        </row>
        <row r="669">
          <cell r="I669">
            <v>0.2326388888888889</v>
          </cell>
          <cell r="J669" t="str">
            <v>CONTINUE LOADING</v>
          </cell>
          <cell r="U669">
            <v>0.6875</v>
          </cell>
          <cell r="V669" t="str">
            <v>LOADING COMPLETE</v>
          </cell>
        </row>
        <row r="670">
          <cell r="D670" t="str">
            <v>INFINITY 8</v>
          </cell>
          <cell r="G670" t="str">
            <v>VACANT</v>
          </cell>
          <cell r="I670" t="str">
            <v xml:space="preserve"> </v>
          </cell>
          <cell r="J670" t="str">
            <v>EFG 8</v>
          </cell>
          <cell r="M670" t="str">
            <v>VACANT</v>
          </cell>
          <cell r="P670" t="str">
            <v>STAR SOGOD</v>
          </cell>
          <cell r="S670" t="str">
            <v>VACANT</v>
          </cell>
          <cell r="V670" t="str">
            <v>VACANT</v>
          </cell>
          <cell r="Y670" t="str">
            <v>VACANT</v>
          </cell>
          <cell r="AA670" t="str">
            <v xml:space="preserve"> </v>
          </cell>
          <cell r="AB670" t="str">
            <v>VACANT</v>
          </cell>
          <cell r="AE670" t="str">
            <v>VACANT</v>
          </cell>
          <cell r="AH670" t="str">
            <v>VACANT</v>
          </cell>
        </row>
        <row r="671">
          <cell r="C671">
            <v>0.29166666666666669</v>
          </cell>
          <cell r="D671" t="str">
            <v>WAITING BOOKING</v>
          </cell>
          <cell r="F671" t="str">
            <v xml:space="preserve"> </v>
          </cell>
          <cell r="G671" t="str">
            <v xml:space="preserve">  </v>
          </cell>
          <cell r="I671">
            <v>0.29166666666666669</v>
          </cell>
          <cell r="J671" t="str">
            <v>KY TOOLBOX</v>
          </cell>
          <cell r="O671">
            <v>0.29166666666666669</v>
          </cell>
          <cell r="P671" t="str">
            <v>REFUSE TO LOAD</v>
          </cell>
          <cell r="R671" t="str">
            <v xml:space="preserve"> </v>
          </cell>
          <cell r="S671" t="str">
            <v xml:space="preserve">  </v>
          </cell>
          <cell r="U671" t="str">
            <v xml:space="preserve">  </v>
          </cell>
          <cell r="V671" t="str">
            <v xml:space="preserve">  </v>
          </cell>
          <cell r="X671" t="str">
            <v xml:space="preserve"> </v>
          </cell>
          <cell r="Y671" t="str">
            <v xml:space="preserve">  </v>
          </cell>
          <cell r="AA671" t="str">
            <v xml:space="preserve">  </v>
          </cell>
          <cell r="AB671" t="str">
            <v xml:space="preserve">  </v>
          </cell>
          <cell r="AD671" t="str">
            <v xml:space="preserve">  </v>
          </cell>
          <cell r="AE671" t="str">
            <v xml:space="preserve">  </v>
          </cell>
          <cell r="AG671" t="str">
            <v xml:space="preserve">  </v>
          </cell>
          <cell r="AH671" t="str">
            <v xml:space="preserve">  </v>
          </cell>
        </row>
        <row r="672">
          <cell r="F672" t="str">
            <v xml:space="preserve">  </v>
          </cell>
          <cell r="G672" t="str">
            <v xml:space="preserve">  </v>
          </cell>
          <cell r="I672">
            <v>0.3659722222222222</v>
          </cell>
          <cell r="J672" t="str">
            <v xml:space="preserve">RESUME LOADING </v>
          </cell>
          <cell r="O672">
            <v>0.33333333333333331</v>
          </cell>
          <cell r="P672" t="str">
            <v xml:space="preserve">SHIFTING BERTH </v>
          </cell>
        </row>
        <row r="673">
          <cell r="I673">
            <v>0.38194444444444442</v>
          </cell>
          <cell r="J673" t="str">
            <v>CONTINUE LOADING</v>
          </cell>
          <cell r="O673">
            <v>0.39583333333333331</v>
          </cell>
          <cell r="P673" t="str">
            <v>DOCKED &amp; SECCURED</v>
          </cell>
          <cell r="Y673" t="str">
            <v xml:space="preserve"> </v>
          </cell>
        </row>
        <row r="674">
          <cell r="I674">
            <v>0.41041666666666665</v>
          </cell>
          <cell r="J674" t="str">
            <v>ONGOING LOADING</v>
          </cell>
          <cell r="O674">
            <v>0.41666666666666669</v>
          </cell>
          <cell r="P674" t="str">
            <v>FORKLIFT ONBOARD</v>
          </cell>
        </row>
        <row r="675">
          <cell r="I675">
            <v>0.4465277777777778</v>
          </cell>
          <cell r="J675" t="str">
            <v>CONTINUE LOADING</v>
          </cell>
          <cell r="O675">
            <v>0.42222222222222222</v>
          </cell>
          <cell r="P675" t="str">
            <v xml:space="preserve">COMMENCE LOADING </v>
          </cell>
        </row>
        <row r="676">
          <cell r="I676">
            <v>0.5</v>
          </cell>
          <cell r="J676" t="str">
            <v>LUNCHBREAK</v>
          </cell>
          <cell r="O676">
            <v>0.4375</v>
          </cell>
          <cell r="P676" t="str">
            <v xml:space="preserve">ONGOING LOADING </v>
          </cell>
        </row>
        <row r="677">
          <cell r="I677">
            <v>0.57638888888888884</v>
          </cell>
          <cell r="J677" t="str">
            <v xml:space="preserve">RESUME LOADING </v>
          </cell>
          <cell r="O677">
            <v>0.4548611111111111</v>
          </cell>
          <cell r="P677" t="str">
            <v xml:space="preserve">CONTINUE LOADING </v>
          </cell>
        </row>
        <row r="678">
          <cell r="I678">
            <v>0.65138888888888891</v>
          </cell>
          <cell r="J678" t="str">
            <v>CONTINUE LOADING</v>
          </cell>
          <cell r="O678">
            <v>0.5</v>
          </cell>
          <cell r="P678" t="str">
            <v>LUNCHBREAK</v>
          </cell>
        </row>
        <row r="679">
          <cell r="I679">
            <v>0.75</v>
          </cell>
          <cell r="J679" t="str">
            <v>VESSEL BREAK</v>
          </cell>
          <cell r="O679">
            <v>0.57013888888888886</v>
          </cell>
          <cell r="P679" t="str">
            <v xml:space="preserve">RESUME LOADING </v>
          </cell>
        </row>
        <row r="680">
          <cell r="I680">
            <v>0.79166666666666663</v>
          </cell>
          <cell r="J680" t="str">
            <v>KY TOOLBOX</v>
          </cell>
          <cell r="O680">
            <v>0.59027777777777779</v>
          </cell>
          <cell r="P680" t="str">
            <v xml:space="preserve">ONGOING LOADING </v>
          </cell>
        </row>
        <row r="681">
          <cell r="I681">
            <v>0.82152777777777775</v>
          </cell>
          <cell r="J681" t="str">
            <v xml:space="preserve">RESUME LOADING </v>
          </cell>
          <cell r="O681">
            <v>0.61111111111111116</v>
          </cell>
          <cell r="P681" t="str">
            <v xml:space="preserve">CONTINUE LOADING </v>
          </cell>
        </row>
        <row r="682">
          <cell r="I682">
            <v>0.84861111111111109</v>
          </cell>
          <cell r="J682" t="str">
            <v>ONGOING LOADING</v>
          </cell>
          <cell r="O682">
            <v>0.65625</v>
          </cell>
          <cell r="P682" t="str">
            <v xml:space="preserve">ONGOING LOADING </v>
          </cell>
        </row>
        <row r="683">
          <cell r="I683">
            <v>0.88124999999999998</v>
          </cell>
          <cell r="J683" t="str">
            <v>CONTINUE LOADING</v>
          </cell>
          <cell r="O683">
            <v>0.68611111111111112</v>
          </cell>
          <cell r="P683" t="str">
            <v xml:space="preserve">CONTINUE LOADING </v>
          </cell>
        </row>
        <row r="684">
          <cell r="I684">
            <v>0.89583333333333337</v>
          </cell>
          <cell r="J684" t="str">
            <v>WAITING MATERIAL</v>
          </cell>
          <cell r="O684">
            <v>0.70277777777777772</v>
          </cell>
          <cell r="P684" t="str">
            <v xml:space="preserve">ONGOING LOADING </v>
          </cell>
        </row>
        <row r="685">
          <cell r="O685">
            <v>0.75</v>
          </cell>
          <cell r="P685" t="str">
            <v>VESSEL BREAK</v>
          </cell>
        </row>
        <row r="686">
          <cell r="O686">
            <v>0.79166666666666663</v>
          </cell>
          <cell r="P686" t="str">
            <v>KY TOOLBOX</v>
          </cell>
        </row>
        <row r="687">
          <cell r="O687">
            <v>0.82499999999999996</v>
          </cell>
          <cell r="P687" t="str">
            <v xml:space="preserve">RESUME LOADING </v>
          </cell>
        </row>
        <row r="688">
          <cell r="O688">
            <v>0.84375</v>
          </cell>
          <cell r="P688" t="str">
            <v xml:space="preserve">ONGOING LOADING </v>
          </cell>
        </row>
        <row r="689">
          <cell r="O689">
            <v>0.86944444444444446</v>
          </cell>
          <cell r="P689" t="str">
            <v xml:space="preserve">CONTINUE LOADING </v>
          </cell>
        </row>
        <row r="690">
          <cell r="O690">
            <v>0.87708333333333333</v>
          </cell>
          <cell r="P690" t="str">
            <v xml:space="preserve">ONGOING LOADING </v>
          </cell>
        </row>
        <row r="691">
          <cell r="O691">
            <v>0.88749999999999996</v>
          </cell>
          <cell r="P691" t="str">
            <v>WAITING MATERIAL</v>
          </cell>
        </row>
        <row r="692">
          <cell r="D692" t="str">
            <v>INFINITY 8</v>
          </cell>
          <cell r="G692" t="str">
            <v>VACANT</v>
          </cell>
          <cell r="I692" t="str">
            <v xml:space="preserve"> </v>
          </cell>
          <cell r="J692" t="str">
            <v>EFG 8</v>
          </cell>
          <cell r="M692" t="str">
            <v>VACANT</v>
          </cell>
          <cell r="P692" t="str">
            <v>STAR SOGOD</v>
          </cell>
          <cell r="S692" t="str">
            <v>EMERALD STAR</v>
          </cell>
          <cell r="V692" t="str">
            <v>VACANT</v>
          </cell>
          <cell r="Y692" t="str">
            <v>LADY OF PEACE</v>
          </cell>
          <cell r="AA692" t="str">
            <v xml:space="preserve"> </v>
          </cell>
          <cell r="AB692" t="str">
            <v>QUEEN CECILIA DOS</v>
          </cell>
          <cell r="AE692" t="str">
            <v>ADOLFO SR</v>
          </cell>
          <cell r="AH692" t="str">
            <v>VACANT</v>
          </cell>
        </row>
        <row r="693">
          <cell r="C693">
            <v>0.29166666666666669</v>
          </cell>
          <cell r="D693" t="str">
            <v>KY TOOLBOX</v>
          </cell>
          <cell r="F693">
            <v>0.29166666666666669</v>
          </cell>
          <cell r="G693" t="str">
            <v>WAITING VESSEL</v>
          </cell>
          <cell r="I693">
            <v>0.29166666666666669</v>
          </cell>
          <cell r="J693" t="str">
            <v>KY TOOLBOX</v>
          </cell>
          <cell r="L693">
            <v>0.29166666666666669</v>
          </cell>
          <cell r="M693" t="str">
            <v>WAITING VESSEL</v>
          </cell>
          <cell r="O693">
            <v>0.29166666666666669</v>
          </cell>
          <cell r="P693" t="str">
            <v>KY TOOLBOX</v>
          </cell>
          <cell r="R693">
            <v>0.29166666666666669</v>
          </cell>
          <cell r="S693" t="str">
            <v>WAITING VESSEL</v>
          </cell>
          <cell r="U693">
            <v>0.29166666666666669</v>
          </cell>
          <cell r="V693" t="str">
            <v>WAITING VESSEL</v>
          </cell>
          <cell r="X693">
            <v>0.29166666666666669</v>
          </cell>
          <cell r="Y693" t="str">
            <v>NEWLY DOCK</v>
          </cell>
          <cell r="AA693">
            <v>0.36666666666666664</v>
          </cell>
          <cell r="AB693" t="str">
            <v>NEWLY DOCK</v>
          </cell>
          <cell r="AD693">
            <v>0.33333333333333331</v>
          </cell>
          <cell r="AE693" t="str">
            <v>NEWLY DOCK</v>
          </cell>
          <cell r="AG693">
            <v>0.33333333333333331</v>
          </cell>
          <cell r="AH693" t="str">
            <v>WAITING VESSEL</v>
          </cell>
        </row>
        <row r="694">
          <cell r="C694">
            <v>0.3125</v>
          </cell>
          <cell r="D694" t="str">
            <v>WAITING MATERIALS</v>
          </cell>
          <cell r="F694">
            <v>0.33333333333333331</v>
          </cell>
          <cell r="G694" t="str">
            <v>WAITING VESSEL</v>
          </cell>
          <cell r="I694">
            <v>0.3125</v>
          </cell>
          <cell r="J694" t="str">
            <v>WAITING MATERIALS</v>
          </cell>
          <cell r="L694">
            <v>0.33333333333333331</v>
          </cell>
          <cell r="M694" t="str">
            <v>WAITING VESSEL</v>
          </cell>
          <cell r="O694">
            <v>0.3125</v>
          </cell>
          <cell r="P694" t="str">
            <v>WAITING MATERIAL</v>
          </cell>
          <cell r="R694">
            <v>0.33333333333333331</v>
          </cell>
          <cell r="S694" t="str">
            <v>WAITING VESSEL</v>
          </cell>
          <cell r="U694">
            <v>0.33333333333333331</v>
          </cell>
          <cell r="V694" t="str">
            <v>WAITING VESSEL</v>
          </cell>
          <cell r="X694">
            <v>0.35416666666666669</v>
          </cell>
          <cell r="Y694" t="str">
            <v>WAITING MATERIALS</v>
          </cell>
          <cell r="AA694">
            <v>0.40555555555555556</v>
          </cell>
          <cell r="AB694" t="str">
            <v>WAITING MATERIALS</v>
          </cell>
          <cell r="AD694">
            <v>0.40555555555555556</v>
          </cell>
          <cell r="AE694" t="str">
            <v>WAITING MATERIALS</v>
          </cell>
          <cell r="AG694">
            <v>0.375</v>
          </cell>
          <cell r="AH694" t="str">
            <v>WAITING VESSEL</v>
          </cell>
        </row>
        <row r="695">
          <cell r="C695">
            <v>0.37152777777777779</v>
          </cell>
          <cell r="D695" t="str">
            <v>WAITING MATERIALS</v>
          </cell>
          <cell r="F695">
            <v>0.375</v>
          </cell>
          <cell r="G695" t="str">
            <v>WAITING VESSEL</v>
          </cell>
          <cell r="I695">
            <v>0.37152777777777779</v>
          </cell>
          <cell r="J695" t="str">
            <v>WAITING MATERIALS</v>
          </cell>
          <cell r="L695">
            <v>0.375</v>
          </cell>
          <cell r="M695" t="str">
            <v>WAITING VESSEL</v>
          </cell>
          <cell r="O695">
            <v>0.37152777777777779</v>
          </cell>
          <cell r="P695" t="str">
            <v>WAITING MATERIAL</v>
          </cell>
          <cell r="R695">
            <v>0.375</v>
          </cell>
          <cell r="S695" t="str">
            <v>WAITING VESSEL</v>
          </cell>
          <cell r="U695">
            <v>0.375</v>
          </cell>
          <cell r="V695" t="str">
            <v>WAITING VESSEL</v>
          </cell>
          <cell r="X695">
            <v>0.40555555555555556</v>
          </cell>
          <cell r="Y695" t="str">
            <v>WAITING MATERIALS</v>
          </cell>
          <cell r="AA695">
            <v>0.45624999999999999</v>
          </cell>
          <cell r="AB695" t="str">
            <v>WAITING MATERIALS</v>
          </cell>
          <cell r="AD695">
            <v>0.45624999999999999</v>
          </cell>
          <cell r="AE695" t="str">
            <v>WAITING MATERIALS</v>
          </cell>
          <cell r="AG695">
            <v>0.41666666666666669</v>
          </cell>
          <cell r="AH695" t="str">
            <v>WAITING VESSEL</v>
          </cell>
        </row>
        <row r="696">
          <cell r="C696">
            <v>0.40555555555555556</v>
          </cell>
          <cell r="D696" t="str">
            <v>WAITING MATERIALS</v>
          </cell>
          <cell r="F696">
            <v>0.41666666666666669</v>
          </cell>
          <cell r="G696" t="str">
            <v>WAITING VESSEL</v>
          </cell>
          <cell r="I696">
            <v>0.40555555555555556</v>
          </cell>
          <cell r="J696" t="str">
            <v>WAITING MATERIALS</v>
          </cell>
          <cell r="L696">
            <v>0.41666666666666669</v>
          </cell>
          <cell r="M696" t="str">
            <v>WAITING VESSEL</v>
          </cell>
          <cell r="O696">
            <v>0.40555555555555556</v>
          </cell>
          <cell r="P696" t="str">
            <v>WAITING MATERIAL</v>
          </cell>
          <cell r="R696">
            <v>0.41666666666666669</v>
          </cell>
          <cell r="S696" t="str">
            <v>WAITING VESSEL</v>
          </cell>
          <cell r="U696">
            <v>0.41666666666666669</v>
          </cell>
          <cell r="V696" t="str">
            <v>WAITING VESSEL</v>
          </cell>
          <cell r="X696">
            <v>0.45624999999999999</v>
          </cell>
          <cell r="Y696" t="str">
            <v>WAITING MATERIALS</v>
          </cell>
          <cell r="AA696">
            <v>0.45833333333333331</v>
          </cell>
          <cell r="AB696" t="str">
            <v>WAITING MATERIALS</v>
          </cell>
          <cell r="AD696">
            <v>0.45833333333333331</v>
          </cell>
          <cell r="AE696" t="str">
            <v>WAITING MATERIALS</v>
          </cell>
          <cell r="AG696">
            <v>0.45833333333333331</v>
          </cell>
          <cell r="AH696" t="str">
            <v>WAITING VESSEL</v>
          </cell>
        </row>
        <row r="697">
          <cell r="C697">
            <v>0.45624999999999999</v>
          </cell>
          <cell r="D697" t="str">
            <v>WAITING MATERIALS</v>
          </cell>
          <cell r="F697">
            <v>0.45833333333333331</v>
          </cell>
          <cell r="G697" t="str">
            <v>WAITING VESSEL</v>
          </cell>
          <cell r="I697">
            <v>0.40972222222222221</v>
          </cell>
          <cell r="J697" t="str">
            <v>ONGOING RESUME LOADING</v>
          </cell>
          <cell r="L697">
            <v>0.45833333333333331</v>
          </cell>
          <cell r="M697" t="str">
            <v>WAITING VESSEL</v>
          </cell>
          <cell r="O697">
            <v>0.40972222222222221</v>
          </cell>
          <cell r="P697" t="str">
            <v>ONGOING RESUME LOADING</v>
          </cell>
          <cell r="R697">
            <v>0.45833333333333331</v>
          </cell>
          <cell r="S697" t="str">
            <v>DOCK AND SECURE</v>
          </cell>
          <cell r="U697">
            <v>0.45833333333333331</v>
          </cell>
          <cell r="V697" t="str">
            <v>WAITING VESSEL</v>
          </cell>
          <cell r="X697">
            <v>0.45833333333333331</v>
          </cell>
          <cell r="Y697" t="str">
            <v>WAITING MATERIALS</v>
          </cell>
          <cell r="AA697">
            <v>0.5</v>
          </cell>
          <cell r="AB697" t="str">
            <v>WAITING MATERIALS</v>
          </cell>
          <cell r="AD697">
            <v>0.5</v>
          </cell>
          <cell r="AE697" t="str">
            <v>WAITING MATERIALS</v>
          </cell>
          <cell r="AG697">
            <v>0.5</v>
          </cell>
          <cell r="AH697" t="str">
            <v>WAITING VESSEL</v>
          </cell>
        </row>
        <row r="698">
          <cell r="C698">
            <v>0.45833333333333331</v>
          </cell>
          <cell r="D698" t="str">
            <v>WAITING MATERIALS</v>
          </cell>
          <cell r="F698">
            <v>0.5</v>
          </cell>
          <cell r="G698" t="str">
            <v>WAITING VESSEL</v>
          </cell>
          <cell r="I698">
            <v>0.43472222222222223</v>
          </cell>
          <cell r="J698" t="str">
            <v>CONTINUE LOADING</v>
          </cell>
          <cell r="L698">
            <v>0.5</v>
          </cell>
          <cell r="M698" t="str">
            <v>WAITING VESSEL</v>
          </cell>
          <cell r="O698">
            <v>0.43472222222222223</v>
          </cell>
          <cell r="P698" t="str">
            <v xml:space="preserve">CONTINUE LOADING </v>
          </cell>
          <cell r="R698">
            <v>0.5</v>
          </cell>
          <cell r="S698" t="str">
            <v>WAITING MATERIAL</v>
          </cell>
          <cell r="U698">
            <v>0.5</v>
          </cell>
          <cell r="V698" t="str">
            <v>WAITING VESSEL</v>
          </cell>
          <cell r="X698">
            <v>0.5</v>
          </cell>
          <cell r="Y698" t="str">
            <v>WAITING MATERIALS</v>
          </cell>
          <cell r="AA698">
            <v>0.54166666666666663</v>
          </cell>
          <cell r="AB698" t="str">
            <v>WAITING MATERIALS</v>
          </cell>
          <cell r="AD698">
            <v>0.54166666666666663</v>
          </cell>
          <cell r="AE698" t="str">
            <v>WAITING MATERIALS</v>
          </cell>
          <cell r="AG698">
            <v>0.54166666666666663</v>
          </cell>
          <cell r="AH698" t="str">
            <v>WAITING VESSEL</v>
          </cell>
        </row>
        <row r="699">
          <cell r="C699">
            <v>0.5</v>
          </cell>
          <cell r="D699" t="str">
            <v>WAITING MATERIALS</v>
          </cell>
          <cell r="F699">
            <v>0.54166666666666663</v>
          </cell>
          <cell r="G699" t="str">
            <v>WAITING VESSEL</v>
          </cell>
          <cell r="I699">
            <v>0.56458333333333333</v>
          </cell>
          <cell r="J699" t="str">
            <v>CONTINUE LOADING</v>
          </cell>
          <cell r="L699">
            <v>0.54166666666666663</v>
          </cell>
          <cell r="M699" t="str">
            <v>WAITING VESSEL</v>
          </cell>
          <cell r="O699">
            <v>0.56944444444444442</v>
          </cell>
          <cell r="P699" t="str">
            <v xml:space="preserve">CONTINUE LOADING </v>
          </cell>
          <cell r="R699">
            <v>0.54166666666666663</v>
          </cell>
          <cell r="S699" t="str">
            <v>WAITING MATERIAL</v>
          </cell>
          <cell r="U699">
            <v>0.79166666666666663</v>
          </cell>
          <cell r="V699" t="str">
            <v>VACANT</v>
          </cell>
          <cell r="X699">
            <v>0.54166666666666663</v>
          </cell>
          <cell r="Y699" t="str">
            <v>WAITING MATERIALS</v>
          </cell>
          <cell r="AA699">
            <v>0.69791666666666663</v>
          </cell>
          <cell r="AB699" t="str">
            <v xml:space="preserve">COMMENCE LOADING </v>
          </cell>
          <cell r="AD699">
            <v>0.79166666666666663</v>
          </cell>
          <cell r="AE699" t="str">
            <v>VESSEL CLOSED</v>
          </cell>
          <cell r="AG699">
            <v>0.79166666666666663</v>
          </cell>
          <cell r="AH699" t="str">
            <v>VACANT</v>
          </cell>
        </row>
        <row r="700">
          <cell r="C700">
            <v>0.54166666666666663</v>
          </cell>
          <cell r="D700" t="str">
            <v>WAITING MATERIALS</v>
          </cell>
          <cell r="F700">
            <v>0.79166666666666663</v>
          </cell>
          <cell r="G700" t="str">
            <v>VACANT</v>
          </cell>
          <cell r="I700">
            <v>0.58958333333333335</v>
          </cell>
          <cell r="J700" t="str">
            <v>CONTINUE LOADING</v>
          </cell>
          <cell r="L700">
            <v>0.58333333333333337</v>
          </cell>
          <cell r="M700" t="str">
            <v>WAITING VESSEL</v>
          </cell>
          <cell r="O700">
            <v>0.60416666666666663</v>
          </cell>
          <cell r="P700" t="str">
            <v xml:space="preserve">CONTINUE LOADING </v>
          </cell>
          <cell r="R700">
            <v>0.79166666666666663</v>
          </cell>
          <cell r="S700" t="str">
            <v>VESSEL CLOSED</v>
          </cell>
          <cell r="X700">
            <v>0.79166666666666663</v>
          </cell>
          <cell r="Y700" t="str">
            <v>VESSEL CLOSED</v>
          </cell>
          <cell r="AA700">
            <v>0.7104166666666667</v>
          </cell>
          <cell r="AB700" t="str">
            <v>CONTINUE LOADING</v>
          </cell>
          <cell r="AD700">
            <v>0.95833333333333337</v>
          </cell>
          <cell r="AE700" t="str">
            <v>OPENING HATCH</v>
          </cell>
        </row>
        <row r="701">
          <cell r="C701">
            <v>0.79166666666666663</v>
          </cell>
          <cell r="D701" t="str">
            <v>NO BOOKING</v>
          </cell>
          <cell r="I701">
            <v>0.62708333333333333</v>
          </cell>
          <cell r="J701" t="str">
            <v>CONTINUE LOADING</v>
          </cell>
          <cell r="L701">
            <v>0.79166666666666663</v>
          </cell>
          <cell r="M701" t="str">
            <v>VACANT</v>
          </cell>
          <cell r="O701">
            <v>0.63888888888888884</v>
          </cell>
          <cell r="P701" t="str">
            <v xml:space="preserve">CONTINUE LOADING </v>
          </cell>
          <cell r="R701">
            <v>0.9375</v>
          </cell>
          <cell r="S701" t="str">
            <v>OPENING HATCH</v>
          </cell>
          <cell r="AA701">
            <v>0.79166666666666663</v>
          </cell>
          <cell r="AB701" t="str">
            <v>VESSEL CLOSED</v>
          </cell>
          <cell r="AD701">
            <v>0.97916666666666663</v>
          </cell>
          <cell r="AE701" t="str">
            <v xml:space="preserve">FORKLIFT ONBOARD </v>
          </cell>
        </row>
        <row r="702">
          <cell r="I702">
            <v>0.67013888888888884</v>
          </cell>
          <cell r="J702" t="str">
            <v>CONTINUE LOADING</v>
          </cell>
          <cell r="O702">
            <v>0.71388888888888891</v>
          </cell>
          <cell r="P702" t="str">
            <v xml:space="preserve">CONTINUE LOADING </v>
          </cell>
          <cell r="R702">
            <v>0.95208333333333328</v>
          </cell>
          <cell r="S702" t="str">
            <v xml:space="preserve">COMMENCE LOADING </v>
          </cell>
          <cell r="AD702">
            <v>0.99652777777777779</v>
          </cell>
          <cell r="AE702" t="str">
            <v xml:space="preserve">COMMENCE LOADING </v>
          </cell>
        </row>
        <row r="703">
          <cell r="I703">
            <v>0.72916666666666663</v>
          </cell>
          <cell r="J703" t="str">
            <v>CONTINUE LOADING</v>
          </cell>
          <cell r="O703">
            <v>0.79166666666666663</v>
          </cell>
          <cell r="P703" t="str">
            <v>VESSEL CLOSED</v>
          </cell>
          <cell r="R703">
            <v>1.4583333333333334E-2</v>
          </cell>
          <cell r="S703" t="str">
            <v xml:space="preserve">CONTINUE LOADING </v>
          </cell>
          <cell r="AD703">
            <v>9.7222222222222224E-2</v>
          </cell>
          <cell r="AE703" t="str">
            <v xml:space="preserve">CONTINUE LOADING </v>
          </cell>
        </row>
        <row r="704">
          <cell r="I704">
            <v>0.79166666666666663</v>
          </cell>
          <cell r="J704" t="str">
            <v>VESSEL CLOSED</v>
          </cell>
          <cell r="O704">
            <v>0.95833333333333337</v>
          </cell>
          <cell r="P704" t="str">
            <v>OPENINIG HATCH</v>
          </cell>
          <cell r="R704">
            <v>4.3749999999999997E-2</v>
          </cell>
          <cell r="S704" t="str">
            <v xml:space="preserve">ONGOING LOADING </v>
          </cell>
          <cell r="AD704">
            <v>0.16666666666666666</v>
          </cell>
          <cell r="AE704" t="str">
            <v>CLOSE HATCH</v>
          </cell>
        </row>
        <row r="705">
          <cell r="I705">
            <v>0.95833333333333337</v>
          </cell>
          <cell r="J705" t="str">
            <v>OPENING HATCH</v>
          </cell>
          <cell r="O705">
            <v>0.99652777777777779</v>
          </cell>
          <cell r="P705" t="str">
            <v xml:space="preserve">RESUME LOADING </v>
          </cell>
          <cell r="R705">
            <v>9.2361111111111116E-2</v>
          </cell>
          <cell r="S705" t="str">
            <v xml:space="preserve">CONTINUE LOADING </v>
          </cell>
        </row>
        <row r="706">
          <cell r="I706">
            <v>0.99375000000000002</v>
          </cell>
          <cell r="J706" t="str">
            <v xml:space="preserve">RESUME LOADING </v>
          </cell>
          <cell r="O706">
            <v>1.5972222222222221E-2</v>
          </cell>
          <cell r="P706" t="str">
            <v xml:space="preserve">ONGOING LOADING </v>
          </cell>
          <cell r="R706">
            <v>0.125</v>
          </cell>
          <cell r="S706" t="str">
            <v xml:space="preserve">ONGOING LOADING </v>
          </cell>
        </row>
        <row r="707">
          <cell r="I707">
            <v>2.2222222222222223E-2</v>
          </cell>
          <cell r="J707" t="str">
            <v>ONGOING LOADING</v>
          </cell>
          <cell r="O707">
            <v>3.6805555555555557E-2</v>
          </cell>
          <cell r="P707" t="str">
            <v xml:space="preserve">CONTINUE LOADING </v>
          </cell>
          <cell r="R707">
            <v>0.16666666666666666</v>
          </cell>
          <cell r="S707" t="str">
            <v>CLOSE HATCH</v>
          </cell>
        </row>
        <row r="708">
          <cell r="I708">
            <v>5.6250000000000001E-2</v>
          </cell>
          <cell r="J708" t="str">
            <v>CONTINUE LOADING</v>
          </cell>
          <cell r="O708">
            <v>6.1805555555555558E-2</v>
          </cell>
          <cell r="P708" t="str">
            <v xml:space="preserve">ONGOING LOADING </v>
          </cell>
        </row>
        <row r="709">
          <cell r="I709">
            <v>8.3333333333333329E-2</v>
          </cell>
          <cell r="J709" t="str">
            <v>ONGOING LOADING</v>
          </cell>
          <cell r="O709">
            <v>8.819444444444445E-2</v>
          </cell>
          <cell r="P709" t="str">
            <v>LOADING COMPLETE</v>
          </cell>
        </row>
        <row r="710">
          <cell r="I710">
            <v>0.16666666666666666</v>
          </cell>
          <cell r="J710" t="str">
            <v>CLOSE HATCH</v>
          </cell>
        </row>
        <row r="711">
          <cell r="D711" t="str">
            <v>INFINITY 8</v>
          </cell>
          <cell r="G711" t="str">
            <v>VACANT</v>
          </cell>
          <cell r="I711" t="str">
            <v xml:space="preserve"> </v>
          </cell>
          <cell r="J711" t="str">
            <v>EFG 8</v>
          </cell>
          <cell r="M711" t="str">
            <v>VACANT</v>
          </cell>
          <cell r="P711" t="str">
            <v>VACANT</v>
          </cell>
          <cell r="S711" t="str">
            <v>EMERALD STAR</v>
          </cell>
          <cell r="V711" t="str">
            <v>VACANT</v>
          </cell>
          <cell r="Y711" t="str">
            <v>LADY OF PEACE</v>
          </cell>
          <cell r="AA711" t="str">
            <v xml:space="preserve"> </v>
          </cell>
          <cell r="AB711" t="str">
            <v>QUEEN CECILIA DOS</v>
          </cell>
          <cell r="AE711" t="str">
            <v>ADOLFO SR</v>
          </cell>
          <cell r="AH711" t="str">
            <v>VACANT</v>
          </cell>
        </row>
        <row r="712">
          <cell r="C712">
            <v>0.29166666666666669</v>
          </cell>
          <cell r="D712" t="str">
            <v>NO BOOKING</v>
          </cell>
          <cell r="I712">
            <v>0.29166666666666669</v>
          </cell>
          <cell r="J712" t="str">
            <v>KY TOOLBOX</v>
          </cell>
          <cell r="O712" t="str">
            <v xml:space="preserve"> </v>
          </cell>
          <cell r="P712" t="str">
            <v xml:space="preserve">  </v>
          </cell>
          <cell r="S712" t="str">
            <v>KY TOOLBOX</v>
          </cell>
          <cell r="X712">
            <v>0.29166666666666669</v>
          </cell>
          <cell r="Y712" t="str">
            <v>KY TOOLBOX</v>
          </cell>
          <cell r="AA712">
            <v>0.29166666666666669</v>
          </cell>
          <cell r="AB712" t="str">
            <v>KY TOOLBOX</v>
          </cell>
          <cell r="AD712">
            <v>0.29166666666666669</v>
          </cell>
          <cell r="AE712" t="str">
            <v>KY TOOLBOX</v>
          </cell>
        </row>
        <row r="713">
          <cell r="I713">
            <v>0.3125</v>
          </cell>
          <cell r="J713" t="str">
            <v>CONTINUE LOADING</v>
          </cell>
          <cell r="S713" t="str">
            <v>WAITING FORKLIFT ONBOARD</v>
          </cell>
          <cell r="X713">
            <v>0.32013888888888886</v>
          </cell>
          <cell r="Y713" t="str">
            <v>UNABLE TO RESUME LOADING</v>
          </cell>
          <cell r="AA713">
            <v>0.31944444444444442</v>
          </cell>
          <cell r="AB713" t="str">
            <v>CONTINUE LOADING</v>
          </cell>
          <cell r="AD713">
            <v>0.3125</v>
          </cell>
          <cell r="AE713" t="str">
            <v>CONTINUE LOADING LOOSEBAG</v>
          </cell>
        </row>
        <row r="714">
          <cell r="I714">
            <v>0.34652777777777777</v>
          </cell>
          <cell r="J714" t="str">
            <v>CONTINUE LOADING</v>
          </cell>
          <cell r="S714" t="str">
            <v>WAITING FORKLIFT ONBOARD</v>
          </cell>
          <cell r="X714">
            <v>0.34097222222222223</v>
          </cell>
          <cell r="Y714" t="str">
            <v>UNABLE TO RESUME LOADING</v>
          </cell>
          <cell r="AA714">
            <v>0.33888888888888891</v>
          </cell>
          <cell r="AB714" t="str">
            <v>CONTINUE LOADING</v>
          </cell>
          <cell r="AD714">
            <v>0.34722222222222221</v>
          </cell>
          <cell r="AE714" t="str">
            <v>CONTINUE LOADING LOOSEBAG</v>
          </cell>
        </row>
        <row r="715">
          <cell r="I715">
            <v>0.38194444444444442</v>
          </cell>
          <cell r="J715" t="str">
            <v>CONTINUE LOADING</v>
          </cell>
          <cell r="S715" t="str">
            <v>WAITING FORKLIFT ONBOARD</v>
          </cell>
          <cell r="X715">
            <v>0.37847222222222221</v>
          </cell>
          <cell r="Y715" t="str">
            <v>UNABLE TO RESUME LOADING</v>
          </cell>
          <cell r="AA715">
            <v>0.39027777777777778</v>
          </cell>
          <cell r="AB715" t="str">
            <v>CONTINUE LOADING</v>
          </cell>
          <cell r="AD715">
            <v>0.39444444444444443</v>
          </cell>
          <cell r="AE715" t="str">
            <v>CONTINUE LOADING LOOSEBAG</v>
          </cell>
        </row>
        <row r="716">
          <cell r="I716">
            <v>0.4236111111111111</v>
          </cell>
          <cell r="J716" t="str">
            <v>CONTINUE LOADING</v>
          </cell>
          <cell r="S716" t="str">
            <v>WAITING FORKLIFT ONBOARD</v>
          </cell>
          <cell r="X716">
            <v>0.41805555555555557</v>
          </cell>
          <cell r="Y716" t="str">
            <v>UNABLE TO RESUME LOADING</v>
          </cell>
          <cell r="AA716">
            <v>0.42083333333333334</v>
          </cell>
          <cell r="AB716" t="str">
            <v>CONTINUE LOADING</v>
          </cell>
          <cell r="AD716">
            <v>0.41666666666666669</v>
          </cell>
          <cell r="AE716" t="str">
            <v>CONTINUE LOADING LOOSEBAG</v>
          </cell>
        </row>
        <row r="717">
          <cell r="I717">
            <v>0.47361111111111109</v>
          </cell>
          <cell r="J717" t="str">
            <v>CONTINUE LOADING</v>
          </cell>
          <cell r="S717" t="str">
            <v>WAITING FORKLIFT ONBOARD</v>
          </cell>
          <cell r="X717">
            <v>0.47916666666666669</v>
          </cell>
          <cell r="Y717" t="str">
            <v>UNABLE TO RESUME LOADING</v>
          </cell>
          <cell r="AA717">
            <v>0.46944444444444444</v>
          </cell>
          <cell r="AB717" t="str">
            <v>CONTINUE LOADING</v>
          </cell>
          <cell r="AD717">
            <v>0.45833333333333331</v>
          </cell>
          <cell r="AE717" t="str">
            <v>CONTINUE LOADING LOOSEBAG</v>
          </cell>
        </row>
        <row r="718">
          <cell r="I718">
            <v>0.5</v>
          </cell>
          <cell r="J718" t="str">
            <v>LUNCHBREAK</v>
          </cell>
          <cell r="S718" t="str">
            <v>LUNCH BREAK</v>
          </cell>
          <cell r="X718">
            <v>0.5</v>
          </cell>
          <cell r="Y718" t="str">
            <v>LUNCH BREAK</v>
          </cell>
          <cell r="AA718">
            <v>0.48333333333333334</v>
          </cell>
          <cell r="AB718" t="str">
            <v>CONTINUE LOADING</v>
          </cell>
          <cell r="AD718" t="str">
            <v>12:OO</v>
          </cell>
          <cell r="AE718" t="str">
            <v>LUNCH BREAK</v>
          </cell>
        </row>
        <row r="719">
          <cell r="I719">
            <v>0.55555555555555558</v>
          </cell>
          <cell r="J719" t="str">
            <v>CONTINUE LOADING LOOSEBAG</v>
          </cell>
          <cell r="S719" t="str">
            <v xml:space="preserve">CONTINUE LOADING </v>
          </cell>
          <cell r="X719">
            <v>0.55486111111111114</v>
          </cell>
          <cell r="Y719" t="str">
            <v>VESSEL BUNKERING</v>
          </cell>
          <cell r="AA719">
            <v>0.5</v>
          </cell>
          <cell r="AB719" t="str">
            <v>LUNCH BREAK</v>
          </cell>
          <cell r="AD719">
            <v>0.5541666666666667</v>
          </cell>
          <cell r="AE719" t="str">
            <v>CONTINUE LOADING LOOSEBAG</v>
          </cell>
        </row>
        <row r="720">
          <cell r="I720">
            <v>0.6166666666666667</v>
          </cell>
          <cell r="J720" t="str">
            <v>CONTINUE LOADING</v>
          </cell>
          <cell r="S720" t="str">
            <v xml:space="preserve">CONTINUE LOADING </v>
          </cell>
          <cell r="X720">
            <v>0.59861111111111109</v>
          </cell>
          <cell r="Y720" t="str">
            <v>VESSEL BUNKERING</v>
          </cell>
          <cell r="AA720">
            <v>0.55694444444444446</v>
          </cell>
          <cell r="AB720" t="str">
            <v>CONTINUE LOADING</v>
          </cell>
          <cell r="AD720">
            <v>0.59861111111111109</v>
          </cell>
          <cell r="AE720" t="str">
            <v>CONTINUE LOADING LOOSEBAG</v>
          </cell>
        </row>
        <row r="721">
          <cell r="I721">
            <v>0.66597222222222219</v>
          </cell>
          <cell r="J721" t="str">
            <v>CONTINUE LOADING LOOSEBAG</v>
          </cell>
          <cell r="S721" t="str">
            <v xml:space="preserve">CONTINUE LOADING </v>
          </cell>
          <cell r="X721">
            <v>0.65625</v>
          </cell>
          <cell r="Y721" t="str">
            <v xml:space="preserve">COMMENCE LOADING </v>
          </cell>
          <cell r="AA721">
            <v>0.59652777777777777</v>
          </cell>
          <cell r="AB721" t="str">
            <v>CONTINUE LOADING</v>
          </cell>
          <cell r="AD721">
            <v>0.62569444444444444</v>
          </cell>
          <cell r="AE721" t="str">
            <v>CONTINUE LOADING LOOSEBAG</v>
          </cell>
        </row>
        <row r="722">
          <cell r="I722">
            <v>0.70902777777777781</v>
          </cell>
          <cell r="J722" t="str">
            <v>CONTINUE LOADING LOOSEBAG</v>
          </cell>
          <cell r="R722">
            <v>0.79166666666666663</v>
          </cell>
          <cell r="S722" t="str">
            <v>KY TOOLBOX</v>
          </cell>
          <cell r="X722">
            <v>0.67708333333333337</v>
          </cell>
          <cell r="Y722" t="str">
            <v xml:space="preserve">COMMENCE LOADING </v>
          </cell>
          <cell r="AA722">
            <v>0.64097222222222228</v>
          </cell>
          <cell r="AB722" t="str">
            <v>CONTINUE LOADING</v>
          </cell>
          <cell r="AD722">
            <v>0.79166666666666663</v>
          </cell>
          <cell r="AE722" t="str">
            <v>KY TOOLBOX</v>
          </cell>
        </row>
        <row r="723">
          <cell r="I723">
            <v>0.79166666666666663</v>
          </cell>
          <cell r="J723" t="str">
            <v>KY TOOLBOX</v>
          </cell>
          <cell r="R723">
            <v>0.82916666666666672</v>
          </cell>
          <cell r="S723" t="str">
            <v>RESUME LOADING</v>
          </cell>
          <cell r="X723">
            <v>0.71736111111111112</v>
          </cell>
          <cell r="Y723" t="str">
            <v>CONTINUE LOADING</v>
          </cell>
          <cell r="AA723">
            <v>0.68402777777777779</v>
          </cell>
          <cell r="AB723" t="str">
            <v>CONTINUE LOADING</v>
          </cell>
          <cell r="AD723">
            <v>0.82638888888888884</v>
          </cell>
          <cell r="AE723" t="str">
            <v xml:space="preserve">RESUME LOADING </v>
          </cell>
        </row>
        <row r="724">
          <cell r="I724">
            <v>0.85833333333333328</v>
          </cell>
          <cell r="J724" t="str">
            <v xml:space="preserve">RESUME LOADING </v>
          </cell>
          <cell r="R724">
            <v>0.84791666666666665</v>
          </cell>
          <cell r="S724" t="str">
            <v>ONGOING LOADING</v>
          </cell>
          <cell r="X724">
            <v>0.79166666666666663</v>
          </cell>
          <cell r="Y724" t="str">
            <v>KY TOOLBOX</v>
          </cell>
          <cell r="AA724">
            <v>0.71527777777777779</v>
          </cell>
          <cell r="AB724" t="str">
            <v>CONTINUE LOADING</v>
          </cell>
          <cell r="AD724">
            <v>0.95833333333333337</v>
          </cell>
          <cell r="AE724" t="str">
            <v>STEVEDORES BREAK</v>
          </cell>
        </row>
        <row r="725">
          <cell r="I725">
            <v>0.95833333333333337</v>
          </cell>
          <cell r="J725" t="str">
            <v>STEVEDORES BREAK</v>
          </cell>
          <cell r="R725">
            <v>0.87430555555555556</v>
          </cell>
          <cell r="S725" t="str">
            <v xml:space="preserve">CONTINUE LOADING </v>
          </cell>
          <cell r="X725">
            <v>0.83333333333333337</v>
          </cell>
          <cell r="Y725" t="str">
            <v xml:space="preserve">RESUME LOADING </v>
          </cell>
          <cell r="AA725">
            <v>0.79166666666666663</v>
          </cell>
          <cell r="AB725" t="str">
            <v>KY TOOLBOX</v>
          </cell>
          <cell r="AD725">
            <v>4.1666666666666664E-2</v>
          </cell>
          <cell r="AE725" t="str">
            <v>FORKLIFT PULLOUT</v>
          </cell>
        </row>
        <row r="726">
          <cell r="I726">
            <v>5.9027777777777776E-2</v>
          </cell>
          <cell r="J726" t="str">
            <v xml:space="preserve">RESUME LOADING </v>
          </cell>
          <cell r="R726">
            <v>0.89375000000000004</v>
          </cell>
          <cell r="S726" t="str">
            <v xml:space="preserve">CONTINUE LOADING </v>
          </cell>
          <cell r="X726">
            <v>0.85277777777777775</v>
          </cell>
          <cell r="Y726" t="str">
            <v>ONGOING LOADING</v>
          </cell>
          <cell r="AA726">
            <v>0.82847222222222228</v>
          </cell>
          <cell r="AB726" t="str">
            <v xml:space="preserve">RESUME LOADING </v>
          </cell>
          <cell r="AD726">
            <v>9.7222222222222224E-2</v>
          </cell>
          <cell r="AE726" t="str">
            <v xml:space="preserve">RESUME LOADING </v>
          </cell>
        </row>
        <row r="727">
          <cell r="I727">
            <v>0.18194444444444444</v>
          </cell>
          <cell r="J727" t="str">
            <v>ONGOING LOADING</v>
          </cell>
          <cell r="R727">
            <v>0.94236111111111109</v>
          </cell>
          <cell r="S727" t="str">
            <v>ONGOING LOADING</v>
          </cell>
          <cell r="X727">
            <v>0.87013888888888891</v>
          </cell>
          <cell r="Y727" t="str">
            <v>CONTINUE LOADING</v>
          </cell>
          <cell r="AA727">
            <v>0.86527777777777781</v>
          </cell>
          <cell r="AB727" t="str">
            <v>CONTINUE LOADING</v>
          </cell>
          <cell r="AD727">
            <v>0.1423611111111111</v>
          </cell>
          <cell r="AE727" t="str">
            <v>ONGOING LOADING</v>
          </cell>
        </row>
        <row r="728">
          <cell r="I728">
            <v>0.19722222222222222</v>
          </cell>
          <cell r="J728" t="str">
            <v>CONTINUE LOADING</v>
          </cell>
          <cell r="R728">
            <v>0.96180555555555558</v>
          </cell>
          <cell r="S728" t="str">
            <v xml:space="preserve">CONTINUE LOADING </v>
          </cell>
          <cell r="X728">
            <v>0.88541666666666663</v>
          </cell>
          <cell r="Y728" t="str">
            <v>WAITING MATERIAL</v>
          </cell>
          <cell r="AA728">
            <v>0.89722222222222225</v>
          </cell>
          <cell r="AB728" t="str">
            <v xml:space="preserve">ONGOING LOADING </v>
          </cell>
          <cell r="AD728">
            <v>0.16875000000000001</v>
          </cell>
          <cell r="AE728" t="str">
            <v xml:space="preserve">CONTINUE LOADING </v>
          </cell>
        </row>
        <row r="729">
          <cell r="I729">
            <v>0.22847222222222222</v>
          </cell>
          <cell r="J729" t="str">
            <v>ONGOING LOADING</v>
          </cell>
          <cell r="R729">
            <v>0.97916666666666663</v>
          </cell>
          <cell r="S729" t="str">
            <v>STEVEDORES BREAK</v>
          </cell>
          <cell r="X729">
            <v>5.9722222222222225E-2</v>
          </cell>
          <cell r="Y729" t="str">
            <v xml:space="preserve">RESUME LOADING </v>
          </cell>
          <cell r="AA729">
            <v>0.93888888888888888</v>
          </cell>
          <cell r="AB729" t="str">
            <v>CONTINUE LOADING</v>
          </cell>
          <cell r="AD729">
            <v>0.19166666666666668</v>
          </cell>
          <cell r="AE729" t="str">
            <v>ONGOING LOADING</v>
          </cell>
        </row>
        <row r="730">
          <cell r="I730">
            <v>0.25</v>
          </cell>
          <cell r="J730" t="str">
            <v>VESSEL BREAK</v>
          </cell>
          <cell r="R730">
            <v>5.6944444444444443E-2</v>
          </cell>
          <cell r="S730" t="str">
            <v>RESUME LOADING</v>
          </cell>
          <cell r="X730">
            <v>9.166666666666666E-2</v>
          </cell>
          <cell r="Y730" t="str">
            <v>ONGOING LOADING</v>
          </cell>
          <cell r="AA730">
            <v>0.97916666666666663</v>
          </cell>
          <cell r="AB730" t="str">
            <v>STEVEDORES BREAK</v>
          </cell>
          <cell r="AD730">
            <v>0.25</v>
          </cell>
          <cell r="AE730" t="str">
            <v>VESSEL BREAK</v>
          </cell>
        </row>
        <row r="731">
          <cell r="R731">
            <v>8.1944444444444445E-2</v>
          </cell>
          <cell r="S731" t="str">
            <v xml:space="preserve">CONTINUE LOADING </v>
          </cell>
          <cell r="X731">
            <v>0.13194444444444445</v>
          </cell>
          <cell r="Y731" t="str">
            <v>ONGOING LOADING</v>
          </cell>
          <cell r="AA731">
            <v>6.1111111111111109E-2</v>
          </cell>
          <cell r="AB731" t="str">
            <v xml:space="preserve">RESUME LOADING </v>
          </cell>
        </row>
        <row r="732">
          <cell r="R732">
            <v>0.1361111111111111</v>
          </cell>
          <cell r="S732" t="str">
            <v>ONGOING LOADING</v>
          </cell>
          <cell r="X732">
            <v>0.15347222222222223</v>
          </cell>
          <cell r="Y732" t="str">
            <v>CONTINUE LOADING</v>
          </cell>
          <cell r="AA732">
            <v>9.166666666666666E-2</v>
          </cell>
          <cell r="AB732" t="str">
            <v>CONTINUE LOADING</v>
          </cell>
        </row>
        <row r="733">
          <cell r="R733">
            <v>0.17222222222222222</v>
          </cell>
          <cell r="S733" t="str">
            <v xml:space="preserve">CONTINUE LOADING </v>
          </cell>
          <cell r="X733">
            <v>0.15763888888888888</v>
          </cell>
          <cell r="Y733" t="str">
            <v>WAITING MATERIAL</v>
          </cell>
          <cell r="AA733">
            <v>0.1388888888888889</v>
          </cell>
          <cell r="AB733" t="str">
            <v xml:space="preserve">ONGOING LOADING </v>
          </cell>
        </row>
        <row r="734">
          <cell r="R734">
            <v>0.2048611111111111</v>
          </cell>
          <cell r="S734" t="str">
            <v>ONGOING LOADING</v>
          </cell>
          <cell r="AA734">
            <v>0.25</v>
          </cell>
          <cell r="AB734" t="str">
            <v>VESSEL BREAK</v>
          </cell>
        </row>
        <row r="735">
          <cell r="R735">
            <v>0.25</v>
          </cell>
          <cell r="S735" t="str">
            <v>VESSEL BREAK</v>
          </cell>
        </row>
        <row r="736">
          <cell r="D736" t="str">
            <v>INFINITY 8</v>
          </cell>
          <cell r="G736" t="str">
            <v>JOHANNAH 7</v>
          </cell>
          <cell r="I736" t="str">
            <v xml:space="preserve"> </v>
          </cell>
          <cell r="J736" t="str">
            <v>EFG 8</v>
          </cell>
          <cell r="M736" t="str">
            <v>VACANT</v>
          </cell>
          <cell r="P736" t="str">
            <v>EMERALD STAR</v>
          </cell>
          <cell r="S736" t="str">
            <v>EASTERN CEBU</v>
          </cell>
          <cell r="V736" t="str">
            <v>J-ANDI</v>
          </cell>
          <cell r="Y736" t="str">
            <v>LADY OF PEACE</v>
          </cell>
          <cell r="AA736" t="str">
            <v xml:space="preserve"> </v>
          </cell>
          <cell r="AB736" t="str">
            <v>QUEEN CECILIA DOS</v>
          </cell>
          <cell r="AE736" t="str">
            <v>ADOLFO SR</v>
          </cell>
          <cell r="AH736" t="str">
            <v>VACANT</v>
          </cell>
        </row>
        <row r="737">
          <cell r="C737">
            <v>0.29166666666666669</v>
          </cell>
          <cell r="D737" t="str">
            <v>WAITING MATERIAL</v>
          </cell>
          <cell r="F737">
            <v>0.29166666666666669</v>
          </cell>
          <cell r="G737" t="str">
            <v>WAITING VESSEL</v>
          </cell>
          <cell r="I737">
            <v>0.3263888888888889</v>
          </cell>
          <cell r="J737" t="str">
            <v>CONDUT KY</v>
          </cell>
          <cell r="L737">
            <v>0.29166666666666669</v>
          </cell>
          <cell r="M737" t="str">
            <v>WAITING VESSEL</v>
          </cell>
          <cell r="O737">
            <v>0.3263888888888889</v>
          </cell>
          <cell r="P737" t="str">
            <v>CONDUCT KY</v>
          </cell>
          <cell r="R737">
            <v>0.29166666666666669</v>
          </cell>
          <cell r="S737" t="str">
            <v>WAITING VESSEL</v>
          </cell>
          <cell r="U737" t="str">
            <v xml:space="preserve"> </v>
          </cell>
          <cell r="V737" t="str">
            <v xml:space="preserve"> </v>
          </cell>
          <cell r="X737">
            <v>0.29166666666666669</v>
          </cell>
          <cell r="Y737" t="str">
            <v>WAITING MATERIAL</v>
          </cell>
          <cell r="AA737">
            <v>0.3298611111111111</v>
          </cell>
          <cell r="AB737" t="str">
            <v>CONDUCT KY</v>
          </cell>
          <cell r="AD737">
            <v>0.3298611111111111</v>
          </cell>
          <cell r="AE737" t="str">
            <v>CONDUCT KY</v>
          </cell>
          <cell r="AG737">
            <v>0.29166666666666669</v>
          </cell>
          <cell r="AH737" t="str">
            <v>WAITING VESSEL</v>
          </cell>
        </row>
        <row r="738">
          <cell r="C738">
            <v>0.33333333333333331</v>
          </cell>
          <cell r="D738" t="str">
            <v>WAITING MATERIAL</v>
          </cell>
          <cell r="F738">
            <v>0.33333333333333331</v>
          </cell>
          <cell r="G738" t="str">
            <v>WAITING VESSEL</v>
          </cell>
          <cell r="I738">
            <v>0.33819444444444446</v>
          </cell>
          <cell r="J738" t="str">
            <v>CONTINUE LOADING SLING</v>
          </cell>
          <cell r="L738">
            <v>0.33333333333333331</v>
          </cell>
          <cell r="M738" t="str">
            <v>WAITING VESSEL</v>
          </cell>
          <cell r="O738">
            <v>0.34097222222222223</v>
          </cell>
          <cell r="P738" t="str">
            <v>CONTINUE LOADING SLING</v>
          </cell>
          <cell r="R738">
            <v>0.33333333333333331</v>
          </cell>
          <cell r="S738" t="str">
            <v>WAITING VESSEL</v>
          </cell>
          <cell r="U738" t="str">
            <v xml:space="preserve"> </v>
          </cell>
          <cell r="V738" t="str">
            <v xml:space="preserve"> </v>
          </cell>
          <cell r="X738">
            <v>0.33333333333333331</v>
          </cell>
          <cell r="Y738" t="str">
            <v>WAITING MATERIAL</v>
          </cell>
          <cell r="AA738">
            <v>0.33055555555555555</v>
          </cell>
          <cell r="AB738" t="str">
            <v>CONTINUE LOADING TONNER</v>
          </cell>
          <cell r="AD738">
            <v>0.41319444444444442</v>
          </cell>
          <cell r="AE738" t="str">
            <v>CONTINUE LOADING SLING</v>
          </cell>
          <cell r="AG738">
            <v>0.33333333333333331</v>
          </cell>
          <cell r="AH738" t="str">
            <v>WAITING VESSEL</v>
          </cell>
        </row>
        <row r="739">
          <cell r="C739">
            <v>0.375</v>
          </cell>
          <cell r="D739" t="str">
            <v>WAITING MATERIAL</v>
          </cell>
          <cell r="F739">
            <v>0.375</v>
          </cell>
          <cell r="G739" t="str">
            <v>WAITING VESSEL</v>
          </cell>
          <cell r="I739">
            <v>0.36666666666666664</v>
          </cell>
          <cell r="J739" t="str">
            <v>CONTINUE LOADING SLING</v>
          </cell>
          <cell r="L739">
            <v>0.375</v>
          </cell>
          <cell r="M739" t="str">
            <v>WAITING VESSEL</v>
          </cell>
          <cell r="O739">
            <v>0.37013888888888891</v>
          </cell>
          <cell r="P739" t="str">
            <v xml:space="preserve">CONTINUE LOADING SLING </v>
          </cell>
          <cell r="R739">
            <v>0.375</v>
          </cell>
          <cell r="S739" t="str">
            <v>WAITING VESSEL</v>
          </cell>
          <cell r="U739" t="str">
            <v xml:space="preserve"> </v>
          </cell>
          <cell r="V739" t="str">
            <v xml:space="preserve"> </v>
          </cell>
          <cell r="X739">
            <v>0.375</v>
          </cell>
          <cell r="Y739" t="str">
            <v>WAITING MATERIAL</v>
          </cell>
          <cell r="AA739">
            <v>0.36249999999999999</v>
          </cell>
          <cell r="AB739" t="str">
            <v>CONTINUE LOADING TONNER</v>
          </cell>
          <cell r="AD739">
            <v>0.37152777777777779</v>
          </cell>
          <cell r="AE739" t="str">
            <v>CONTINUE LOADING SLING</v>
          </cell>
          <cell r="AG739">
            <v>0.375</v>
          </cell>
          <cell r="AH739" t="str">
            <v>WAITING VESSEL</v>
          </cell>
        </row>
        <row r="740">
          <cell r="C740">
            <v>0.41666666666666669</v>
          </cell>
          <cell r="D740" t="str">
            <v>WAITING MATERIAL</v>
          </cell>
          <cell r="F740">
            <v>0.79166666666666663</v>
          </cell>
          <cell r="G740" t="str">
            <v>VACANT</v>
          </cell>
          <cell r="I740">
            <v>0.40277777777777779</v>
          </cell>
          <cell r="J740" t="str">
            <v>CONTINUE LOADING SLING</v>
          </cell>
          <cell r="L740">
            <v>0.79166666666666663</v>
          </cell>
          <cell r="M740" t="str">
            <v>VACANT</v>
          </cell>
          <cell r="O740">
            <v>0.41597222222222224</v>
          </cell>
          <cell r="P740" t="str">
            <v xml:space="preserve">CONTINUE LOADING SLING </v>
          </cell>
          <cell r="R740">
            <v>0.40625</v>
          </cell>
          <cell r="S740" t="str">
            <v>NEW VESSEL</v>
          </cell>
          <cell r="U740">
            <v>0.79166666666666663</v>
          </cell>
          <cell r="V740" t="str">
            <v>KY TOOLBOX</v>
          </cell>
          <cell r="X740">
            <v>0.41666666666666669</v>
          </cell>
          <cell r="Y740" t="str">
            <v>WAITING MATERIAL</v>
          </cell>
          <cell r="AA740">
            <v>0.3840277777777778</v>
          </cell>
          <cell r="AB740" t="str">
            <v>CONITNUE LOADING TONNER</v>
          </cell>
          <cell r="AD740">
            <v>0.42986111111111114</v>
          </cell>
          <cell r="AE740" t="str">
            <v>CONTINUE LOADING SLING</v>
          </cell>
          <cell r="AG740">
            <v>0.79166666666666663</v>
          </cell>
          <cell r="AH740" t="str">
            <v>VACANT</v>
          </cell>
        </row>
        <row r="741">
          <cell r="C741">
            <v>0.45833333333333331</v>
          </cell>
          <cell r="D741" t="str">
            <v>WAITING MATERIAL</v>
          </cell>
          <cell r="F741">
            <v>0.27777777777777779</v>
          </cell>
          <cell r="G741" t="str">
            <v xml:space="preserve">NEW VESSEL </v>
          </cell>
          <cell r="I741">
            <v>0.41666666666666669</v>
          </cell>
          <cell r="J741" t="str">
            <v>CONTINUE LOADING</v>
          </cell>
          <cell r="O741">
            <v>0.45069444444444445</v>
          </cell>
          <cell r="P741" t="str">
            <v xml:space="preserve">CONTINUE LOADING SLING </v>
          </cell>
          <cell r="R741">
            <v>0.79166666666666663</v>
          </cell>
          <cell r="S741" t="str">
            <v>NO BOOKING</v>
          </cell>
          <cell r="U741">
            <v>0.8125</v>
          </cell>
          <cell r="V741" t="str">
            <v>PRE LOADING PREP</v>
          </cell>
          <cell r="X741">
            <v>0.45833333333333331</v>
          </cell>
          <cell r="Y741" t="str">
            <v>WAITING MATERIAL</v>
          </cell>
          <cell r="AA741">
            <v>0.41180555555555554</v>
          </cell>
          <cell r="AB741" t="str">
            <v>CONITNUE LOADING TONNER</v>
          </cell>
          <cell r="AD741">
            <v>0.44930555555555557</v>
          </cell>
          <cell r="AE741" t="str">
            <v>CONTINUE LOADING SLING</v>
          </cell>
        </row>
        <row r="742">
          <cell r="C742">
            <v>0.5</v>
          </cell>
          <cell r="D742" t="str">
            <v>WAITING MATERIAL</v>
          </cell>
          <cell r="I742">
            <v>0.48125000000000001</v>
          </cell>
          <cell r="J742" t="str">
            <v>CONTINUE LOADING</v>
          </cell>
          <cell r="O742">
            <v>0.47916666666666669</v>
          </cell>
          <cell r="P742" t="str">
            <v>CONTINUE LOADING</v>
          </cell>
          <cell r="U742">
            <v>0.82361111111111107</v>
          </cell>
          <cell r="V742" t="str">
            <v xml:space="preserve">COMMENCE LOADING </v>
          </cell>
          <cell r="X742">
            <v>0.5</v>
          </cell>
          <cell r="Y742" t="str">
            <v>WAITING MATERIAL</v>
          </cell>
          <cell r="AA742">
            <v>0.43194444444444446</v>
          </cell>
          <cell r="AB742" t="str">
            <v>CONITNUE LOADING TONNER</v>
          </cell>
          <cell r="AD742">
            <v>0.46666666666666667</v>
          </cell>
          <cell r="AE742" t="str">
            <v>CONTINUE LOADING SLING</v>
          </cell>
        </row>
        <row r="743">
          <cell r="C743">
            <v>0.54166666666666663</v>
          </cell>
          <cell r="D743" t="str">
            <v>WAITING MATERIAL</v>
          </cell>
          <cell r="I743">
            <v>0.5</v>
          </cell>
          <cell r="J743" t="str">
            <v>LUNCHBREAK</v>
          </cell>
          <cell r="O743">
            <v>0.5</v>
          </cell>
          <cell r="P743" t="str">
            <v>LUNCH BREAK</v>
          </cell>
          <cell r="U743">
            <v>0.84722222222222221</v>
          </cell>
          <cell r="V743" t="str">
            <v xml:space="preserve">ONGOING LOADING </v>
          </cell>
          <cell r="X743">
            <v>0.54166666666666663</v>
          </cell>
          <cell r="Y743" t="str">
            <v>WAITING MATERIALS</v>
          </cell>
          <cell r="AA743">
            <v>0.45833333333333331</v>
          </cell>
          <cell r="AB743" t="str">
            <v>CONITNUE LOADING TONNER</v>
          </cell>
          <cell r="AD743">
            <v>0.5</v>
          </cell>
          <cell r="AE743" t="str">
            <v>LUNCH BREAK</v>
          </cell>
        </row>
        <row r="744">
          <cell r="C744">
            <v>0.59166666666666667</v>
          </cell>
          <cell r="D744" t="str">
            <v xml:space="preserve">COMMENCE LOADING </v>
          </cell>
          <cell r="I744">
            <v>0.54513888888888884</v>
          </cell>
          <cell r="J744" t="str">
            <v xml:space="preserve">CONTINUE LOADING </v>
          </cell>
          <cell r="O744">
            <v>0.56736111111111109</v>
          </cell>
          <cell r="P744" t="str">
            <v>CONTINUE LOADING</v>
          </cell>
          <cell r="U744">
            <v>0.91597222222222219</v>
          </cell>
          <cell r="V744" t="str">
            <v xml:space="preserve">CONTINUE LOADING </v>
          </cell>
          <cell r="X744">
            <v>0.58819444444444446</v>
          </cell>
          <cell r="Y744" t="str">
            <v>CONTINUE LOADING</v>
          </cell>
          <cell r="AA744">
            <v>0.47638888888888886</v>
          </cell>
          <cell r="AB744" t="str">
            <v>VESSEL COMPLETE</v>
          </cell>
          <cell r="AD744">
            <v>0.54166666666666663</v>
          </cell>
          <cell r="AE744" t="str">
            <v>WAITING SORE CRANE</v>
          </cell>
        </row>
        <row r="745">
          <cell r="C745">
            <v>0.68541666666666667</v>
          </cell>
          <cell r="D745" t="str">
            <v>VESSEL CLOSE</v>
          </cell>
          <cell r="I745">
            <v>0.60138888888888886</v>
          </cell>
          <cell r="J745" t="str">
            <v xml:space="preserve">CONTINUE LOADING </v>
          </cell>
          <cell r="O745">
            <v>0.60763888888888884</v>
          </cell>
          <cell r="P745" t="str">
            <v>COMPLETE LOADING</v>
          </cell>
          <cell r="U745">
            <v>0.95833333333333337</v>
          </cell>
          <cell r="V745" t="str">
            <v>STEVEDORES BREAK</v>
          </cell>
          <cell r="X745">
            <v>0.64166666666666672</v>
          </cell>
          <cell r="Y745" t="str">
            <v>CONTINUE LOADING</v>
          </cell>
          <cell r="AA745">
            <v>0.79166666666666663</v>
          </cell>
          <cell r="AB745" t="str">
            <v>VACANT</v>
          </cell>
          <cell r="AD745">
            <v>0.58333333333333337</v>
          </cell>
          <cell r="AE745" t="str">
            <v>CONTINUE LOADING</v>
          </cell>
        </row>
        <row r="746">
          <cell r="C746">
            <v>0.79166666666666663</v>
          </cell>
          <cell r="D746" t="str">
            <v>KY TOOLBOX</v>
          </cell>
          <cell r="I746">
            <v>0.63749999999999996</v>
          </cell>
          <cell r="J746" t="str">
            <v>CONTINUE LOADING</v>
          </cell>
          <cell r="O746">
            <v>0.79166666666666663</v>
          </cell>
          <cell r="P746" t="str">
            <v>VACANT</v>
          </cell>
          <cell r="U746">
            <v>7.6388888888888895E-2</v>
          </cell>
          <cell r="V746" t="str">
            <v xml:space="preserve">RESUME LOADING </v>
          </cell>
          <cell r="X746">
            <v>0.68541666666666667</v>
          </cell>
          <cell r="Y746" t="str">
            <v>VESSEL CLOSE</v>
          </cell>
          <cell r="AD746">
            <v>0.65833333333333333</v>
          </cell>
          <cell r="AE746" t="str">
            <v>CONTINUE LOADING</v>
          </cell>
        </row>
        <row r="747">
          <cell r="C747">
            <v>0.83333333333333337</v>
          </cell>
          <cell r="D747" t="str">
            <v xml:space="preserve">RESUME LOADING </v>
          </cell>
          <cell r="I747">
            <v>0.68541666666666667</v>
          </cell>
          <cell r="J747" t="str">
            <v>VESSEL CLOSED</v>
          </cell>
          <cell r="U747">
            <v>9.583333333333334E-2</v>
          </cell>
          <cell r="V747" t="str">
            <v>WAITING MATERIAL</v>
          </cell>
          <cell r="X747">
            <v>0.79166666666666663</v>
          </cell>
          <cell r="Y747" t="str">
            <v>KY TOOLBOX</v>
          </cell>
          <cell r="AD747">
            <v>0.68541666666666667</v>
          </cell>
          <cell r="AE747" t="str">
            <v>VESSEL CLOSED</v>
          </cell>
        </row>
        <row r="748">
          <cell r="C748">
            <v>0.87847222222222221</v>
          </cell>
          <cell r="D748" t="str">
            <v xml:space="preserve">ONGOING LOADING </v>
          </cell>
          <cell r="I748">
            <v>0.79166666666666663</v>
          </cell>
          <cell r="J748" t="str">
            <v>KY TOOLBOX</v>
          </cell>
          <cell r="X748">
            <v>0.8125</v>
          </cell>
          <cell r="Y748" t="str">
            <v xml:space="preserve">RESUME LOADING </v>
          </cell>
          <cell r="AD748">
            <v>0.79166666666666663</v>
          </cell>
          <cell r="AE748" t="str">
            <v>KY TOOLBOX</v>
          </cell>
        </row>
        <row r="749">
          <cell r="C749">
            <v>0.93263888888888891</v>
          </cell>
          <cell r="D749" t="str">
            <v xml:space="preserve">CONTINUE LOADING </v>
          </cell>
          <cell r="I749">
            <v>0.83402777777777781</v>
          </cell>
          <cell r="J749" t="str">
            <v xml:space="preserve">RESUME LOADING </v>
          </cell>
          <cell r="X749">
            <v>0.83958333333333335</v>
          </cell>
          <cell r="Y749" t="str">
            <v>CONTINUE LOADING</v>
          </cell>
          <cell r="AD749">
            <v>0.82430555555555551</v>
          </cell>
          <cell r="AE749" t="str">
            <v xml:space="preserve">RESUME LOADING </v>
          </cell>
        </row>
        <row r="750">
          <cell r="C750">
            <v>0.97152777777777777</v>
          </cell>
          <cell r="D750" t="str">
            <v xml:space="preserve">ONGOING LOADING </v>
          </cell>
          <cell r="I750" t="str">
            <v>"</v>
          </cell>
          <cell r="J750" t="str">
            <v>ONGOING LOADING</v>
          </cell>
          <cell r="X750">
            <v>0.86458333333333337</v>
          </cell>
          <cell r="Y750" t="str">
            <v>ONGOING LOADING</v>
          </cell>
          <cell r="AD750">
            <v>0.86527777777777781</v>
          </cell>
          <cell r="AE750" t="str">
            <v>ONGOING LOADING</v>
          </cell>
        </row>
        <row r="751">
          <cell r="C751">
            <v>0</v>
          </cell>
          <cell r="D751" t="str">
            <v>STEVEDORES BREAK</v>
          </cell>
          <cell r="I751">
            <v>0.9</v>
          </cell>
          <cell r="J751" t="str">
            <v xml:space="preserve">CONTINUE LOADING </v>
          </cell>
          <cell r="X751">
            <v>0.88472222222222219</v>
          </cell>
          <cell r="Y751" t="str">
            <v>CONTINUE LOADING</v>
          </cell>
          <cell r="AD751">
            <v>0.9194444444444444</v>
          </cell>
          <cell r="AE751" t="str">
            <v xml:space="preserve">CONTINUE LOADING </v>
          </cell>
        </row>
        <row r="752">
          <cell r="C752">
            <v>0.10208333333333333</v>
          </cell>
          <cell r="D752" t="str">
            <v xml:space="preserve">RESUME LOADING </v>
          </cell>
          <cell r="I752">
            <v>0.9291666666666667</v>
          </cell>
          <cell r="J752" t="str">
            <v>ONGOING LOADING</v>
          </cell>
          <cell r="X752">
            <v>0.95277777777777772</v>
          </cell>
          <cell r="Y752" t="str">
            <v>ONGOING LOADING</v>
          </cell>
          <cell r="AD752">
            <v>0.95833333333333337</v>
          </cell>
          <cell r="AE752" t="str">
            <v>STEVEDORES BREAK</v>
          </cell>
        </row>
        <row r="753">
          <cell r="C753">
            <v>0.11805555555555555</v>
          </cell>
          <cell r="D753" t="str">
            <v>WAITING UCES TRUCKING</v>
          </cell>
          <cell r="I753">
            <v>0.95625000000000004</v>
          </cell>
          <cell r="J753" t="str">
            <v xml:space="preserve">CONTINUE LOADING </v>
          </cell>
          <cell r="X753">
            <v>0.97291666666666665</v>
          </cell>
          <cell r="Y753" t="str">
            <v>CONTINUE LOADING</v>
          </cell>
          <cell r="AD753">
            <v>6.3888888888888884E-2</v>
          </cell>
          <cell r="AE753" t="str">
            <v xml:space="preserve">RESUME LOADING </v>
          </cell>
        </row>
        <row r="754">
          <cell r="I754">
            <v>0.96527777777777779</v>
          </cell>
          <cell r="J754" t="str">
            <v>LOADING COMPLETE</v>
          </cell>
          <cell r="X754">
            <v>3.472222222222222E-3</v>
          </cell>
          <cell r="Y754" t="str">
            <v>ONGOING LOADING</v>
          </cell>
          <cell r="AD754">
            <v>0.16527777777777777</v>
          </cell>
          <cell r="AE754" t="str">
            <v xml:space="preserve">RESUME LOADING </v>
          </cell>
        </row>
        <row r="755">
          <cell r="X755">
            <v>3.125E-2</v>
          </cell>
          <cell r="Y755" t="str">
            <v>CONTINUE LOADING</v>
          </cell>
          <cell r="AD755">
            <v>0.18263888888888888</v>
          </cell>
          <cell r="AE755" t="str">
            <v xml:space="preserve">CONTINUE LOADING </v>
          </cell>
        </row>
        <row r="756">
          <cell r="X756">
            <v>8.1944444444444445E-2</v>
          </cell>
          <cell r="Y756" t="str">
            <v>ONGOING LOADING</v>
          </cell>
          <cell r="AD756">
            <v>0.21041666666666667</v>
          </cell>
          <cell r="AE756" t="str">
            <v>ONGOING LOADING</v>
          </cell>
        </row>
        <row r="757">
          <cell r="X757">
            <v>7.2916666666666671E-2</v>
          </cell>
          <cell r="Y757" t="str">
            <v>CONTINUE LOADING</v>
          </cell>
          <cell r="AD757">
            <v>0.22500000000000001</v>
          </cell>
          <cell r="AE757" t="str">
            <v xml:space="preserve">CONTINUE LOADING </v>
          </cell>
        </row>
        <row r="758">
          <cell r="X758">
            <v>0.10486111111111111</v>
          </cell>
          <cell r="Y758" t="str">
            <v>ONGOING LOADING</v>
          </cell>
        </row>
        <row r="759">
          <cell r="X759">
            <v>0.14374999999999999</v>
          </cell>
          <cell r="Y759" t="str">
            <v>CONTINUE LOADING</v>
          </cell>
        </row>
        <row r="760">
          <cell r="X760">
            <v>0.16527777777777777</v>
          </cell>
          <cell r="Y760" t="str">
            <v>ONGOING LOADING</v>
          </cell>
        </row>
        <row r="761">
          <cell r="X761">
            <v>0.19513888888888889</v>
          </cell>
          <cell r="Y761" t="str">
            <v>CONTINUE LOADING</v>
          </cell>
        </row>
        <row r="762">
          <cell r="X762">
            <v>0.22152777777777777</v>
          </cell>
          <cell r="Y762" t="str">
            <v>ONGOING LOADING</v>
          </cell>
        </row>
        <row r="763">
          <cell r="X763">
            <v>0.2298611111111111</v>
          </cell>
          <cell r="Y763" t="str">
            <v>LOADING COMPLETE</v>
          </cell>
        </row>
        <row r="764">
          <cell r="D764" t="str">
            <v>INFINITY 8</v>
          </cell>
          <cell r="G764" t="str">
            <v>JOHANNAH 7</v>
          </cell>
          <cell r="I764" t="str">
            <v xml:space="preserve"> </v>
          </cell>
          <cell r="J764" t="str">
            <v>VACANT</v>
          </cell>
          <cell r="M764" t="str">
            <v>VACANT</v>
          </cell>
          <cell r="P764" t="str">
            <v>VACANT</v>
          </cell>
          <cell r="S764" t="str">
            <v>VACANT</v>
          </cell>
          <cell r="V764" t="str">
            <v>J-ANDI</v>
          </cell>
          <cell r="Y764" t="str">
            <v>VACANT</v>
          </cell>
          <cell r="AA764" t="str">
            <v xml:space="preserve"> </v>
          </cell>
          <cell r="AB764" t="str">
            <v>EASTERN CEBU</v>
          </cell>
          <cell r="AE764" t="str">
            <v>VACANT</v>
          </cell>
          <cell r="AH764" t="str">
            <v>VACANT</v>
          </cell>
        </row>
        <row r="765">
          <cell r="C765">
            <v>0.29166666666666669</v>
          </cell>
          <cell r="D765" t="str">
            <v xml:space="preserve">WAITING UCES TRUCKING </v>
          </cell>
          <cell r="F765">
            <v>0.29166666666666669</v>
          </cell>
          <cell r="G765" t="str">
            <v>WAITING VESSEL</v>
          </cell>
          <cell r="I765">
            <v>0.29166666666666669</v>
          </cell>
          <cell r="J765" t="str">
            <v>VESSEL COMPLETE</v>
          </cell>
          <cell r="L765">
            <v>0.29166666666666669</v>
          </cell>
          <cell r="M765" t="str">
            <v>WAITING VESSEL</v>
          </cell>
          <cell r="O765">
            <v>0.29166666666666669</v>
          </cell>
          <cell r="P765" t="str">
            <v xml:space="preserve">WAITING VESSEL </v>
          </cell>
          <cell r="R765">
            <v>0.29166666666666669</v>
          </cell>
          <cell r="S765" t="str">
            <v>WAITING VESSEL</v>
          </cell>
          <cell r="U765">
            <v>0.29166666666666669</v>
          </cell>
          <cell r="V765" t="str">
            <v>WAITING MATERIAL</v>
          </cell>
          <cell r="X765">
            <v>0.29166666666666669</v>
          </cell>
          <cell r="Y765" t="str">
            <v>VESSEL COMPLETE</v>
          </cell>
          <cell r="AA765">
            <v>0.29166666666666669</v>
          </cell>
          <cell r="AB765" t="str">
            <v>WAITING VESSEL</v>
          </cell>
          <cell r="AD765">
            <v>0.32291666666666669</v>
          </cell>
          <cell r="AE765" t="str">
            <v>CONDUCT KY</v>
          </cell>
          <cell r="AG765">
            <v>0.29166666666666669</v>
          </cell>
          <cell r="AH765" t="str">
            <v>WAITING VESSEL</v>
          </cell>
        </row>
        <row r="766">
          <cell r="C766">
            <v>0.33333333333333331</v>
          </cell>
          <cell r="D766" t="str">
            <v xml:space="preserve">WAITING UCES TRUCKING </v>
          </cell>
          <cell r="F766">
            <v>0.33333333333333331</v>
          </cell>
          <cell r="G766" t="str">
            <v xml:space="preserve">NEW VESSEL </v>
          </cell>
          <cell r="I766">
            <v>0.33333333333333331</v>
          </cell>
          <cell r="J766" t="str">
            <v>VESSEL COMPLETE</v>
          </cell>
          <cell r="L766">
            <v>0.33333333333333331</v>
          </cell>
          <cell r="M766" t="str">
            <v>WAITING VESSEL</v>
          </cell>
          <cell r="O766">
            <v>0.33333333333333331</v>
          </cell>
          <cell r="P766" t="str">
            <v>WAITING VESSEL</v>
          </cell>
          <cell r="R766">
            <v>0.33333333333333331</v>
          </cell>
          <cell r="S766" t="str">
            <v>WAITING VESSEL</v>
          </cell>
          <cell r="U766">
            <v>0.33333333333333331</v>
          </cell>
          <cell r="V766" t="str">
            <v>WAITING MATERIAL</v>
          </cell>
          <cell r="X766">
            <v>0.33333333333333331</v>
          </cell>
          <cell r="Y766" t="str">
            <v>WAITING VESSEL</v>
          </cell>
          <cell r="AA766">
            <v>0.57361111111111107</v>
          </cell>
          <cell r="AB766" t="str">
            <v>TRANSFER FROM BERTH 6 TO 9</v>
          </cell>
          <cell r="AD766">
            <v>0.34722222222222221</v>
          </cell>
          <cell r="AE766" t="str">
            <v>CONTINUE LOADING SLING</v>
          </cell>
          <cell r="AG766">
            <v>0.33333333333333331</v>
          </cell>
          <cell r="AH766" t="str">
            <v>WAITING VESSEL</v>
          </cell>
        </row>
        <row r="767">
          <cell r="C767">
            <v>0.375</v>
          </cell>
          <cell r="D767" t="str">
            <v xml:space="preserve">WAITING UCES TRUCKING </v>
          </cell>
          <cell r="F767">
            <v>0.375</v>
          </cell>
          <cell r="G767" t="str">
            <v xml:space="preserve">NEW VESSEL </v>
          </cell>
          <cell r="I767">
            <v>0.375</v>
          </cell>
          <cell r="J767" t="str">
            <v>VESSEL COMPLETE</v>
          </cell>
          <cell r="L767">
            <v>0.375</v>
          </cell>
          <cell r="M767" t="str">
            <v>WAITING VESSEL</v>
          </cell>
          <cell r="O767">
            <v>0.375</v>
          </cell>
          <cell r="P767" t="str">
            <v>WAITING VESSEL</v>
          </cell>
          <cell r="R767">
            <v>0.375</v>
          </cell>
          <cell r="S767" t="str">
            <v>WAITING VESSEL</v>
          </cell>
          <cell r="U767">
            <v>0.375</v>
          </cell>
          <cell r="V767" t="str">
            <v>WAITING MATERIAL</v>
          </cell>
          <cell r="X767">
            <v>0.375</v>
          </cell>
          <cell r="Y767" t="str">
            <v>WAITING VESSEL</v>
          </cell>
          <cell r="AA767">
            <v>0.58333333333333337</v>
          </cell>
          <cell r="AB767" t="str">
            <v>SECURE BERTH 9</v>
          </cell>
          <cell r="AD767">
            <v>0.36319444444444443</v>
          </cell>
          <cell r="AE767" t="str">
            <v>CONTINUE LOADING SLING</v>
          </cell>
          <cell r="AG767">
            <v>0.375</v>
          </cell>
          <cell r="AH767" t="str">
            <v>WAITING VESSEL</v>
          </cell>
        </row>
        <row r="768">
          <cell r="C768">
            <v>0.41666666666666669</v>
          </cell>
          <cell r="D768" t="str">
            <v xml:space="preserve">WAITING UCES TRUCKING </v>
          </cell>
          <cell r="F768">
            <v>0.41666666666666669</v>
          </cell>
          <cell r="G768" t="str">
            <v xml:space="preserve">NEW VESSEL </v>
          </cell>
          <cell r="I768">
            <v>0.41666666666666669</v>
          </cell>
          <cell r="J768" t="str">
            <v>VESSEL COMPLETE</v>
          </cell>
          <cell r="L768">
            <v>0.41666666666666669</v>
          </cell>
          <cell r="M768" t="str">
            <v>WAITING VESSEL</v>
          </cell>
          <cell r="O768">
            <v>0.41666666666666669</v>
          </cell>
          <cell r="P768" t="str">
            <v>WAITING VESSEL</v>
          </cell>
          <cell r="R768">
            <v>0.41666666666666669</v>
          </cell>
          <cell r="S768" t="str">
            <v>WAITING VESSEL</v>
          </cell>
          <cell r="U768">
            <v>0.41041666666666665</v>
          </cell>
          <cell r="V768" t="str">
            <v xml:space="preserve">RESUME LOADING SLING </v>
          </cell>
          <cell r="X768">
            <v>0.41666666666666669</v>
          </cell>
          <cell r="Y768" t="str">
            <v>WAITING VESSEL</v>
          </cell>
          <cell r="AA768">
            <v>0.61805555555555558</v>
          </cell>
          <cell r="AB768" t="str">
            <v xml:space="preserve">COMMENCE LOADING </v>
          </cell>
          <cell r="AD768">
            <v>0.37847222222222221</v>
          </cell>
          <cell r="AE768" t="str">
            <v>CONTINUE LOADING SLING</v>
          </cell>
          <cell r="AG768">
            <v>0.41666666666666669</v>
          </cell>
          <cell r="AH768" t="str">
            <v>WAITING VESSEL</v>
          </cell>
        </row>
        <row r="769">
          <cell r="C769">
            <v>0.42638888888888887</v>
          </cell>
          <cell r="D769" t="str">
            <v>RESUME LOADING SLING</v>
          </cell>
          <cell r="F769">
            <v>0.45833333333333331</v>
          </cell>
          <cell r="G769" t="str">
            <v xml:space="preserve">NEW VESSEL </v>
          </cell>
          <cell r="I769">
            <v>0.45833333333333331</v>
          </cell>
          <cell r="J769" t="str">
            <v>WAITING VESSEL</v>
          </cell>
          <cell r="L769">
            <v>0.45833333333333331</v>
          </cell>
          <cell r="M769" t="str">
            <v>WAITING VESSEL</v>
          </cell>
          <cell r="O769">
            <v>0.45833333333333331</v>
          </cell>
          <cell r="P769" t="str">
            <v>WAITING VESSEL</v>
          </cell>
          <cell r="R769">
            <v>0.45833333333333331</v>
          </cell>
          <cell r="S769" t="str">
            <v>WAITING VESSEL</v>
          </cell>
          <cell r="U769">
            <v>0.4236111111111111</v>
          </cell>
          <cell r="V769" t="str">
            <v>WAITING MATERIAL</v>
          </cell>
          <cell r="X769">
            <v>0.45833333333333331</v>
          </cell>
          <cell r="Y769" t="str">
            <v>WAITING VESSEL</v>
          </cell>
          <cell r="AA769">
            <v>0.62986111111111109</v>
          </cell>
          <cell r="AB769" t="str">
            <v>CONTINUE LOADING SLING</v>
          </cell>
          <cell r="AD769">
            <v>0.39027777777777778</v>
          </cell>
          <cell r="AE769" t="str">
            <v>CONITNUE LOADING SLING</v>
          </cell>
          <cell r="AG769">
            <v>0.45833333333333331</v>
          </cell>
          <cell r="AH769" t="str">
            <v>WAITING VESSEL</v>
          </cell>
        </row>
        <row r="770">
          <cell r="C770">
            <v>0.56458333333333333</v>
          </cell>
          <cell r="D770" t="str">
            <v>CONTINUE LOADING SLING</v>
          </cell>
          <cell r="F770">
            <v>0.5</v>
          </cell>
          <cell r="G770" t="str">
            <v xml:space="preserve">NEW VESSEL </v>
          </cell>
          <cell r="I770">
            <v>0.5</v>
          </cell>
          <cell r="J770" t="str">
            <v>WAITING VESSEL</v>
          </cell>
          <cell r="L770">
            <v>0.5</v>
          </cell>
          <cell r="M770" t="str">
            <v>WAITING VESSEL</v>
          </cell>
          <cell r="O770">
            <v>0.5</v>
          </cell>
          <cell r="P770" t="str">
            <v>WAITING VESSEL</v>
          </cell>
          <cell r="R770">
            <v>0.5</v>
          </cell>
          <cell r="S770" t="str">
            <v>WAITING VESSEL</v>
          </cell>
          <cell r="U770">
            <v>0.56111111111111112</v>
          </cell>
          <cell r="V770" t="str">
            <v xml:space="preserve">RESUME LOADING SLING </v>
          </cell>
          <cell r="X770">
            <v>0.5</v>
          </cell>
          <cell r="Y770" t="str">
            <v>WAITING VESSEL</v>
          </cell>
          <cell r="AA770">
            <v>0.64444444444444449</v>
          </cell>
          <cell r="AB770" t="str">
            <v>CONTINUE LOADING SLING</v>
          </cell>
          <cell r="AD770">
            <v>0.40625</v>
          </cell>
          <cell r="AE770" t="str">
            <v>CONTINUE LOADING SLING</v>
          </cell>
          <cell r="AG770">
            <v>0.5</v>
          </cell>
          <cell r="AH770" t="str">
            <v>WAITING VESSEL</v>
          </cell>
        </row>
        <row r="771">
          <cell r="C771">
            <v>0.5854166666666667</v>
          </cell>
          <cell r="D771" t="str">
            <v>CONTINUE LOADING SLING</v>
          </cell>
          <cell r="F771">
            <v>0.54166666666666663</v>
          </cell>
          <cell r="G771" t="str">
            <v xml:space="preserve">NEW VESSEL </v>
          </cell>
          <cell r="I771">
            <v>0.54166666666666663</v>
          </cell>
          <cell r="J771" t="str">
            <v>WAITING VESSEL</v>
          </cell>
          <cell r="L771">
            <v>0.54166666666666663</v>
          </cell>
          <cell r="M771" t="str">
            <v>WAITING VESSEL</v>
          </cell>
          <cell r="O771">
            <v>0.54166666666666663</v>
          </cell>
          <cell r="P771" t="str">
            <v>WAITING VESSEL</v>
          </cell>
          <cell r="R771">
            <v>0.54166666666666663</v>
          </cell>
          <cell r="S771" t="str">
            <v>WAITING VESSEL</v>
          </cell>
          <cell r="U771">
            <v>0.58333333333333337</v>
          </cell>
          <cell r="V771" t="str">
            <v>WAITING MATERIAL</v>
          </cell>
          <cell r="X771">
            <v>0.54166666666666663</v>
          </cell>
          <cell r="Y771" t="str">
            <v>WAITING VESSEL</v>
          </cell>
          <cell r="AA771">
            <v>0.66319444444444442</v>
          </cell>
          <cell r="AB771" t="str">
            <v>CONTINUE LOADING SLING</v>
          </cell>
          <cell r="AD771">
            <v>0.41666666666666669</v>
          </cell>
          <cell r="AE771" t="str">
            <v>VESSEL COMPLETE</v>
          </cell>
          <cell r="AG771">
            <v>0.54166666666666663</v>
          </cell>
          <cell r="AH771" t="str">
            <v>WAITING VESSEL</v>
          </cell>
        </row>
        <row r="772">
          <cell r="C772">
            <v>0.6479166666666667</v>
          </cell>
          <cell r="D772" t="str">
            <v>CONTINUE LOADING SLING</v>
          </cell>
          <cell r="F772">
            <v>0.58333333333333337</v>
          </cell>
          <cell r="G772" t="str">
            <v xml:space="preserve">NEW VESSEL </v>
          </cell>
          <cell r="I772">
            <v>0.58333333333333337</v>
          </cell>
          <cell r="J772" t="str">
            <v>WAITING VESSEL</v>
          </cell>
          <cell r="L772">
            <v>0.58333333333333337</v>
          </cell>
          <cell r="M772" t="str">
            <v>WAITING VESSEL</v>
          </cell>
          <cell r="O772">
            <v>0.58333333333333337</v>
          </cell>
          <cell r="P772" t="str">
            <v>WAITING VESSEL</v>
          </cell>
          <cell r="R772">
            <v>0.58333333333333337</v>
          </cell>
          <cell r="S772" t="str">
            <v>WAITING VESSEL</v>
          </cell>
          <cell r="U772">
            <v>0.625</v>
          </cell>
          <cell r="V772" t="str">
            <v>WAITING MATERIAL</v>
          </cell>
          <cell r="X772">
            <v>0.58333333333333337</v>
          </cell>
          <cell r="Y772" t="str">
            <v>WAITING VESSEL</v>
          </cell>
          <cell r="AA772">
            <v>0.67986111111111114</v>
          </cell>
          <cell r="AB772" t="str">
            <v>CONTINUE LOADING SLING</v>
          </cell>
          <cell r="AD772">
            <v>0.45833333333333331</v>
          </cell>
          <cell r="AE772" t="str">
            <v>VESSEL COMPLETE</v>
          </cell>
          <cell r="AG772">
            <v>0.58333333333333337</v>
          </cell>
          <cell r="AH772" t="str">
            <v>WAITING VESSEL</v>
          </cell>
        </row>
        <row r="773">
          <cell r="C773">
            <v>0.66666666666666663</v>
          </cell>
          <cell r="D773" t="str">
            <v>WAITING MATERIAL</v>
          </cell>
          <cell r="F773">
            <v>0.625</v>
          </cell>
          <cell r="G773" t="str">
            <v xml:space="preserve">NEW VESSEL </v>
          </cell>
          <cell r="I773">
            <v>0.625</v>
          </cell>
          <cell r="J773" t="str">
            <v>WAITING VESSEL</v>
          </cell>
          <cell r="L773">
            <v>0.625</v>
          </cell>
          <cell r="M773" t="str">
            <v>WAITING VESSEL</v>
          </cell>
          <cell r="O773">
            <v>0.625</v>
          </cell>
          <cell r="P773" t="str">
            <v>WAITING VESSEL</v>
          </cell>
          <cell r="R773">
            <v>0.625</v>
          </cell>
          <cell r="S773" t="str">
            <v>WAITING VESSEL</v>
          </cell>
          <cell r="U773">
            <v>0.66666666666666663</v>
          </cell>
          <cell r="V773" t="str">
            <v>WAITING MATERIAL</v>
          </cell>
          <cell r="X773">
            <v>0.625</v>
          </cell>
          <cell r="Y773" t="str">
            <v>WAITING VESSEL</v>
          </cell>
          <cell r="AA773">
            <v>0.72569444444444442</v>
          </cell>
          <cell r="AB773" t="str">
            <v>CONTINUE LOADING SLING</v>
          </cell>
          <cell r="AD773">
            <v>0.5</v>
          </cell>
          <cell r="AE773" t="str">
            <v>VESSEL COMPLETE</v>
          </cell>
          <cell r="AG773">
            <v>0.625</v>
          </cell>
          <cell r="AH773" t="str">
            <v>WAITING VESSEL</v>
          </cell>
        </row>
        <row r="774">
          <cell r="C774">
            <v>0.79166666666666663</v>
          </cell>
          <cell r="D774" t="str">
            <v>KY TOOLBOX</v>
          </cell>
          <cell r="F774">
            <v>0.64236111111111116</v>
          </cell>
          <cell r="G774" t="str">
            <v>COMMENCE LOADING SLING</v>
          </cell>
          <cell r="I774">
            <v>0.66666666666666663</v>
          </cell>
          <cell r="J774" t="str">
            <v>WAITING VESSEL</v>
          </cell>
          <cell r="L774">
            <v>0.66666666666666663</v>
          </cell>
          <cell r="M774" t="str">
            <v>WAITING VESSEL</v>
          </cell>
          <cell r="O774">
            <v>0.66666666666666663</v>
          </cell>
          <cell r="P774" t="str">
            <v>WAITING VESSEL</v>
          </cell>
          <cell r="R774">
            <v>0.66666666666666663</v>
          </cell>
          <cell r="S774" t="str">
            <v>WAITING VESSEL</v>
          </cell>
          <cell r="U774">
            <v>0.79166666666666663</v>
          </cell>
          <cell r="V774" t="str">
            <v>KY TOOLBOX</v>
          </cell>
          <cell r="X774">
            <v>0.66666666666666663</v>
          </cell>
          <cell r="Y774" t="str">
            <v>WAITING VESSEL</v>
          </cell>
          <cell r="AA774">
            <v>0.79166666666666663</v>
          </cell>
          <cell r="AB774" t="str">
            <v>KY TOOLBOX</v>
          </cell>
          <cell r="AD774">
            <v>0.54166666666666663</v>
          </cell>
          <cell r="AE774" t="str">
            <v>VESSEL COMPLETE</v>
          </cell>
          <cell r="AG774">
            <v>0.66666666666666663</v>
          </cell>
          <cell r="AH774" t="str">
            <v>WAITING VESSEL</v>
          </cell>
        </row>
        <row r="775">
          <cell r="C775">
            <v>0.83333333333333337</v>
          </cell>
          <cell r="D775" t="str">
            <v>ONBOARD FORKLIFT</v>
          </cell>
          <cell r="F775">
            <v>0.66666666666666663</v>
          </cell>
          <cell r="G775" t="str">
            <v>WAITING DELIVERY MATERIALS</v>
          </cell>
          <cell r="I775">
            <v>0.79166666666666663</v>
          </cell>
          <cell r="J775" t="str">
            <v>VACANT</v>
          </cell>
          <cell r="L775">
            <v>0.79166666666666663</v>
          </cell>
          <cell r="M775" t="str">
            <v>VACANT</v>
          </cell>
          <cell r="O775">
            <v>0.79166666666666663</v>
          </cell>
          <cell r="P775" t="str">
            <v>VACANT</v>
          </cell>
          <cell r="R775">
            <v>0.79166666666666663</v>
          </cell>
          <cell r="S775" t="str">
            <v>VACANT</v>
          </cell>
          <cell r="U775">
            <v>0.83194444444444449</v>
          </cell>
          <cell r="V775" t="str">
            <v xml:space="preserve">RESUME LOADING </v>
          </cell>
          <cell r="X775">
            <v>0.79166666666666663</v>
          </cell>
          <cell r="Y775" t="str">
            <v>VACANT</v>
          </cell>
          <cell r="AA775">
            <v>0.83194444444444449</v>
          </cell>
          <cell r="AB775" t="str">
            <v xml:space="preserve">RESUME LOADING </v>
          </cell>
          <cell r="AD775">
            <v>0.58333333333333337</v>
          </cell>
          <cell r="AE775" t="str">
            <v>WAITING VESSEL</v>
          </cell>
          <cell r="AG775">
            <v>0.79166666666666663</v>
          </cell>
          <cell r="AH775" t="str">
            <v>VACANT</v>
          </cell>
        </row>
        <row r="776">
          <cell r="C776">
            <v>0.875</v>
          </cell>
          <cell r="D776" t="str">
            <v>RESUME LOADING</v>
          </cell>
          <cell r="F776">
            <v>0.70833333333333337</v>
          </cell>
          <cell r="G776" t="str">
            <v xml:space="preserve">CONTINUE LOADING </v>
          </cell>
          <cell r="U776">
            <v>0.85972222222222228</v>
          </cell>
          <cell r="V776" t="str">
            <v xml:space="preserve">ONGOING LOADING </v>
          </cell>
          <cell r="AA776">
            <v>0.85416666666666663</v>
          </cell>
          <cell r="AB776" t="str">
            <v xml:space="preserve">CONTINUE LOADING </v>
          </cell>
          <cell r="AD776">
            <v>0.625</v>
          </cell>
          <cell r="AE776" t="str">
            <v>WAITING VESSEL</v>
          </cell>
        </row>
        <row r="777">
          <cell r="C777">
            <v>0.89722222222222225</v>
          </cell>
          <cell r="D777" t="str">
            <v xml:space="preserve">CONTINUE LOADING </v>
          </cell>
          <cell r="F777">
            <v>0.79166666666666663</v>
          </cell>
          <cell r="G777" t="str">
            <v>WAITING MATERIAL</v>
          </cell>
          <cell r="U777">
            <v>0.8833333333333333</v>
          </cell>
          <cell r="V777" t="str">
            <v xml:space="preserve">CONTINUE LOADING </v>
          </cell>
          <cell r="AA777">
            <v>0.87569444444444444</v>
          </cell>
          <cell r="AB777" t="str">
            <v xml:space="preserve">ONGOING LOADING </v>
          </cell>
          <cell r="AD777">
            <v>0.66666666666666663</v>
          </cell>
          <cell r="AE777" t="str">
            <v>WAITING VESSEL</v>
          </cell>
        </row>
        <row r="778">
          <cell r="C778">
            <v>0.92500000000000004</v>
          </cell>
          <cell r="D778" t="str">
            <v xml:space="preserve">ONGOING LOADING </v>
          </cell>
          <cell r="F778">
            <v>0.85902777777777772</v>
          </cell>
          <cell r="G778" t="str">
            <v xml:space="preserve">RESUME LOADING </v>
          </cell>
          <cell r="U778">
            <v>0.9194444444444444</v>
          </cell>
          <cell r="V778" t="str">
            <v xml:space="preserve">ONGOING LOADING </v>
          </cell>
          <cell r="AA778">
            <v>0.89930555555555558</v>
          </cell>
          <cell r="AB778" t="str">
            <v xml:space="preserve">CONTINUE LOADING </v>
          </cell>
          <cell r="AD778">
            <v>0.79166666666666663</v>
          </cell>
          <cell r="AE778" t="str">
            <v>VACANT</v>
          </cell>
        </row>
        <row r="779">
          <cell r="C779">
            <v>0.95208333333333328</v>
          </cell>
          <cell r="D779" t="str">
            <v xml:space="preserve">CONTINUE LOADING </v>
          </cell>
          <cell r="F779">
            <v>0.91388888888888886</v>
          </cell>
          <cell r="G779" t="str">
            <v xml:space="preserve">CONTINUE LOADING </v>
          </cell>
          <cell r="U779">
            <v>0.95625000000000004</v>
          </cell>
          <cell r="V779" t="str">
            <v xml:space="preserve">CONTINUE LOADING </v>
          </cell>
          <cell r="AA779">
            <v>0.91666666666666663</v>
          </cell>
          <cell r="AB779" t="str">
            <v xml:space="preserve">ONGOING LOADING </v>
          </cell>
        </row>
        <row r="780">
          <cell r="C780">
            <v>0.97916666666666663</v>
          </cell>
          <cell r="D780" t="str">
            <v xml:space="preserve">ONGOING LOADING </v>
          </cell>
          <cell r="F780">
            <v>0.93125000000000002</v>
          </cell>
          <cell r="G780" t="str">
            <v>WAITING MATERIAL</v>
          </cell>
          <cell r="U780">
            <v>0.96875</v>
          </cell>
          <cell r="V780" t="str">
            <v>WAITING MATERIAL</v>
          </cell>
          <cell r="AA780">
            <v>0.93263888888888891</v>
          </cell>
          <cell r="AB780" t="str">
            <v xml:space="preserve">CONTINUE LOADING </v>
          </cell>
        </row>
        <row r="781">
          <cell r="C781">
            <v>0</v>
          </cell>
          <cell r="D781" t="str">
            <v>STEVEDORES BREAK</v>
          </cell>
          <cell r="F781">
            <v>5.2083333333333336E-2</v>
          </cell>
          <cell r="G781" t="str">
            <v xml:space="preserve">RESUME LOADING </v>
          </cell>
          <cell r="U781">
            <v>0.1673611111111111</v>
          </cell>
          <cell r="V781" t="str">
            <v xml:space="preserve">ONGOING LOADING </v>
          </cell>
          <cell r="AA781">
            <v>0.96944444444444444</v>
          </cell>
          <cell r="AB781" t="str">
            <v xml:space="preserve">ONGOING LOADING </v>
          </cell>
        </row>
        <row r="782">
          <cell r="C782">
            <v>5.9722222222222225E-2</v>
          </cell>
          <cell r="D782" t="str">
            <v xml:space="preserve">RESUME LOADING </v>
          </cell>
          <cell r="F782">
            <v>6.8750000000000006E-2</v>
          </cell>
          <cell r="G782" t="str">
            <v>WAITING MATERIAL</v>
          </cell>
          <cell r="U782">
            <v>0.18055555555555555</v>
          </cell>
          <cell r="V782" t="str">
            <v>WAITING MATERIAL</v>
          </cell>
          <cell r="AA782">
            <v>0.98333333333333328</v>
          </cell>
          <cell r="AB782" t="str">
            <v xml:space="preserve">CONTINUE LOADING </v>
          </cell>
        </row>
        <row r="783">
          <cell r="C783">
            <v>7.9166666666666663E-2</v>
          </cell>
          <cell r="D783" t="str">
            <v>WAITING MATERIAL</v>
          </cell>
          <cell r="F783">
            <v>0.17083333333333334</v>
          </cell>
          <cell r="G783" t="str">
            <v xml:space="preserve">CONTINUE LOADING </v>
          </cell>
          <cell r="AA783">
            <v>0.15347222222222223</v>
          </cell>
          <cell r="AB783" t="str">
            <v xml:space="preserve">CONTINUE LOADING </v>
          </cell>
        </row>
        <row r="784">
          <cell r="C784">
            <v>0.15347222222222223</v>
          </cell>
          <cell r="D784" t="str">
            <v xml:space="preserve">RESUME LOADING </v>
          </cell>
          <cell r="F784">
            <v>0.18888888888888888</v>
          </cell>
          <cell r="G784" t="str">
            <v>WAITING MATERIAL</v>
          </cell>
          <cell r="AA784">
            <v>0.18888888888888888</v>
          </cell>
          <cell r="AB784" t="str">
            <v xml:space="preserve">ONGOING LOADING </v>
          </cell>
        </row>
        <row r="785">
          <cell r="C785">
            <v>0.16666666666666666</v>
          </cell>
          <cell r="D785" t="str">
            <v>WAITING MATERIAL</v>
          </cell>
          <cell r="AA785">
            <v>0.20277777777777778</v>
          </cell>
          <cell r="AB785" t="str">
            <v xml:space="preserve">CONTINUE LOADING </v>
          </cell>
        </row>
        <row r="786">
          <cell r="AA786">
            <v>0.18888888888888888</v>
          </cell>
          <cell r="AB786" t="str">
            <v xml:space="preserve">ONGOING LOADING </v>
          </cell>
        </row>
        <row r="787">
          <cell r="AA787">
            <v>0.22083333333333333</v>
          </cell>
          <cell r="AB787" t="str">
            <v xml:space="preserve">CONTINUE LOADING </v>
          </cell>
        </row>
        <row r="788">
          <cell r="AA788">
            <v>0.23402777777777778</v>
          </cell>
          <cell r="AB788" t="str">
            <v xml:space="preserve">ONGOING LOADING </v>
          </cell>
        </row>
        <row r="789">
          <cell r="AA789">
            <v>0.24166666666666667</v>
          </cell>
          <cell r="AB789" t="str">
            <v>WAITING MATERIAL</v>
          </cell>
        </row>
        <row r="790">
          <cell r="D790" t="str">
            <v>INFINITY 8</v>
          </cell>
          <cell r="G790" t="str">
            <v>JOHANNAH 7</v>
          </cell>
          <cell r="I790" t="str">
            <v xml:space="preserve"> </v>
          </cell>
          <cell r="J790" t="str">
            <v>VACANT</v>
          </cell>
          <cell r="M790" t="str">
            <v>VACANT</v>
          </cell>
          <cell r="P790" t="str">
            <v>VACANT</v>
          </cell>
          <cell r="S790" t="str">
            <v>VACANT</v>
          </cell>
          <cell r="V790" t="str">
            <v>J-ANDI</v>
          </cell>
          <cell r="Y790" t="str">
            <v>VACANT</v>
          </cell>
          <cell r="AA790" t="str">
            <v xml:space="preserve"> </v>
          </cell>
          <cell r="AB790" t="str">
            <v>LADY OF COURAGE</v>
          </cell>
          <cell r="AE790" t="str">
            <v>STAR FREEDOM</v>
          </cell>
          <cell r="AH790" t="str">
            <v>VACANT</v>
          </cell>
        </row>
        <row r="791">
          <cell r="C791">
            <v>0.29166666666666669</v>
          </cell>
          <cell r="D791" t="str">
            <v>WAITING MATERIAL</v>
          </cell>
          <cell r="F791">
            <v>0.29166666666666669</v>
          </cell>
          <cell r="G791" t="str">
            <v>WAITING MATERIAL</v>
          </cell>
          <cell r="I791">
            <v>0.29166666666666669</v>
          </cell>
          <cell r="J791" t="str">
            <v>WAITING  VESSEL</v>
          </cell>
          <cell r="L791">
            <v>0.29166666666666669</v>
          </cell>
          <cell r="M791" t="str">
            <v>WAITING  VESSEL</v>
          </cell>
          <cell r="O791">
            <v>0.29166666666666669</v>
          </cell>
          <cell r="P791" t="str">
            <v>WAITING  VESSEL</v>
          </cell>
          <cell r="R791">
            <v>0.29166666666666669</v>
          </cell>
          <cell r="S791" t="str">
            <v>WAITING  VESSEL</v>
          </cell>
          <cell r="U791">
            <v>0.29166666666666669</v>
          </cell>
          <cell r="V791" t="str">
            <v>WAITING MATERIAL</v>
          </cell>
          <cell r="AA791">
            <v>0.85416666666666663</v>
          </cell>
          <cell r="AB791" t="str">
            <v>SHIFTING BERTH</v>
          </cell>
          <cell r="AD791">
            <v>0.29166666666666669</v>
          </cell>
          <cell r="AE791" t="str">
            <v>WAITING  VESSEL</v>
          </cell>
          <cell r="AG791">
            <v>0.29166666666666669</v>
          </cell>
          <cell r="AH791" t="str">
            <v>WAITING  VESSEL</v>
          </cell>
        </row>
        <row r="792">
          <cell r="C792">
            <v>0.33333333333333331</v>
          </cell>
          <cell r="D792" t="str">
            <v>WAITING MATERIAL</v>
          </cell>
          <cell r="F792">
            <v>0.33333333333333331</v>
          </cell>
          <cell r="G792" t="str">
            <v>WAITING MATERIAL</v>
          </cell>
          <cell r="I792">
            <v>0.33333333333333331</v>
          </cell>
          <cell r="J792" t="str">
            <v>WAITING  VESSEL</v>
          </cell>
          <cell r="L792">
            <v>0.33333333333333331</v>
          </cell>
          <cell r="M792" t="str">
            <v>WAITING  VESSEL</v>
          </cell>
          <cell r="O792">
            <v>0.33333333333333331</v>
          </cell>
          <cell r="P792" t="str">
            <v>WAITING  VESSEL</v>
          </cell>
          <cell r="R792">
            <v>0.33333333333333331</v>
          </cell>
          <cell r="S792" t="str">
            <v>WAITING  VESSEL</v>
          </cell>
          <cell r="U792">
            <v>0.33333333333333331</v>
          </cell>
          <cell r="V792" t="str">
            <v>WAITING MATERIAL</v>
          </cell>
          <cell r="AA792">
            <v>0.875</v>
          </cell>
          <cell r="AB792" t="str">
            <v>OPENING HATCH</v>
          </cell>
          <cell r="AD792">
            <v>0.33333333333333331</v>
          </cell>
          <cell r="AE792" t="str">
            <v>WAITING  VESSEL</v>
          </cell>
          <cell r="AG792">
            <v>0.33333333333333331</v>
          </cell>
          <cell r="AH792" t="str">
            <v>WAITING  VESSEL</v>
          </cell>
        </row>
        <row r="793">
          <cell r="C793">
            <v>0.375</v>
          </cell>
          <cell r="D793" t="str">
            <v>WAITING MATERIAL</v>
          </cell>
          <cell r="F793">
            <v>0.375</v>
          </cell>
          <cell r="G793" t="str">
            <v>WAITING MATERIAL</v>
          </cell>
          <cell r="I793">
            <v>0.375</v>
          </cell>
          <cell r="J793" t="str">
            <v>WAITING  VESSEL</v>
          </cell>
          <cell r="L793">
            <v>0.375</v>
          </cell>
          <cell r="M793" t="str">
            <v>WAITING  VESSEL</v>
          </cell>
          <cell r="O793">
            <v>0.375</v>
          </cell>
          <cell r="P793" t="str">
            <v>WAITING  VESSEL</v>
          </cell>
          <cell r="R793">
            <v>0.375</v>
          </cell>
          <cell r="S793" t="str">
            <v>WAITING  VESSEL</v>
          </cell>
          <cell r="U793">
            <v>0.375</v>
          </cell>
          <cell r="V793" t="str">
            <v>WAITING MATERIAL</v>
          </cell>
          <cell r="AA793">
            <v>0.88541666666666663</v>
          </cell>
          <cell r="AB793" t="str">
            <v xml:space="preserve">COMMENCE LOADING </v>
          </cell>
          <cell r="AD793">
            <v>0.375</v>
          </cell>
          <cell r="AE793" t="str">
            <v>WAITING  VESSEL</v>
          </cell>
          <cell r="AG793">
            <v>0.375</v>
          </cell>
          <cell r="AH793" t="str">
            <v>WAITING  VESSEL</v>
          </cell>
        </row>
        <row r="794">
          <cell r="C794">
            <v>0.41666666666666669</v>
          </cell>
          <cell r="D794" t="str">
            <v>WAITING MATERIAL</v>
          </cell>
          <cell r="F794">
            <v>0.41666666666666669</v>
          </cell>
          <cell r="G794" t="str">
            <v>WAITING MATERIAL</v>
          </cell>
          <cell r="I794">
            <v>0.41666666666666669</v>
          </cell>
          <cell r="J794" t="str">
            <v>WAITING  VESSEL</v>
          </cell>
          <cell r="L794">
            <v>0.41666666666666669</v>
          </cell>
          <cell r="M794" t="str">
            <v>WAITING  VESSEL</v>
          </cell>
          <cell r="O794">
            <v>0.41666666666666669</v>
          </cell>
          <cell r="P794" t="str">
            <v>WAITING  VESSEL</v>
          </cell>
          <cell r="R794">
            <v>0.41666666666666669</v>
          </cell>
          <cell r="S794" t="str">
            <v>WAITING  VESSEL</v>
          </cell>
          <cell r="U794">
            <v>0.40277777777777779</v>
          </cell>
          <cell r="V794" t="str">
            <v xml:space="preserve">RESUME LOADING SLING </v>
          </cell>
          <cell r="AA794">
            <v>0.89930555555555558</v>
          </cell>
          <cell r="AB794" t="str">
            <v xml:space="preserve">ONGOING LOADING </v>
          </cell>
          <cell r="AD794">
            <v>0.41666666666666669</v>
          </cell>
          <cell r="AE794" t="str">
            <v>WAITING  VESSEL</v>
          </cell>
          <cell r="AG794">
            <v>0.41666666666666669</v>
          </cell>
          <cell r="AH794" t="str">
            <v>WAITING  VESSEL</v>
          </cell>
        </row>
        <row r="795">
          <cell r="C795">
            <v>0.60138888888888886</v>
          </cell>
          <cell r="D795" t="str">
            <v>RESUME LOADING SLING</v>
          </cell>
          <cell r="F795">
            <v>0.43680555555555556</v>
          </cell>
          <cell r="G795" t="str">
            <v>RESUME LOADING SLING</v>
          </cell>
          <cell r="I795">
            <v>0.45833333333333331</v>
          </cell>
          <cell r="J795" t="str">
            <v>WAITING  VESSEL</v>
          </cell>
          <cell r="L795">
            <v>0.45833333333333331</v>
          </cell>
          <cell r="M795" t="str">
            <v>WAITING  VESSEL</v>
          </cell>
          <cell r="O795">
            <v>0.45833333333333331</v>
          </cell>
          <cell r="P795" t="str">
            <v>WAITING  VESSEL</v>
          </cell>
          <cell r="R795">
            <v>0.45833333333333331</v>
          </cell>
          <cell r="S795" t="str">
            <v>WAITING  VESSEL</v>
          </cell>
          <cell r="U795">
            <v>0.55555555555555558</v>
          </cell>
          <cell r="V795" t="str">
            <v>CONTINUE LOADING SLING</v>
          </cell>
          <cell r="AA795">
            <v>0.92291666666666672</v>
          </cell>
          <cell r="AB795" t="str">
            <v xml:space="preserve">CONTINUE LOADING </v>
          </cell>
          <cell r="AD795">
            <v>0.45833333333333331</v>
          </cell>
          <cell r="AE795" t="str">
            <v>WAITING  VESSEL</v>
          </cell>
          <cell r="AG795">
            <v>0.45833333333333331</v>
          </cell>
          <cell r="AH795" t="str">
            <v>WAITING  VESSEL</v>
          </cell>
        </row>
        <row r="796">
          <cell r="C796">
            <v>0.61944444444444446</v>
          </cell>
          <cell r="D796" t="str">
            <v>CONTINUE LOADING SLING</v>
          </cell>
          <cell r="F796">
            <v>0.58680555555555558</v>
          </cell>
          <cell r="G796" t="str">
            <v>CONTINUE LOADING SLING</v>
          </cell>
          <cell r="I796">
            <v>0.5</v>
          </cell>
          <cell r="J796" t="str">
            <v>WAITING  VESSEL</v>
          </cell>
          <cell r="L796">
            <v>0.5</v>
          </cell>
          <cell r="M796" t="str">
            <v>WAITING  VESSEL</v>
          </cell>
          <cell r="O796">
            <v>0.5</v>
          </cell>
          <cell r="P796" t="str">
            <v>WAITING  VESSEL</v>
          </cell>
          <cell r="R796">
            <v>0.5</v>
          </cell>
          <cell r="S796" t="str">
            <v>WAITING  VESSEL</v>
          </cell>
          <cell r="U796">
            <v>0.57708333333333328</v>
          </cell>
          <cell r="V796" t="str">
            <v>CONTINUE LOADING SLING</v>
          </cell>
          <cell r="AA796">
            <v>0.9375</v>
          </cell>
          <cell r="AB796" t="str">
            <v xml:space="preserve">ONGOING LOADING </v>
          </cell>
          <cell r="AD796">
            <v>0.5</v>
          </cell>
          <cell r="AE796" t="str">
            <v>WAITING  VESSEL</v>
          </cell>
          <cell r="AG796">
            <v>0.5</v>
          </cell>
          <cell r="AH796" t="str">
            <v>WAITING  VESSEL</v>
          </cell>
        </row>
        <row r="797">
          <cell r="C797">
            <v>0.67291666666666672</v>
          </cell>
          <cell r="D797" t="str">
            <v>CONTINUE LOADING SLING</v>
          </cell>
          <cell r="F797">
            <v>0.72361111111111109</v>
          </cell>
          <cell r="G797" t="str">
            <v>CONTINUE LOADING SLING</v>
          </cell>
          <cell r="I797">
            <v>0.54166666666666663</v>
          </cell>
          <cell r="J797" t="str">
            <v>WAITING  VESSEL</v>
          </cell>
          <cell r="L797">
            <v>0.54166666666666663</v>
          </cell>
          <cell r="M797" t="str">
            <v>WAITING  VESSEL</v>
          </cell>
          <cell r="O797">
            <v>0.54166666666666663</v>
          </cell>
          <cell r="P797" t="str">
            <v>WAITING  VESSEL</v>
          </cell>
          <cell r="R797">
            <v>0.54166666666666663</v>
          </cell>
          <cell r="S797" t="str">
            <v>WAITING  VESSEL</v>
          </cell>
          <cell r="U797">
            <v>0.61944444444444446</v>
          </cell>
          <cell r="V797" t="str">
            <v>CONTINUE LOADING SLING</v>
          </cell>
          <cell r="AA797">
            <v>0.97083333333333333</v>
          </cell>
          <cell r="AB797" t="str">
            <v xml:space="preserve">CONTINUE LOADING </v>
          </cell>
          <cell r="AD797">
            <v>0.54166666666666663</v>
          </cell>
          <cell r="AE797" t="str">
            <v>WAITING  VESSEL</v>
          </cell>
          <cell r="AG797">
            <v>0.54166666666666663</v>
          </cell>
          <cell r="AH797" t="str">
            <v>WAITING  VESSEL</v>
          </cell>
        </row>
        <row r="798">
          <cell r="C798">
            <v>0.72222222222222221</v>
          </cell>
          <cell r="D798" t="str">
            <v>CONTINUE LOADING SLING</v>
          </cell>
          <cell r="F798">
            <v>0.79166666666666663</v>
          </cell>
          <cell r="G798" t="str">
            <v>KY TOOLBOX</v>
          </cell>
          <cell r="I798">
            <v>0.58333333333333337</v>
          </cell>
          <cell r="J798" t="str">
            <v>WAITING  VESSEL</v>
          </cell>
          <cell r="L798">
            <v>0.58333333333333337</v>
          </cell>
          <cell r="M798" t="str">
            <v>WAITING  VESSEL</v>
          </cell>
          <cell r="O798">
            <v>0.58333333333333337</v>
          </cell>
          <cell r="P798" t="str">
            <v>WAITING  VESSEL</v>
          </cell>
          <cell r="R798">
            <v>0.58333333333333337</v>
          </cell>
          <cell r="S798" t="str">
            <v>WAITING  VESSEL</v>
          </cell>
          <cell r="U798">
            <v>0.72638888888888886</v>
          </cell>
          <cell r="V798" t="str">
            <v>CONTINUE LOADING SLING</v>
          </cell>
          <cell r="AA798">
            <v>0</v>
          </cell>
          <cell r="AB798" t="str">
            <v>STEVEDORES BREAK</v>
          </cell>
          <cell r="AD798">
            <v>0.58333333333333337</v>
          </cell>
          <cell r="AE798" t="str">
            <v>WAITING  VESSEL</v>
          </cell>
          <cell r="AG798">
            <v>0.58333333333333337</v>
          </cell>
          <cell r="AH798" t="str">
            <v>WAITING  VESSEL</v>
          </cell>
        </row>
        <row r="799">
          <cell r="C799">
            <v>0.75</v>
          </cell>
          <cell r="D799" t="str">
            <v>WAITING MATERIAL</v>
          </cell>
          <cell r="F799">
            <v>0.85347222222222219</v>
          </cell>
          <cell r="G799" t="str">
            <v xml:space="preserve">RESUME LOADING </v>
          </cell>
          <cell r="I799">
            <v>0.75</v>
          </cell>
          <cell r="J799" t="str">
            <v>WAITING  VESSEL</v>
          </cell>
          <cell r="L799">
            <v>0.75</v>
          </cell>
          <cell r="M799" t="str">
            <v>WAITING  VESSEL</v>
          </cell>
          <cell r="O799">
            <v>0.75</v>
          </cell>
          <cell r="P799" t="str">
            <v>WAITING  VESSEL</v>
          </cell>
          <cell r="R799">
            <v>0.75</v>
          </cell>
          <cell r="S799" t="str">
            <v>WAITING  VESSEL</v>
          </cell>
          <cell r="U799">
            <v>0.75</v>
          </cell>
          <cell r="V799" t="str">
            <v>WAITING MATERIAL</v>
          </cell>
          <cell r="AA799">
            <v>4.1666666666666664E-2</v>
          </cell>
          <cell r="AB799" t="str">
            <v>ONBOARD  FORKLIFT</v>
          </cell>
          <cell r="AD799">
            <v>0.61944444444444446</v>
          </cell>
          <cell r="AE799" t="str">
            <v>NEW VESSEL</v>
          </cell>
          <cell r="AG799">
            <v>0.75</v>
          </cell>
          <cell r="AH799" t="str">
            <v>WAITING  VESSEL</v>
          </cell>
        </row>
        <row r="800">
          <cell r="C800">
            <v>0.79166666666666663</v>
          </cell>
          <cell r="D800" t="str">
            <v>KY TOOLBOX</v>
          </cell>
          <cell r="F800">
            <v>0.86875000000000002</v>
          </cell>
          <cell r="G800" t="str">
            <v xml:space="preserve">ONGOING LOADING </v>
          </cell>
          <cell r="I800">
            <v>0.79166666666666663</v>
          </cell>
          <cell r="J800" t="str">
            <v>VACANT</v>
          </cell>
          <cell r="L800">
            <v>0.79166666666666663</v>
          </cell>
          <cell r="M800" t="str">
            <v>VACANT</v>
          </cell>
          <cell r="O800">
            <v>0.79166666666666663</v>
          </cell>
          <cell r="P800" t="str">
            <v>VACANT</v>
          </cell>
          <cell r="R800">
            <v>0.79166666666666663</v>
          </cell>
          <cell r="S800" t="str">
            <v>VACANT</v>
          </cell>
          <cell r="U800">
            <v>0.79166666666666663</v>
          </cell>
          <cell r="V800" t="str">
            <v>KY TOOLBOX</v>
          </cell>
          <cell r="AA800">
            <v>6.25E-2</v>
          </cell>
          <cell r="AB800" t="str">
            <v>FL ONBOARD READY</v>
          </cell>
          <cell r="AD800">
            <v>0.75</v>
          </cell>
          <cell r="AE800" t="str">
            <v>WAITING BOOKING</v>
          </cell>
          <cell r="AG800">
            <v>0.79166666666666663</v>
          </cell>
          <cell r="AH800" t="str">
            <v>VACANT</v>
          </cell>
        </row>
        <row r="801">
          <cell r="C801">
            <v>0.83333333333333337</v>
          </cell>
          <cell r="D801" t="str">
            <v>FL ONBOARD PULLOUT</v>
          </cell>
          <cell r="F801">
            <v>0.91874999999999996</v>
          </cell>
          <cell r="G801" t="str">
            <v>CONTINUE LOADING SLING</v>
          </cell>
          <cell r="U801">
            <v>0.82777777777777772</v>
          </cell>
          <cell r="V801" t="str">
            <v xml:space="preserve">RESUME LOADING </v>
          </cell>
          <cell r="AA801">
            <v>7.7083333333333337E-2</v>
          </cell>
          <cell r="AB801" t="str">
            <v xml:space="preserve">RESUME LOADING </v>
          </cell>
          <cell r="AD801">
            <v>0.79166666666666663</v>
          </cell>
          <cell r="AE801" t="str">
            <v>KY TOOLBOX</v>
          </cell>
        </row>
        <row r="802">
          <cell r="C802">
            <v>0.86388888888888893</v>
          </cell>
          <cell r="D802" t="str">
            <v xml:space="preserve">RESUME LOADING </v>
          </cell>
          <cell r="F802">
            <v>0</v>
          </cell>
          <cell r="G802" t="str">
            <v>STEVEDORES BREAK</v>
          </cell>
          <cell r="U802">
            <v>0.84305555555555556</v>
          </cell>
          <cell r="V802" t="str">
            <v xml:space="preserve">ONGOING LOADING </v>
          </cell>
          <cell r="AA802">
            <v>9.5138888888888884E-2</v>
          </cell>
          <cell r="AB802" t="str">
            <v xml:space="preserve">ONGOING LOADING </v>
          </cell>
          <cell r="AD802">
            <v>0.8125</v>
          </cell>
          <cell r="AE802" t="str">
            <v>ONBOARD FORKLIFT</v>
          </cell>
        </row>
        <row r="803">
          <cell r="C803">
            <v>0.89583333333333337</v>
          </cell>
          <cell r="D803" t="str">
            <v xml:space="preserve">CONTINUE LOADING </v>
          </cell>
          <cell r="F803">
            <v>4.1666666666666664E-2</v>
          </cell>
          <cell r="G803" t="str">
            <v>WAITING MATERIAL</v>
          </cell>
          <cell r="U803">
            <v>0.92569444444444449</v>
          </cell>
          <cell r="V803" t="str">
            <v xml:space="preserve">CONTINUE LOADING </v>
          </cell>
          <cell r="AA803">
            <v>0.11388888888888889</v>
          </cell>
          <cell r="AB803" t="str">
            <v xml:space="preserve">CONTINUE LOADING </v>
          </cell>
          <cell r="AD803">
            <v>0.83680555555555558</v>
          </cell>
          <cell r="AE803" t="str">
            <v xml:space="preserve">COMMENCE LOADING </v>
          </cell>
        </row>
        <row r="804">
          <cell r="C804">
            <v>0</v>
          </cell>
          <cell r="D804" t="str">
            <v>STEVEDORES BREAK</v>
          </cell>
          <cell r="F804">
            <v>0.20555555555555555</v>
          </cell>
          <cell r="G804" t="str">
            <v>RESUME LOADING SLING BAGS</v>
          </cell>
          <cell r="U804">
            <v>0.97430555555555554</v>
          </cell>
          <cell r="V804" t="str">
            <v xml:space="preserve">ONGOING LOADING </v>
          </cell>
          <cell r="AA804">
            <v>0.15625</v>
          </cell>
          <cell r="AB804" t="str">
            <v xml:space="preserve">ONGOING LOADING </v>
          </cell>
          <cell r="AD804">
            <v>0.88402777777777775</v>
          </cell>
          <cell r="AE804" t="str">
            <v xml:space="preserve">CONTINUE LOADING </v>
          </cell>
        </row>
        <row r="805">
          <cell r="C805">
            <v>7.0833333333333331E-2</v>
          </cell>
          <cell r="D805" t="str">
            <v xml:space="preserve">RESUME LOADING </v>
          </cell>
          <cell r="F805">
            <v>0.22083333333333333</v>
          </cell>
          <cell r="G805" t="str">
            <v>WAITING MATERIAL</v>
          </cell>
          <cell r="U805">
            <v>0</v>
          </cell>
          <cell r="V805" t="str">
            <v>STEVEDORES BREAK</v>
          </cell>
          <cell r="AA805">
            <v>0.16944444444444445</v>
          </cell>
          <cell r="AB805" t="str">
            <v xml:space="preserve">CONTINUE LOADING </v>
          </cell>
          <cell r="AD805">
            <v>0.89583333333333337</v>
          </cell>
          <cell r="AE805" t="str">
            <v>WAITING MATERIAL</v>
          </cell>
        </row>
        <row r="806">
          <cell r="C806">
            <v>9.166666666666666E-2</v>
          </cell>
          <cell r="D806" t="str">
            <v>WAITING MATERIAL</v>
          </cell>
          <cell r="U806">
            <v>6.6666666666666666E-2</v>
          </cell>
          <cell r="V806" t="str">
            <v xml:space="preserve">RESUME LOADING </v>
          </cell>
          <cell r="AA806">
            <v>0.18055555555555555</v>
          </cell>
          <cell r="AB806" t="str">
            <v>WAITING GEO</v>
          </cell>
          <cell r="AD806">
            <v>4.791666666666667E-2</v>
          </cell>
          <cell r="AE806" t="str">
            <v xml:space="preserve">RESUME LOADING </v>
          </cell>
        </row>
        <row r="807">
          <cell r="U807">
            <v>8.3333333333333329E-2</v>
          </cell>
          <cell r="V807" t="str">
            <v xml:space="preserve">ONGOING LOADING </v>
          </cell>
          <cell r="AD807">
            <v>8.4722222222222227E-2</v>
          </cell>
          <cell r="AE807" t="str">
            <v xml:space="preserve">CONTINUE LOADING </v>
          </cell>
        </row>
        <row r="808">
          <cell r="U808">
            <v>0.10277777777777777</v>
          </cell>
          <cell r="V808" t="str">
            <v xml:space="preserve">CONTINUE LOADING </v>
          </cell>
          <cell r="AD808">
            <v>0.1388888888888889</v>
          </cell>
          <cell r="AE808" t="str">
            <v>ONGOING LOADING</v>
          </cell>
        </row>
        <row r="809">
          <cell r="U809">
            <v>0.11458333333333333</v>
          </cell>
          <cell r="V809" t="str">
            <v>LOADING COMPLETE</v>
          </cell>
          <cell r="AD809">
            <v>0.21805555555555556</v>
          </cell>
          <cell r="AE809" t="str">
            <v xml:space="preserve">CONTINUE LOADING </v>
          </cell>
        </row>
        <row r="810">
          <cell r="AD810">
            <v>0.25</v>
          </cell>
          <cell r="AE810" t="str">
            <v>VESSEL BREAK</v>
          </cell>
        </row>
        <row r="811">
          <cell r="D811" t="str">
            <v>INFINITY 8</v>
          </cell>
          <cell r="G811" t="str">
            <v>JOHANNAH 7</v>
          </cell>
          <cell r="I811" t="str">
            <v xml:space="preserve"> </v>
          </cell>
          <cell r="J811" t="str">
            <v>VACANT</v>
          </cell>
          <cell r="M811" t="str">
            <v>VACANT</v>
          </cell>
          <cell r="P811" t="str">
            <v>QUEEN CAROLYN</v>
          </cell>
          <cell r="S811" t="str">
            <v>VACANT</v>
          </cell>
          <cell r="V811" t="str">
            <v>NAPOLI</v>
          </cell>
          <cell r="Y811" t="str">
            <v>AGNES LILYGENE</v>
          </cell>
          <cell r="AA811" t="str">
            <v xml:space="preserve"> </v>
          </cell>
          <cell r="AB811" t="str">
            <v>LADY OF COURAGE</v>
          </cell>
          <cell r="AE811" t="str">
            <v>STAR FREEDOM</v>
          </cell>
          <cell r="AH811" t="str">
            <v>VACANT</v>
          </cell>
        </row>
        <row r="812">
          <cell r="C812">
            <v>0.29166666666666669</v>
          </cell>
          <cell r="D812" t="str">
            <v>WAITING MATERIAL</v>
          </cell>
          <cell r="F812">
            <v>0.29166666666666669</v>
          </cell>
          <cell r="G812" t="str">
            <v>WAITING MATERIAL</v>
          </cell>
          <cell r="I812">
            <v>0.29166666666666669</v>
          </cell>
          <cell r="J812" t="str">
            <v>WAITING VESSEL</v>
          </cell>
          <cell r="L812">
            <v>0.29166666666666669</v>
          </cell>
          <cell r="M812" t="str">
            <v>WAITING VESSEL</v>
          </cell>
          <cell r="O812">
            <v>0.29166666666666669</v>
          </cell>
          <cell r="P812" t="str">
            <v>WAITING VESSEL</v>
          </cell>
          <cell r="R812">
            <v>0.29166666666666669</v>
          </cell>
          <cell r="S812" t="str">
            <v>WAITING VESSEL</v>
          </cell>
          <cell r="U812">
            <v>0.29166666666666669</v>
          </cell>
          <cell r="V812" t="str">
            <v>WAITING VESSEL</v>
          </cell>
          <cell r="X812">
            <v>0.29166666666666669</v>
          </cell>
          <cell r="Y812" t="str">
            <v>WAITING MATERIAL</v>
          </cell>
          <cell r="AA812">
            <v>0.32222222222222224</v>
          </cell>
          <cell r="AB812" t="str">
            <v>CONDUCT KY</v>
          </cell>
          <cell r="AD812">
            <v>0.32291666666666669</v>
          </cell>
          <cell r="AE812" t="str">
            <v>CONDUCT KY</v>
          </cell>
          <cell r="AG812">
            <v>0.29166666666666669</v>
          </cell>
          <cell r="AH812" t="str">
            <v>WAITING VESSEL</v>
          </cell>
        </row>
        <row r="813">
          <cell r="C813">
            <v>0.56458333333333333</v>
          </cell>
          <cell r="D813" t="str">
            <v>RESUME LOADING SLING</v>
          </cell>
          <cell r="F813">
            <v>0.56041666666666667</v>
          </cell>
          <cell r="G813" t="str">
            <v>RESUME LOADING SLING</v>
          </cell>
          <cell r="I813">
            <v>0.79166666666666663</v>
          </cell>
          <cell r="J813" t="str">
            <v>VACANT</v>
          </cell>
          <cell r="L813">
            <v>0.79166666666666663</v>
          </cell>
          <cell r="M813" t="str">
            <v>VACANT</v>
          </cell>
          <cell r="O813">
            <v>0.38194444444444442</v>
          </cell>
          <cell r="P813" t="str">
            <v xml:space="preserve">NEW VESSEL </v>
          </cell>
          <cell r="R813">
            <v>0.79166666666666663</v>
          </cell>
          <cell r="S813" t="str">
            <v>VACANT</v>
          </cell>
          <cell r="U813">
            <v>0.3888888888888889</v>
          </cell>
          <cell r="V813" t="str">
            <v>NEW VESSEL</v>
          </cell>
          <cell r="X813">
            <v>0.33333333333333331</v>
          </cell>
          <cell r="Y813" t="str">
            <v>WAITING MATERIAL</v>
          </cell>
          <cell r="AA813">
            <v>0.35833333333333334</v>
          </cell>
          <cell r="AB813" t="str">
            <v>CONTINUE LOADING SLING</v>
          </cell>
          <cell r="AD813">
            <v>0.35972222222222222</v>
          </cell>
          <cell r="AE813" t="str">
            <v>CONTINUE LOADING SLING</v>
          </cell>
          <cell r="AG813">
            <v>0.79166666666666663</v>
          </cell>
          <cell r="AH813" t="str">
            <v>VACANT</v>
          </cell>
        </row>
        <row r="814">
          <cell r="C814">
            <v>0.58958333333333335</v>
          </cell>
          <cell r="D814" t="str">
            <v>CONTINUE LOADING SLING</v>
          </cell>
          <cell r="F814">
            <v>0.58333333333333337</v>
          </cell>
          <cell r="G814" t="str">
            <v>WAITING MATERIAL</v>
          </cell>
          <cell r="O814">
            <v>0.57777777777777772</v>
          </cell>
          <cell r="P814" t="str">
            <v xml:space="preserve">COMMENCE LOADING </v>
          </cell>
          <cell r="U814">
            <v>0.60416666666666663</v>
          </cell>
          <cell r="V814" t="str">
            <v xml:space="preserve">COMMENCE LOADING </v>
          </cell>
          <cell r="X814">
            <v>0.375</v>
          </cell>
          <cell r="Y814" t="str">
            <v>WAITING MATERIAL</v>
          </cell>
          <cell r="AA814">
            <v>0.41249999999999998</v>
          </cell>
          <cell r="AB814" t="str">
            <v xml:space="preserve">CONTINUE LOADING </v>
          </cell>
          <cell r="AD814">
            <v>0.37569444444444444</v>
          </cell>
          <cell r="AE814" t="str">
            <v xml:space="preserve">CONTINUE LOADING </v>
          </cell>
        </row>
        <row r="815">
          <cell r="C815">
            <v>0.63402777777777775</v>
          </cell>
          <cell r="D815" t="str">
            <v xml:space="preserve">CONTINUE LOADING </v>
          </cell>
          <cell r="F815">
            <v>0.79166666666666663</v>
          </cell>
          <cell r="G815" t="str">
            <v>KY TOOLBOX</v>
          </cell>
          <cell r="O815">
            <v>0.62708333333333333</v>
          </cell>
          <cell r="P815" t="str">
            <v>CONTINUE LOADINGSLING</v>
          </cell>
          <cell r="U815">
            <v>0.63055555555555554</v>
          </cell>
          <cell r="V815" t="str">
            <v>CONTINUE LOADING SLING</v>
          </cell>
          <cell r="X815">
            <v>0.41666666666666669</v>
          </cell>
          <cell r="Y815" t="str">
            <v xml:space="preserve">COMMENCE LOADING </v>
          </cell>
          <cell r="AA815">
            <v>0.44930555555555557</v>
          </cell>
          <cell r="AB815" t="str">
            <v xml:space="preserve">CONTINUE LOADING </v>
          </cell>
          <cell r="AD815">
            <v>0.42430555555555555</v>
          </cell>
          <cell r="AE815" t="str">
            <v>CONTINUE LOADING</v>
          </cell>
        </row>
        <row r="816">
          <cell r="C816">
            <v>0.68194444444444446</v>
          </cell>
          <cell r="D816" t="str">
            <v xml:space="preserve">CONTINUE LOADING </v>
          </cell>
          <cell r="F816">
            <v>0.8520833333333333</v>
          </cell>
          <cell r="G816" t="str">
            <v xml:space="preserve">RESUME LOADING </v>
          </cell>
          <cell r="O816">
            <v>0.68958333333333333</v>
          </cell>
          <cell r="P816" t="str">
            <v xml:space="preserve">CONTINUE LOADING </v>
          </cell>
          <cell r="U816">
            <v>0.79166666666666663</v>
          </cell>
          <cell r="V816" t="str">
            <v>KY TOOLBOX</v>
          </cell>
          <cell r="X816">
            <v>0.56805555555555554</v>
          </cell>
          <cell r="Y816" t="str">
            <v>CONTINUE LOADING SLING</v>
          </cell>
          <cell r="AA816">
            <v>0.47638888888888886</v>
          </cell>
          <cell r="AB816" t="str">
            <v>CONTINUE LOADING</v>
          </cell>
          <cell r="AD816">
            <v>0.46111111111111114</v>
          </cell>
          <cell r="AE816" t="str">
            <v xml:space="preserve">CONTINUE LOADING </v>
          </cell>
        </row>
        <row r="817">
          <cell r="C817">
            <v>0.71527777777777779</v>
          </cell>
          <cell r="D817" t="str">
            <v xml:space="preserve">CONTINUE LOADING </v>
          </cell>
          <cell r="F817">
            <v>0.88402777777777775</v>
          </cell>
          <cell r="G817" t="str">
            <v xml:space="preserve">CONTINUE LOADING </v>
          </cell>
          <cell r="O817">
            <v>0.79166666666666663</v>
          </cell>
          <cell r="P817" t="str">
            <v>KY TOOLBOX</v>
          </cell>
          <cell r="U817">
            <v>0.86111111111111116</v>
          </cell>
          <cell r="V817" t="str">
            <v>RESUME LOADING</v>
          </cell>
          <cell r="X817">
            <v>0.58888888888888891</v>
          </cell>
          <cell r="Y817" t="str">
            <v>CONTINUE LOADING SLING</v>
          </cell>
          <cell r="AA817">
            <v>0.55902777777777779</v>
          </cell>
          <cell r="AB817" t="str">
            <v>CONTINUE LOADING SLING</v>
          </cell>
          <cell r="AD817">
            <v>0.47916666666666669</v>
          </cell>
          <cell r="AE817" t="str">
            <v xml:space="preserve">CONTINUE LOADING </v>
          </cell>
        </row>
        <row r="818">
          <cell r="C818">
            <v>0.79166666666666663</v>
          </cell>
          <cell r="D818" t="str">
            <v>KY TOOLBOX</v>
          </cell>
          <cell r="F818">
            <v>0.92847222222222225</v>
          </cell>
          <cell r="G818" t="str">
            <v xml:space="preserve">ONGOING LOADING </v>
          </cell>
          <cell r="O818">
            <v>0.84444444444444444</v>
          </cell>
          <cell r="P818" t="str">
            <v xml:space="preserve">RESUME LOADING </v>
          </cell>
          <cell r="U818">
            <v>0.89652777777777781</v>
          </cell>
          <cell r="V818" t="str">
            <v xml:space="preserve">ONGOING LOADING </v>
          </cell>
          <cell r="X818">
            <v>0.64027777777777772</v>
          </cell>
          <cell r="Y818" t="str">
            <v>CONTINUE LOADING</v>
          </cell>
          <cell r="AA818">
            <v>0.57708333333333328</v>
          </cell>
          <cell r="AB818" t="str">
            <v>CONTINUE LOADING SLING</v>
          </cell>
          <cell r="AD818">
            <v>0.5</v>
          </cell>
          <cell r="AE818" t="str">
            <v>LUNCH BREAK</v>
          </cell>
        </row>
        <row r="819">
          <cell r="C819">
            <v>0.86041666666666672</v>
          </cell>
          <cell r="D819" t="str">
            <v xml:space="preserve">RESUME LOADING </v>
          </cell>
          <cell r="F819">
            <v>0.94374999999999998</v>
          </cell>
          <cell r="G819" t="str">
            <v>WAITING MATERIAL</v>
          </cell>
          <cell r="O819">
            <v>0.87152777777777779</v>
          </cell>
          <cell r="P819" t="str">
            <v xml:space="preserve">ONGOING LOADING </v>
          </cell>
          <cell r="U819">
            <v>0</v>
          </cell>
          <cell r="V819" t="str">
            <v>STEVEDORES BREAK</v>
          </cell>
          <cell r="X819">
            <v>0.68680555555555556</v>
          </cell>
          <cell r="Y819" t="str">
            <v>CONTINUE LOADING</v>
          </cell>
          <cell r="AA819">
            <v>0.59166666666666667</v>
          </cell>
          <cell r="AB819" t="str">
            <v>CONTINUE LOADING SLING</v>
          </cell>
          <cell r="AD819">
            <v>0.55694444444444446</v>
          </cell>
          <cell r="AE819" t="str">
            <v>CONTINUE LOADING</v>
          </cell>
        </row>
        <row r="820">
          <cell r="C820">
            <v>0.8930555555555556</v>
          </cell>
          <cell r="D820" t="str">
            <v xml:space="preserve">CONTINUE LOADING </v>
          </cell>
          <cell r="F820">
            <v>0.95833333333333337</v>
          </cell>
          <cell r="G820" t="str">
            <v>STEVEDORES BREAK</v>
          </cell>
          <cell r="O820">
            <v>0.8979166666666667</v>
          </cell>
          <cell r="P820" t="str">
            <v xml:space="preserve">CONTINUE LOADING </v>
          </cell>
          <cell r="U820">
            <v>0.05</v>
          </cell>
          <cell r="V820" t="str">
            <v xml:space="preserve">RESUME LOADING </v>
          </cell>
          <cell r="X820">
            <v>0.72291666666666665</v>
          </cell>
          <cell r="Y820" t="str">
            <v>CONTINUE LOADING SLING</v>
          </cell>
          <cell r="AA820">
            <v>0.60833333333333328</v>
          </cell>
          <cell r="AB820" t="str">
            <v>CONTINUE LOADING SLING</v>
          </cell>
          <cell r="AD820">
            <v>0.59652777777777777</v>
          </cell>
          <cell r="AE820" t="str">
            <v xml:space="preserve">CONTINUE LOADING </v>
          </cell>
        </row>
        <row r="821">
          <cell r="C821">
            <v>0.94444444444444442</v>
          </cell>
          <cell r="D821" t="str">
            <v xml:space="preserve">ONGOING LOADING </v>
          </cell>
          <cell r="F821">
            <v>4.583333333333333E-2</v>
          </cell>
          <cell r="G821" t="str">
            <v>RESUME LOADING</v>
          </cell>
          <cell r="O821">
            <v>0.9375</v>
          </cell>
          <cell r="P821" t="str">
            <v xml:space="preserve">ONGOING LOADING </v>
          </cell>
          <cell r="U821">
            <v>0.13333333333333333</v>
          </cell>
          <cell r="V821" t="str">
            <v xml:space="preserve">CONTINUE LOADING </v>
          </cell>
          <cell r="X821">
            <v>0.79166666666666663</v>
          </cell>
          <cell r="Y821" t="str">
            <v>KY TOOLBOX</v>
          </cell>
          <cell r="AA821">
            <v>0.65833333333333333</v>
          </cell>
          <cell r="AB821" t="str">
            <v>CONTINUE LOADING</v>
          </cell>
          <cell r="AD821">
            <v>0.64027777777777772</v>
          </cell>
          <cell r="AE821" t="str">
            <v>CONTINUE LOADING</v>
          </cell>
        </row>
        <row r="822">
          <cell r="C822">
            <v>0.97638888888888886</v>
          </cell>
          <cell r="D822" t="str">
            <v xml:space="preserve">CONTINUE LOADING </v>
          </cell>
          <cell r="F822">
            <v>8.3333333333333329E-2</v>
          </cell>
          <cell r="G822" t="str">
            <v>WAITING MATERIAL</v>
          </cell>
          <cell r="O822">
            <v>6.6666666666666666E-2</v>
          </cell>
          <cell r="P822" t="str">
            <v xml:space="preserve">RESUME LOADING </v>
          </cell>
          <cell r="U822">
            <v>0.15138888888888888</v>
          </cell>
          <cell r="V822" t="str">
            <v>WAITING MATERIAL</v>
          </cell>
          <cell r="X822">
            <v>0.84027777777777779</v>
          </cell>
          <cell r="Y822" t="str">
            <v xml:space="preserve">RESUME LOADING </v>
          </cell>
          <cell r="AA822">
            <v>0.69097222222222221</v>
          </cell>
          <cell r="AB822" t="str">
            <v>CONTINUE LOADING</v>
          </cell>
          <cell r="AD822">
            <v>0.69513888888888886</v>
          </cell>
          <cell r="AE822" t="str">
            <v>CONTINUE LOADING</v>
          </cell>
        </row>
        <row r="823">
          <cell r="C823">
            <v>0</v>
          </cell>
          <cell r="D823" t="str">
            <v>STEVEDORES BREAK</v>
          </cell>
          <cell r="F823">
            <v>0.16388888888888889</v>
          </cell>
          <cell r="G823" t="str">
            <v xml:space="preserve">RESUME LOADING </v>
          </cell>
          <cell r="O823">
            <v>0.1125</v>
          </cell>
          <cell r="P823" t="str">
            <v xml:space="preserve">ONGOING LOADING </v>
          </cell>
          <cell r="X823">
            <v>0.86388888888888893</v>
          </cell>
          <cell r="Y823" t="str">
            <v>CONTINUE LOADING SLING</v>
          </cell>
          <cell r="AA823">
            <v>0.72569444444444442</v>
          </cell>
          <cell r="AB823" t="str">
            <v xml:space="preserve">CONTINUE LOADING </v>
          </cell>
          <cell r="AD823">
            <v>0.72222222222222221</v>
          </cell>
          <cell r="AE823" t="str">
            <v xml:space="preserve">CONTINUE LOADING </v>
          </cell>
        </row>
        <row r="824">
          <cell r="C824">
            <v>5.6250000000000001E-2</v>
          </cell>
          <cell r="D824" t="str">
            <v>RESUME LOADING</v>
          </cell>
          <cell r="F824">
            <v>0.18402777777777779</v>
          </cell>
          <cell r="G824" t="str">
            <v>WAITING MATERIAL</v>
          </cell>
          <cell r="O824">
            <v>0.14722222222222223</v>
          </cell>
          <cell r="P824" t="str">
            <v xml:space="preserve">CONTINUE LOADING </v>
          </cell>
          <cell r="X824">
            <v>0.89583333333333337</v>
          </cell>
          <cell r="Y824" t="str">
            <v>ONGOING LOADING</v>
          </cell>
          <cell r="AA824">
            <v>0.79166666666666663</v>
          </cell>
          <cell r="AB824" t="str">
            <v>KY TOOLBOX</v>
          </cell>
          <cell r="AD824">
            <v>0.79166666666666663</v>
          </cell>
          <cell r="AE824" t="str">
            <v>KY TOOLBOX</v>
          </cell>
        </row>
        <row r="825">
          <cell r="C825">
            <v>7.7777777777777779E-2</v>
          </cell>
          <cell r="D825" t="str">
            <v xml:space="preserve">ONGOING LOADING </v>
          </cell>
          <cell r="O825">
            <v>0.16666666666666666</v>
          </cell>
          <cell r="P825" t="str">
            <v>WAITING MATERIAL</v>
          </cell>
          <cell r="X825">
            <v>0.91666666666666663</v>
          </cell>
          <cell r="Y825" t="str">
            <v>CONTINUE LOADING SLING</v>
          </cell>
          <cell r="AA825">
            <v>0.86527777777777781</v>
          </cell>
          <cell r="AB825" t="str">
            <v xml:space="preserve">RESUME LOADING </v>
          </cell>
          <cell r="AD825">
            <v>0.82986111111111116</v>
          </cell>
          <cell r="AE825" t="str">
            <v xml:space="preserve">RESUME LOADING </v>
          </cell>
        </row>
        <row r="826">
          <cell r="C826">
            <v>0.13958333333333334</v>
          </cell>
          <cell r="D826" t="str">
            <v xml:space="preserve">ONGOING LOADING </v>
          </cell>
          <cell r="X826">
            <v>0.93402777777777779</v>
          </cell>
          <cell r="Y826" t="str">
            <v>ONGOING LOADING</v>
          </cell>
          <cell r="AA826">
            <v>0.89236111111111116</v>
          </cell>
          <cell r="AB826" t="str">
            <v xml:space="preserve">CONTINUE LOADING </v>
          </cell>
          <cell r="AD826">
            <v>0.85763888888888884</v>
          </cell>
          <cell r="AE826" t="str">
            <v>ONGOING LOADING</v>
          </cell>
        </row>
        <row r="827">
          <cell r="C827">
            <v>0.19722222222222222</v>
          </cell>
          <cell r="D827" t="str">
            <v xml:space="preserve">CONTINUE LOADING </v>
          </cell>
          <cell r="X827">
            <v>0.9458333333333333</v>
          </cell>
          <cell r="Y827" t="str">
            <v>WAITING MATERIAL</v>
          </cell>
          <cell r="AA827">
            <v>0.93541666666666667</v>
          </cell>
          <cell r="AB827" t="str">
            <v xml:space="preserve">ONGOING LOADING </v>
          </cell>
          <cell r="AD827">
            <v>0.87847222222222221</v>
          </cell>
          <cell r="AE827" t="str">
            <v xml:space="preserve">CONTINUE LOADING </v>
          </cell>
        </row>
        <row r="828">
          <cell r="C828">
            <v>0.21388888888888888</v>
          </cell>
          <cell r="D828" t="str">
            <v>WAITING MATERIAL</v>
          </cell>
          <cell r="AA828">
            <v>0.94652777777777775</v>
          </cell>
          <cell r="AB828" t="str">
            <v xml:space="preserve">CONTINUE LOADING </v>
          </cell>
          <cell r="AD828">
            <v>0.90625</v>
          </cell>
          <cell r="AE828" t="str">
            <v>ONGOING LOADING</v>
          </cell>
        </row>
        <row r="829">
          <cell r="AA829">
            <v>9.7222222222222224E-3</v>
          </cell>
          <cell r="AB829" t="str">
            <v>LOADING COMPLETE</v>
          </cell>
          <cell r="AD829">
            <v>0.9291666666666667</v>
          </cell>
          <cell r="AE829" t="str">
            <v>CONTINUE LOADING</v>
          </cell>
        </row>
        <row r="830">
          <cell r="AD830">
            <v>0.95833333333333337</v>
          </cell>
          <cell r="AE830" t="str">
            <v>STEVEDORES BREAK</v>
          </cell>
        </row>
        <row r="831">
          <cell r="AD831">
            <v>1.3194444444444444E-2</v>
          </cell>
          <cell r="AE831" t="str">
            <v xml:space="preserve">RESUME LOADING </v>
          </cell>
        </row>
        <row r="832">
          <cell r="AD832">
            <v>2.9166666666666667E-2</v>
          </cell>
          <cell r="AE832" t="str">
            <v>ONGOING LOADING</v>
          </cell>
        </row>
        <row r="833">
          <cell r="AD833">
            <v>4.5138888888888888E-2</v>
          </cell>
          <cell r="AE833" t="str">
            <v xml:space="preserve">CONTINUE LOADING </v>
          </cell>
        </row>
        <row r="834">
          <cell r="AD834">
            <v>5.7638888888888892E-2</v>
          </cell>
          <cell r="AE834" t="str">
            <v>LOADING COMPLETE</v>
          </cell>
        </row>
        <row r="835">
          <cell r="D835" t="str">
            <v>INFINITY 8</v>
          </cell>
          <cell r="G835" t="str">
            <v>JOHANNAH 7</v>
          </cell>
          <cell r="I835" t="str">
            <v xml:space="preserve"> </v>
          </cell>
          <cell r="J835" t="str">
            <v>STAR ILIGAN</v>
          </cell>
          <cell r="M835" t="str">
            <v>STAR SOGOD</v>
          </cell>
          <cell r="P835" t="str">
            <v>QUEEN CAROLYN</v>
          </cell>
          <cell r="S835" t="str">
            <v>LADY OF DIVINE GRACE</v>
          </cell>
          <cell r="V835" t="str">
            <v>NAPOLI</v>
          </cell>
          <cell r="Y835" t="str">
            <v>AGNES LILYGENE</v>
          </cell>
          <cell r="AA835" t="str">
            <v xml:space="preserve"> </v>
          </cell>
          <cell r="AB835" t="str">
            <v>VACANT</v>
          </cell>
          <cell r="AE835" t="str">
            <v>SALVACION VI</v>
          </cell>
          <cell r="AH835" t="str">
            <v>VACANT</v>
          </cell>
        </row>
        <row r="836">
          <cell r="C836">
            <v>0.29166666666666669</v>
          </cell>
          <cell r="D836" t="str">
            <v>KY TOOLBOX</v>
          </cell>
          <cell r="F836">
            <v>0.29166666666666669</v>
          </cell>
          <cell r="G836" t="str">
            <v>KY TOOLBOX</v>
          </cell>
          <cell r="I836">
            <v>0.52083333333333337</v>
          </cell>
          <cell r="J836" t="str">
            <v>NEWLY SECURED</v>
          </cell>
          <cell r="L836">
            <v>0.45833333333333331</v>
          </cell>
          <cell r="M836" t="str">
            <v xml:space="preserve">NEWLY SECURED </v>
          </cell>
          <cell r="O836">
            <v>0.29166666666666669</v>
          </cell>
          <cell r="P836" t="str">
            <v>KY TOOLBOX</v>
          </cell>
          <cell r="R836" t="str">
            <v>09:00H</v>
          </cell>
          <cell r="S836" t="str">
            <v>NEWLY SECURED</v>
          </cell>
          <cell r="U836">
            <v>0.29166666666666669</v>
          </cell>
          <cell r="V836" t="str">
            <v>KY TOOLBOX</v>
          </cell>
          <cell r="X836">
            <v>0.29166666666666669</v>
          </cell>
          <cell r="Y836" t="str">
            <v>KY TOOLBOX</v>
          </cell>
          <cell r="AD836">
            <v>0.29166666666666669</v>
          </cell>
          <cell r="AE836" t="str">
            <v>NEWLY SECURED</v>
          </cell>
        </row>
        <row r="837">
          <cell r="C837">
            <v>0.33333333333333331</v>
          </cell>
          <cell r="D837" t="str">
            <v xml:space="preserve">WAITING DELIVERY </v>
          </cell>
          <cell r="F837">
            <v>0.33333333333333331</v>
          </cell>
          <cell r="G837" t="str">
            <v xml:space="preserve">WAITING DELIVERY </v>
          </cell>
          <cell r="I837">
            <v>0.54166666666666663</v>
          </cell>
          <cell r="J837" t="str">
            <v xml:space="preserve">WAITING DELIVERY </v>
          </cell>
          <cell r="L837">
            <v>0.5</v>
          </cell>
          <cell r="M837" t="str">
            <v>NO BOOKING</v>
          </cell>
          <cell r="O837">
            <v>0.33333333333333331</v>
          </cell>
          <cell r="P837" t="str">
            <v xml:space="preserve">WAITING DELIVERY </v>
          </cell>
          <cell r="R837">
            <v>0.41666666666666669</v>
          </cell>
          <cell r="S837" t="str">
            <v xml:space="preserve">WAITING DELIVERY </v>
          </cell>
          <cell r="U837">
            <v>0.33333333333333331</v>
          </cell>
          <cell r="V837" t="str">
            <v xml:space="preserve">WAITING DELIVERY </v>
          </cell>
          <cell r="X837">
            <v>0.33333333333333331</v>
          </cell>
          <cell r="Y837" t="str">
            <v>WAITING DELIVERY</v>
          </cell>
          <cell r="AD837">
            <v>0.33333333333333331</v>
          </cell>
          <cell r="AE837" t="str">
            <v>WAITING DELIVERY</v>
          </cell>
        </row>
        <row r="838">
          <cell r="C838">
            <v>0.39583333333333331</v>
          </cell>
          <cell r="D838" t="str">
            <v>CONTINUE LOADING</v>
          </cell>
          <cell r="F838">
            <v>0.375</v>
          </cell>
          <cell r="G838" t="str">
            <v xml:space="preserve">WAITING DELIVERY </v>
          </cell>
          <cell r="I838">
            <v>0.58333333333333337</v>
          </cell>
          <cell r="J838" t="str">
            <v xml:space="preserve">WAITING DELIVERY </v>
          </cell>
          <cell r="O838">
            <v>0.375</v>
          </cell>
          <cell r="P838" t="str">
            <v xml:space="preserve">WAITING DELIVERY </v>
          </cell>
          <cell r="U838">
            <v>0.3888888888888889</v>
          </cell>
          <cell r="V838" t="str">
            <v>CONITNUE LOADING</v>
          </cell>
          <cell r="X838">
            <v>0.375</v>
          </cell>
          <cell r="Y838" t="str">
            <v>WAITING DELIVERY</v>
          </cell>
          <cell r="AD838">
            <v>0.375</v>
          </cell>
          <cell r="AE838" t="str">
            <v>WAITING DELIVERY</v>
          </cell>
        </row>
        <row r="839">
          <cell r="C839">
            <v>0.44930555555555557</v>
          </cell>
          <cell r="D839" t="str">
            <v>CONTINUE LOADING</v>
          </cell>
          <cell r="F839">
            <v>0.41666666666666669</v>
          </cell>
          <cell r="G839" t="str">
            <v xml:space="preserve">WAITING DELIVERY </v>
          </cell>
          <cell r="I839">
            <v>0.625</v>
          </cell>
          <cell r="J839" t="str">
            <v>COMMENCE LOADING</v>
          </cell>
          <cell r="O839">
            <v>0.41666666666666669</v>
          </cell>
          <cell r="P839" t="str">
            <v xml:space="preserve">WAITING DELIVERY </v>
          </cell>
          <cell r="U839">
            <v>0.43333333333333335</v>
          </cell>
          <cell r="V839" t="str">
            <v>CONITNUE LOADING</v>
          </cell>
          <cell r="X839">
            <v>0.41666666666666669</v>
          </cell>
          <cell r="Y839" t="str">
            <v>WAITING DELIVERY</v>
          </cell>
          <cell r="AD839">
            <v>0.41666666666666669</v>
          </cell>
          <cell r="AE839" t="str">
            <v>WAITING DELIVERY</v>
          </cell>
        </row>
        <row r="840">
          <cell r="C840">
            <v>0.45833333333333331</v>
          </cell>
          <cell r="D840" t="str">
            <v xml:space="preserve">WAITING DELIVERY </v>
          </cell>
          <cell r="F840">
            <v>0.45833333333333331</v>
          </cell>
          <cell r="G840" t="str">
            <v xml:space="preserve">WAITING DELIVERY </v>
          </cell>
          <cell r="I840">
            <v>0.70138888888888884</v>
          </cell>
          <cell r="J840" t="str">
            <v>CONTINUE LOADING</v>
          </cell>
          <cell r="O840">
            <v>0.45833333333333331</v>
          </cell>
          <cell r="P840" t="str">
            <v xml:space="preserve">WAITING DELIVERY </v>
          </cell>
          <cell r="U840">
            <v>0.45833333333333331</v>
          </cell>
          <cell r="V840" t="str">
            <v xml:space="preserve">WAITING DELIVERY </v>
          </cell>
          <cell r="X840">
            <v>0.45833333333333331</v>
          </cell>
          <cell r="Y840" t="str">
            <v>WAITING DELIVERY</v>
          </cell>
          <cell r="AD840">
            <v>0.45833333333333331</v>
          </cell>
          <cell r="AE840" t="str">
            <v>WAITING DELIVERY</v>
          </cell>
        </row>
        <row r="841">
          <cell r="C841">
            <v>0.5</v>
          </cell>
          <cell r="D841" t="str">
            <v>LUNCH BREAK</v>
          </cell>
          <cell r="F841">
            <v>0.5</v>
          </cell>
          <cell r="G841" t="str">
            <v>LUNCH BREAK</v>
          </cell>
          <cell r="I841">
            <v>0.70833333333333337</v>
          </cell>
          <cell r="J841" t="str">
            <v xml:space="preserve">WAITING DELIVERY </v>
          </cell>
          <cell r="O841">
            <v>0.5</v>
          </cell>
          <cell r="P841" t="str">
            <v>LUNCH BREAK</v>
          </cell>
          <cell r="U841">
            <v>0.5</v>
          </cell>
          <cell r="V841" t="str">
            <v>LUNCH BREAK</v>
          </cell>
          <cell r="X841">
            <v>0.5</v>
          </cell>
          <cell r="Y841" t="str">
            <v>LUNCH BREAK</v>
          </cell>
          <cell r="AD841">
            <v>0.5</v>
          </cell>
          <cell r="AE841" t="str">
            <v>LUNCH BREAK</v>
          </cell>
        </row>
        <row r="842">
          <cell r="C842">
            <v>0.56597222222222221</v>
          </cell>
          <cell r="D842" t="str">
            <v>CONTINUE LOADING</v>
          </cell>
          <cell r="F842">
            <v>0.54166666666666663</v>
          </cell>
          <cell r="G842" t="str">
            <v>WAITING AVAILABLE STEVEDORED</v>
          </cell>
          <cell r="O842">
            <v>0.54166666666666663</v>
          </cell>
          <cell r="P842" t="str">
            <v xml:space="preserve">WAITING DELIVERY </v>
          </cell>
          <cell r="U842">
            <v>0.56597222222222221</v>
          </cell>
          <cell r="V842" t="str">
            <v>CONITNUE LOADING</v>
          </cell>
          <cell r="X842">
            <v>0.57638888888888884</v>
          </cell>
          <cell r="Y842" t="str">
            <v xml:space="preserve">CONTINUE LOADING </v>
          </cell>
          <cell r="AD842">
            <v>0.5708333333333333</v>
          </cell>
          <cell r="AE842" t="str">
            <v xml:space="preserve">COMMENCE LOADING </v>
          </cell>
        </row>
        <row r="843">
          <cell r="C843">
            <v>0.59722222222222221</v>
          </cell>
          <cell r="D843" t="str">
            <v>VESSEL CLOSE</v>
          </cell>
          <cell r="F843">
            <v>0.59722222222222221</v>
          </cell>
          <cell r="G843" t="str">
            <v>VESSEL CLOSE</v>
          </cell>
          <cell r="O843">
            <v>0.58333333333333337</v>
          </cell>
          <cell r="P843" t="str">
            <v xml:space="preserve">WAITING DELIVERY </v>
          </cell>
          <cell r="U843">
            <v>0.59722222222222221</v>
          </cell>
          <cell r="V843" t="str">
            <v>VESSEL CLOSE</v>
          </cell>
          <cell r="X843">
            <v>0.60416666666666663</v>
          </cell>
          <cell r="Y843" t="str">
            <v>WAITING DELIVERY</v>
          </cell>
          <cell r="AD843">
            <v>0.58333333333333337</v>
          </cell>
          <cell r="AE843" t="str">
            <v>WAITING DELIVERY</v>
          </cell>
        </row>
        <row r="844">
          <cell r="C844">
            <v>0.6333333333333333</v>
          </cell>
          <cell r="D844" t="str">
            <v>CONTINUE LOADING</v>
          </cell>
          <cell r="F844">
            <v>0.64444444444444449</v>
          </cell>
          <cell r="G844" t="str">
            <v>CONTINUE LOADING</v>
          </cell>
          <cell r="O844">
            <v>0.625</v>
          </cell>
          <cell r="P844" t="str">
            <v xml:space="preserve">WAITING DELIVERY </v>
          </cell>
          <cell r="U844">
            <v>0.64583333333333337</v>
          </cell>
          <cell r="V844" t="str">
            <v>CONTINUE LOADING</v>
          </cell>
        </row>
        <row r="845">
          <cell r="C845">
            <v>0.66666666666666663</v>
          </cell>
          <cell r="D845" t="str">
            <v>CONTINUE LOADING</v>
          </cell>
          <cell r="F845">
            <v>0.67013888888888884</v>
          </cell>
          <cell r="G845" t="str">
            <v>CONTINUE LOADING</v>
          </cell>
          <cell r="O845">
            <v>0.70416666666666672</v>
          </cell>
          <cell r="P845" t="str">
            <v>CONTINUE LOADING</v>
          </cell>
          <cell r="U845">
            <v>0.67777777777777781</v>
          </cell>
          <cell r="V845" t="str">
            <v>CONTINUE LOADING</v>
          </cell>
        </row>
        <row r="846">
          <cell r="C846">
            <v>0.70833333333333337</v>
          </cell>
          <cell r="D846" t="str">
            <v xml:space="preserve">WAITING DELIVERY </v>
          </cell>
          <cell r="F846">
            <v>0.70833333333333337</v>
          </cell>
          <cell r="G846" t="str">
            <v>CONTINUE LOADING</v>
          </cell>
          <cell r="O846">
            <v>0.70833333333333337</v>
          </cell>
          <cell r="P846" t="str">
            <v xml:space="preserve">WAITING DELIVERY </v>
          </cell>
          <cell r="U846">
            <v>0.70833333333333337</v>
          </cell>
          <cell r="V846" t="str">
            <v xml:space="preserve">WAITING DELIVERY </v>
          </cell>
        </row>
        <row r="847">
          <cell r="F847">
            <v>0.75</v>
          </cell>
          <cell r="G847" t="str">
            <v xml:space="preserve">WAITING DELIVERY </v>
          </cell>
        </row>
        <row r="848">
          <cell r="D848" t="str">
            <v>INFINITY 8</v>
          </cell>
          <cell r="G848" t="str">
            <v>JOHANNAH 7</v>
          </cell>
          <cell r="I848" t="str">
            <v xml:space="preserve"> </v>
          </cell>
          <cell r="J848" t="str">
            <v>STAR ILIGAN</v>
          </cell>
          <cell r="M848" t="str">
            <v>STAR SOGOD</v>
          </cell>
          <cell r="P848" t="str">
            <v>QUEEN CAROLYN</v>
          </cell>
          <cell r="S848" t="str">
            <v>LADY OF DIVINE GRACE</v>
          </cell>
          <cell r="V848" t="str">
            <v>NAPOLI</v>
          </cell>
          <cell r="Y848" t="str">
            <v>AGNES LILYGENE</v>
          </cell>
          <cell r="AA848" t="str">
            <v xml:space="preserve"> </v>
          </cell>
          <cell r="AB848" t="str">
            <v>SALVACION VI</v>
          </cell>
          <cell r="AD848" t="str">
            <v xml:space="preserve"> </v>
          </cell>
          <cell r="AE848" t="str">
            <v>LADY OF ROSARY</v>
          </cell>
          <cell r="AH848" t="str">
            <v>VACANT</v>
          </cell>
        </row>
        <row r="849">
          <cell r="C849">
            <v>0.29166666666666669</v>
          </cell>
          <cell r="D849" t="str">
            <v>WAITING MATERIAL</v>
          </cell>
          <cell r="F849">
            <v>0.29166666666666669</v>
          </cell>
          <cell r="G849" t="str">
            <v>WAITING MATERIAL</v>
          </cell>
          <cell r="I849">
            <v>0.29166666666666669</v>
          </cell>
          <cell r="J849" t="str">
            <v>WAITING MATERIAL</v>
          </cell>
          <cell r="L849">
            <v>0.29166666666666669</v>
          </cell>
          <cell r="M849" t="str">
            <v>WAITING MATERIAL</v>
          </cell>
          <cell r="O849">
            <v>0.29166666666666669</v>
          </cell>
          <cell r="P849" t="str">
            <v>WAITING MATERIAL</v>
          </cell>
          <cell r="R849">
            <v>0.29166666666666669</v>
          </cell>
          <cell r="S849" t="str">
            <v>WAITING MATERIAL</v>
          </cell>
          <cell r="U849">
            <v>0.29166666666666669</v>
          </cell>
          <cell r="V849" t="str">
            <v>WAITING MATERIAL</v>
          </cell>
          <cell r="X849">
            <v>0.29166666666666669</v>
          </cell>
          <cell r="Y849" t="str">
            <v>WAITING MATERIAL</v>
          </cell>
          <cell r="AA849">
            <v>0.29166666666666669</v>
          </cell>
          <cell r="AB849" t="str">
            <v>WAIITNG VESSEL</v>
          </cell>
          <cell r="AD849">
            <v>0.79166666666666663</v>
          </cell>
          <cell r="AE849" t="str">
            <v>KY TOOLBOX</v>
          </cell>
          <cell r="AG849" t="str">
            <v xml:space="preserve"> </v>
          </cell>
          <cell r="AH849" t="str">
            <v xml:space="preserve"> </v>
          </cell>
        </row>
        <row r="850">
          <cell r="C850">
            <v>0.54166666666666663</v>
          </cell>
          <cell r="D850" t="str">
            <v>OPENING HATCH</v>
          </cell>
          <cell r="F850">
            <v>0.39583333333333331</v>
          </cell>
          <cell r="G850" t="str">
            <v xml:space="preserve">RESUME LOADING </v>
          </cell>
          <cell r="I850">
            <v>0.41944444444444445</v>
          </cell>
          <cell r="J850" t="str">
            <v xml:space="preserve">RESUME LOADING </v>
          </cell>
          <cell r="L850">
            <v>0.54166666666666663</v>
          </cell>
          <cell r="M850" t="str">
            <v>WAITING BOOKING</v>
          </cell>
          <cell r="O850">
            <v>0.54166666666666663</v>
          </cell>
          <cell r="P850" t="str">
            <v>OPENING HATCH</v>
          </cell>
          <cell r="R850">
            <v>0.54166666666666663</v>
          </cell>
          <cell r="S850" t="str">
            <v>OPENING HATCH</v>
          </cell>
          <cell r="U850">
            <v>0.54166666666666663</v>
          </cell>
          <cell r="V850" t="str">
            <v>REFUSE TO OPEN HATCH</v>
          </cell>
          <cell r="X850">
            <v>0.54166666666666663</v>
          </cell>
          <cell r="Y850" t="str">
            <v>OPENING HATCH</v>
          </cell>
          <cell r="AA850">
            <v>0.54166666666666663</v>
          </cell>
          <cell r="AB850" t="str">
            <v>OPENING HATCH</v>
          </cell>
          <cell r="AD850">
            <v>0.8125</v>
          </cell>
          <cell r="AE850" t="str">
            <v>VESSEL CLOSED</v>
          </cell>
        </row>
        <row r="851">
          <cell r="C851">
            <v>0.60416666666666663</v>
          </cell>
          <cell r="D851" t="str">
            <v>CLOSE HATCH</v>
          </cell>
          <cell r="F851">
            <v>0.47222222222222221</v>
          </cell>
          <cell r="G851" t="str">
            <v xml:space="preserve">STOP LOADING </v>
          </cell>
          <cell r="I851">
            <v>0.47222222222222221</v>
          </cell>
          <cell r="J851" t="str">
            <v xml:space="preserve">STOP LOADING </v>
          </cell>
          <cell r="L851">
            <v>0.79166666666666663</v>
          </cell>
          <cell r="M851" t="str">
            <v>KY TOOL BOX</v>
          </cell>
          <cell r="O851">
            <v>0.60416666666666663</v>
          </cell>
          <cell r="P851" t="str">
            <v>CLOSE HATCH</v>
          </cell>
          <cell r="R851">
            <v>0.60416666666666663</v>
          </cell>
          <cell r="S851" t="str">
            <v>CLOSE HATCH</v>
          </cell>
          <cell r="U851">
            <v>0.60416666666666663</v>
          </cell>
          <cell r="V851" t="str">
            <v>CLOSE HATCH</v>
          </cell>
          <cell r="X851">
            <v>0.57638888888888884</v>
          </cell>
          <cell r="Y851" t="str">
            <v xml:space="preserve">RESUME LOADING </v>
          </cell>
          <cell r="AA851">
            <v>0.57152777777777775</v>
          </cell>
          <cell r="AB851" t="str">
            <v xml:space="preserve">COMMENCE LOADING </v>
          </cell>
          <cell r="AD851">
            <v>0.83333333333333337</v>
          </cell>
          <cell r="AE851" t="str">
            <v>REFUSE TO OPEN HATCH</v>
          </cell>
        </row>
        <row r="852">
          <cell r="C852">
            <v>0.64930555555555558</v>
          </cell>
          <cell r="D852" t="str">
            <v xml:space="preserve">RESUME LOADING </v>
          </cell>
          <cell r="F852">
            <v>0.54166666666666663</v>
          </cell>
          <cell r="G852" t="str">
            <v>OPENING HATCH</v>
          </cell>
          <cell r="I852">
            <v>0.54166666666666663</v>
          </cell>
          <cell r="J852" t="str">
            <v>REFUSE TO OPEN HATCH</v>
          </cell>
          <cell r="L852">
            <v>0.8125</v>
          </cell>
          <cell r="M852" t="str">
            <v>REFUSE TO OPEN HATCH</v>
          </cell>
          <cell r="O852">
            <v>0.63402777777777775</v>
          </cell>
          <cell r="P852" t="str">
            <v xml:space="preserve">RESUME LOADING </v>
          </cell>
          <cell r="R852">
            <v>0.625</v>
          </cell>
          <cell r="S852" t="str">
            <v>CLOSE HATCH</v>
          </cell>
          <cell r="U852">
            <v>0.625</v>
          </cell>
          <cell r="V852" t="str">
            <v>CLOSE HATCH</v>
          </cell>
          <cell r="X852">
            <v>0.6875</v>
          </cell>
          <cell r="Y852" t="str">
            <v xml:space="preserve">STOP LOADING </v>
          </cell>
          <cell r="AA852">
            <v>0.60416666666666663</v>
          </cell>
          <cell r="AB852" t="str">
            <v>CLOSE HATCH</v>
          </cell>
          <cell r="AD852">
            <v>0.875</v>
          </cell>
          <cell r="AE852" t="str">
            <v>REFUSE TO OPEN HATCH</v>
          </cell>
        </row>
        <row r="853">
          <cell r="C853">
            <v>0.6875</v>
          </cell>
          <cell r="D853" t="str">
            <v xml:space="preserve">STOP LOADING </v>
          </cell>
          <cell r="F853">
            <v>0.56666666666666665</v>
          </cell>
          <cell r="G853" t="str">
            <v xml:space="preserve">RESUME LOADING </v>
          </cell>
          <cell r="I853">
            <v>0.58333333333333337</v>
          </cell>
          <cell r="J853" t="str">
            <v>VESSEL CLOSED</v>
          </cell>
          <cell r="L853">
            <v>0.83333333333333337</v>
          </cell>
          <cell r="M853" t="str">
            <v>REFUSE TO OPEN HATCH</v>
          </cell>
          <cell r="O853">
            <v>0.6875</v>
          </cell>
          <cell r="P853" t="str">
            <v xml:space="preserve">STOP LOADING </v>
          </cell>
          <cell r="R853">
            <v>0.66666666666666663</v>
          </cell>
          <cell r="S853" t="str">
            <v>CLOSE HATCH</v>
          </cell>
          <cell r="U853">
            <v>0.66666666666666663</v>
          </cell>
          <cell r="V853" t="str">
            <v>CLOSE HATCH</v>
          </cell>
          <cell r="X853">
            <v>0.70833333333333337</v>
          </cell>
          <cell r="Y853" t="str">
            <v xml:space="preserve">STOP LOADING </v>
          </cell>
          <cell r="AA853">
            <v>0.64236111111111116</v>
          </cell>
          <cell r="AB853" t="str">
            <v xml:space="preserve">RESUME LOADING </v>
          </cell>
          <cell r="AD853">
            <v>0.91666666666666663</v>
          </cell>
          <cell r="AE853" t="str">
            <v>REFUSE TO OPEN HATCH</v>
          </cell>
        </row>
        <row r="854">
          <cell r="C854">
            <v>0.70833333333333337</v>
          </cell>
          <cell r="D854" t="str">
            <v xml:space="preserve">STOP LOADING </v>
          </cell>
          <cell r="F854">
            <v>0.57916666666666672</v>
          </cell>
          <cell r="G854" t="str">
            <v xml:space="preserve">ONGOING LOADING </v>
          </cell>
          <cell r="I854">
            <v>0.625</v>
          </cell>
          <cell r="J854" t="str">
            <v>VESSEL CLOSED</v>
          </cell>
          <cell r="L854">
            <v>0.875</v>
          </cell>
          <cell r="M854" t="str">
            <v>REFUSE TO OPEN HATCH</v>
          </cell>
          <cell r="O854">
            <v>0.70833333333333337</v>
          </cell>
          <cell r="P854" t="str">
            <v xml:space="preserve">STOP LOADING </v>
          </cell>
          <cell r="R854">
            <v>0.70833333333333337</v>
          </cell>
          <cell r="S854" t="str">
            <v>CLOSE HATCH</v>
          </cell>
          <cell r="U854">
            <v>0.70833333333333337</v>
          </cell>
          <cell r="V854" t="str">
            <v>CLOSE HATCH</v>
          </cell>
          <cell r="X854">
            <v>0.75</v>
          </cell>
          <cell r="Y854" t="str">
            <v xml:space="preserve">STOP LOADING </v>
          </cell>
          <cell r="AA854">
            <v>0.6875</v>
          </cell>
          <cell r="AB854" t="str">
            <v xml:space="preserve">STOP LOADING </v>
          </cell>
          <cell r="AD854">
            <v>0.95833333333333337</v>
          </cell>
          <cell r="AE854" t="str">
            <v>REFUSE TO OPEN HATCH</v>
          </cell>
        </row>
        <row r="855">
          <cell r="C855">
            <v>0.75</v>
          </cell>
          <cell r="D855" t="str">
            <v xml:space="preserve">STOP LOADING </v>
          </cell>
          <cell r="F855">
            <v>0.63541666666666663</v>
          </cell>
          <cell r="G855" t="str">
            <v xml:space="preserve">CONTINUE LOADING </v>
          </cell>
          <cell r="I855">
            <v>0.66666666666666663</v>
          </cell>
          <cell r="J855" t="str">
            <v>VESSEL CLOSED</v>
          </cell>
          <cell r="L855">
            <v>0.91666666666666663</v>
          </cell>
          <cell r="M855" t="str">
            <v xml:space="preserve">WAITING  FORKLIFT </v>
          </cell>
          <cell r="O855">
            <v>0.75</v>
          </cell>
          <cell r="P855" t="str">
            <v xml:space="preserve">STOP LOADING </v>
          </cell>
          <cell r="R855">
            <v>0.75</v>
          </cell>
          <cell r="S855" t="str">
            <v>CLOSE HATCH</v>
          </cell>
          <cell r="U855">
            <v>0.75</v>
          </cell>
          <cell r="V855" t="str">
            <v>CLOSE HATCH</v>
          </cell>
          <cell r="X855">
            <v>0.79166666666666663</v>
          </cell>
          <cell r="Y855" t="str">
            <v>KY TOOLBOX</v>
          </cell>
          <cell r="AA855">
            <v>0.70833333333333337</v>
          </cell>
          <cell r="AB855" t="str">
            <v xml:space="preserve">STOP LOADING </v>
          </cell>
          <cell r="AD855">
            <v>0</v>
          </cell>
          <cell r="AE855" t="str">
            <v>REFUSE TO OPEN HATCH</v>
          </cell>
        </row>
        <row r="856">
          <cell r="C856">
            <v>0.79166666666666663</v>
          </cell>
          <cell r="D856" t="str">
            <v>KY TOOLBOX</v>
          </cell>
          <cell r="F856">
            <v>0.66180555555555554</v>
          </cell>
          <cell r="G856" t="str">
            <v xml:space="preserve">ONGOING LOADING </v>
          </cell>
          <cell r="I856">
            <v>0.70833333333333337</v>
          </cell>
          <cell r="J856" t="str">
            <v>VESSEL CLOSED</v>
          </cell>
          <cell r="L856">
            <v>0.95833333333333337</v>
          </cell>
          <cell r="M856" t="str">
            <v xml:space="preserve">WAITING  FORKLIFT </v>
          </cell>
          <cell r="O856">
            <v>0.79166666666666663</v>
          </cell>
          <cell r="P856" t="str">
            <v>KY TOOLBOX</v>
          </cell>
          <cell r="R856">
            <v>0.79166666666666663</v>
          </cell>
          <cell r="S856" t="str">
            <v>KY TOOLBOX</v>
          </cell>
          <cell r="U856">
            <v>0.79166666666666663</v>
          </cell>
          <cell r="V856" t="str">
            <v>KY TOOLBOX</v>
          </cell>
          <cell r="X856">
            <v>0.8125</v>
          </cell>
          <cell r="Y856" t="str">
            <v>VESSEL CLOSE</v>
          </cell>
          <cell r="AA856">
            <v>0.75</v>
          </cell>
          <cell r="AB856" t="str">
            <v xml:space="preserve">STOP LOADING </v>
          </cell>
          <cell r="AD856">
            <v>4.1666666666666664E-2</v>
          </cell>
          <cell r="AE856" t="str">
            <v>REFUSE TO OPEN HATCH</v>
          </cell>
        </row>
        <row r="857">
          <cell r="C857">
            <v>0.8125</v>
          </cell>
          <cell r="D857" t="str">
            <v>VESSEL CLOSE</v>
          </cell>
          <cell r="F857">
            <v>0.6875</v>
          </cell>
          <cell r="G857" t="str">
            <v xml:space="preserve">STOP LOADING </v>
          </cell>
          <cell r="I857">
            <v>0.75</v>
          </cell>
          <cell r="J857" t="str">
            <v>VESSEL CLOSED</v>
          </cell>
          <cell r="L857">
            <v>0</v>
          </cell>
          <cell r="M857" t="str">
            <v xml:space="preserve">WAITING  FORKLIFT </v>
          </cell>
          <cell r="O857">
            <v>0.8125</v>
          </cell>
          <cell r="P857" t="str">
            <v>VESSEL CLOSED</v>
          </cell>
          <cell r="R857">
            <v>0.8125</v>
          </cell>
          <cell r="S857" t="str">
            <v>VESSEL CLOSED</v>
          </cell>
          <cell r="U857">
            <v>0.8125</v>
          </cell>
          <cell r="V857" t="str">
            <v>VESSEL CLOSE</v>
          </cell>
          <cell r="X857">
            <v>0.83333333333333337</v>
          </cell>
          <cell r="Y857" t="str">
            <v>VESSEL CLOSE</v>
          </cell>
          <cell r="AA857">
            <v>0.79166666666666663</v>
          </cell>
          <cell r="AB857" t="str">
            <v>KY TOOLBOX</v>
          </cell>
          <cell r="AD857">
            <v>8.3333333333333329E-2</v>
          </cell>
          <cell r="AE857" t="str">
            <v xml:space="preserve">RESUME LOADING </v>
          </cell>
        </row>
        <row r="858">
          <cell r="C858">
            <v>0.83333333333333337</v>
          </cell>
          <cell r="D858" t="str">
            <v>VESSEL CLOSE</v>
          </cell>
          <cell r="F858">
            <v>0.70833333333333337</v>
          </cell>
          <cell r="G858" t="str">
            <v xml:space="preserve">STOP LOADING </v>
          </cell>
          <cell r="I858">
            <v>0.79166666666666663</v>
          </cell>
          <cell r="J858" t="str">
            <v>KY TOOLBOX</v>
          </cell>
          <cell r="L858">
            <v>4.1666666666666664E-2</v>
          </cell>
          <cell r="M858" t="str">
            <v xml:space="preserve">WAITING  FORKLIFT </v>
          </cell>
          <cell r="O858">
            <v>0.83333333333333337</v>
          </cell>
          <cell r="P858" t="str">
            <v>VESSEL CLOSED</v>
          </cell>
          <cell r="R858">
            <v>0.83333333333333337</v>
          </cell>
          <cell r="S858" t="str">
            <v>REFUSE TO OPEN HATCH</v>
          </cell>
          <cell r="U858">
            <v>0.83333333333333337</v>
          </cell>
          <cell r="V858" t="str">
            <v>REFUSE TO OPEN HATCH</v>
          </cell>
          <cell r="X858">
            <v>0.875</v>
          </cell>
          <cell r="Y858" t="str">
            <v>VESSEL CLOSE</v>
          </cell>
          <cell r="AA858">
            <v>0.8125</v>
          </cell>
          <cell r="AB858" t="str">
            <v>VESSEL CLOSED</v>
          </cell>
          <cell r="AD858">
            <v>0.125</v>
          </cell>
          <cell r="AE858" t="str">
            <v xml:space="preserve">VESSEL CLOSE </v>
          </cell>
        </row>
        <row r="859">
          <cell r="C859">
            <v>0.90347222222222223</v>
          </cell>
          <cell r="D859" t="str">
            <v>RESUME LOADING</v>
          </cell>
          <cell r="F859">
            <v>0.75</v>
          </cell>
          <cell r="G859" t="str">
            <v xml:space="preserve">STOP LOADING </v>
          </cell>
          <cell r="I859">
            <v>0.8125</v>
          </cell>
          <cell r="J859" t="str">
            <v>VESSEL CLOSED</v>
          </cell>
          <cell r="L859">
            <v>8.3333333333333329E-2</v>
          </cell>
          <cell r="M859" t="str">
            <v xml:space="preserve">WAITING  FORKLIFT </v>
          </cell>
          <cell r="O859">
            <v>0.875</v>
          </cell>
          <cell r="P859" t="str">
            <v>VESSEL CLOSED</v>
          </cell>
          <cell r="R859">
            <v>0.875</v>
          </cell>
          <cell r="S859" t="str">
            <v>REFUSE TO OPEN HATCH</v>
          </cell>
          <cell r="U859">
            <v>0.875</v>
          </cell>
          <cell r="V859" t="str">
            <v>REFUSE TO OPEN HATCH</v>
          </cell>
          <cell r="X859">
            <v>0.91666666666666663</v>
          </cell>
          <cell r="Y859" t="str">
            <v>VESSEL CLOSE</v>
          </cell>
          <cell r="AA859">
            <v>0.83333333333333337</v>
          </cell>
          <cell r="AB859" t="str">
            <v>REFUSE TO OPEN HATCH</v>
          </cell>
          <cell r="AD859">
            <v>0.16666666666666666</v>
          </cell>
          <cell r="AE859" t="str">
            <v xml:space="preserve">VESSEL CLOSE </v>
          </cell>
        </row>
        <row r="860">
          <cell r="C860">
            <v>0.93194444444444446</v>
          </cell>
          <cell r="D860" t="str">
            <v>COMPLETE LOADING</v>
          </cell>
          <cell r="F860">
            <v>0.79166666666666663</v>
          </cell>
          <cell r="G860" t="str">
            <v>KY TOOLBOX</v>
          </cell>
          <cell r="I860">
            <v>0.83333333333333337</v>
          </cell>
          <cell r="J860" t="str">
            <v>REFUSE TO OPEN HATCH</v>
          </cell>
          <cell r="L860">
            <v>0.125</v>
          </cell>
          <cell r="M860" t="str">
            <v xml:space="preserve">WAITING  FORKLIFT </v>
          </cell>
          <cell r="O860">
            <v>0.91666666666666663</v>
          </cell>
          <cell r="P860" t="str">
            <v>VESSEL CLOSED</v>
          </cell>
          <cell r="R860">
            <v>0.91666666666666663</v>
          </cell>
          <cell r="S860" t="str">
            <v>REFUSE TO OPEN HATCH</v>
          </cell>
          <cell r="U860">
            <v>0.91666666666666663</v>
          </cell>
          <cell r="V860" t="str">
            <v>REFUSE TO OPEN HATCH</v>
          </cell>
          <cell r="X860">
            <v>0.95833333333333337</v>
          </cell>
          <cell r="Y860" t="str">
            <v>VESSEL CLOSE</v>
          </cell>
          <cell r="AA860">
            <v>0.875</v>
          </cell>
          <cell r="AB860" t="str">
            <v>REFUSE TO OPEN HATCH</v>
          </cell>
          <cell r="AD860">
            <v>0.20833333333333334</v>
          </cell>
          <cell r="AE860" t="str">
            <v xml:space="preserve">VESSEL CLOSE </v>
          </cell>
        </row>
        <row r="861">
          <cell r="F861">
            <v>0.8125</v>
          </cell>
          <cell r="G861" t="str">
            <v>VESSEL CLOSE</v>
          </cell>
          <cell r="I861">
            <v>0.875</v>
          </cell>
          <cell r="J861" t="str">
            <v>REFUSE TO OPEN HATCH</v>
          </cell>
          <cell r="L861">
            <v>0.16666666666666666</v>
          </cell>
          <cell r="M861" t="str">
            <v xml:space="preserve">WAITING  FORKLIFT </v>
          </cell>
          <cell r="O861">
            <v>0.95833333333333337</v>
          </cell>
          <cell r="P861" t="str">
            <v>VESSEL CLOSED</v>
          </cell>
          <cell r="R861">
            <v>0.95833333333333337</v>
          </cell>
          <cell r="S861" t="str">
            <v>REFUSE TO OPEN HATCH</v>
          </cell>
          <cell r="U861">
            <v>0.95833333333333337</v>
          </cell>
          <cell r="V861" t="str">
            <v>REFUSE TO OPEN HATCH</v>
          </cell>
          <cell r="X861">
            <v>0</v>
          </cell>
          <cell r="Y861" t="str">
            <v>VESSEL CLOSE</v>
          </cell>
          <cell r="AA861">
            <v>0.91666666666666663</v>
          </cell>
          <cell r="AB861" t="str">
            <v>REFUSE TO OPEN HATCH</v>
          </cell>
          <cell r="AD861">
            <v>0.25</v>
          </cell>
          <cell r="AE861" t="str">
            <v xml:space="preserve">VESSEL CLOSE </v>
          </cell>
        </row>
        <row r="862">
          <cell r="F862">
            <v>0.83333333333333337</v>
          </cell>
          <cell r="G862" t="str">
            <v>VESSEL CLOSE</v>
          </cell>
          <cell r="I862">
            <v>0.91666666666666663</v>
          </cell>
          <cell r="J862" t="str">
            <v>REFUSE TO OPEN HATCH</v>
          </cell>
          <cell r="L862">
            <v>0.20833333333333334</v>
          </cell>
          <cell r="M862" t="str">
            <v xml:space="preserve">WAITING  FORKLIFT </v>
          </cell>
          <cell r="O862">
            <v>3.125E-2</v>
          </cell>
          <cell r="P862" t="str">
            <v xml:space="preserve">RESUME LOADING </v>
          </cell>
          <cell r="R862">
            <v>0</v>
          </cell>
          <cell r="S862" t="str">
            <v>REFUSE TO OPEN HATCH</v>
          </cell>
          <cell r="U862">
            <v>0</v>
          </cell>
          <cell r="V862" t="str">
            <v>REFUSE TO OPEN HATCH</v>
          </cell>
          <cell r="X862">
            <v>4.1666666666666664E-2</v>
          </cell>
          <cell r="Y862" t="str">
            <v xml:space="preserve">RESUME LOADING </v>
          </cell>
          <cell r="AA862">
            <v>0.95833333333333337</v>
          </cell>
          <cell r="AB862" t="str">
            <v>REFUSE TO OPEN HATCH</v>
          </cell>
        </row>
        <row r="863">
          <cell r="F863">
            <v>0.875</v>
          </cell>
          <cell r="G863" t="str">
            <v>VESSEL CLOSE</v>
          </cell>
          <cell r="I863">
            <v>0</v>
          </cell>
          <cell r="J863" t="str">
            <v>REFUSE TO OPEN HATCH</v>
          </cell>
          <cell r="L863">
            <v>0.25</v>
          </cell>
          <cell r="M863" t="str">
            <v xml:space="preserve">WAITING  FORKLIFT </v>
          </cell>
          <cell r="O863">
            <v>7.013888888888889E-2</v>
          </cell>
          <cell r="P863" t="str">
            <v>CONTINUE LOADING</v>
          </cell>
          <cell r="R863">
            <v>4.1666666666666664E-2</v>
          </cell>
          <cell r="S863" t="str">
            <v>REFUSE TO OPEN HATCH</v>
          </cell>
          <cell r="U863">
            <v>4.1666666666666664E-2</v>
          </cell>
          <cell r="V863" t="str">
            <v>REFUSE TO OPEN HATCH</v>
          </cell>
          <cell r="X863">
            <v>0.10416666666666667</v>
          </cell>
          <cell r="Y863" t="str">
            <v>CONTINUE LOADING</v>
          </cell>
          <cell r="AA863">
            <v>0</v>
          </cell>
          <cell r="AB863" t="str">
            <v>REFUSE TO OPEN HATCH</v>
          </cell>
        </row>
        <row r="864">
          <cell r="F864">
            <v>0.91666666666666663</v>
          </cell>
          <cell r="G864" t="str">
            <v>VESSEL CLOSE</v>
          </cell>
          <cell r="I864">
            <v>4.1666666666666664E-2</v>
          </cell>
          <cell r="J864" t="str">
            <v>REFUSE TO OPEN HATCH</v>
          </cell>
          <cell r="O864">
            <v>9.7222222222222224E-2</v>
          </cell>
          <cell r="P864" t="str">
            <v xml:space="preserve">WAITING DELIVERY </v>
          </cell>
          <cell r="R864">
            <v>8.3333333333333329E-2</v>
          </cell>
          <cell r="S864" t="str">
            <v>REFUSE TO OPEN HATCH</v>
          </cell>
          <cell r="U864">
            <v>8.3333333333333329E-2</v>
          </cell>
          <cell r="V864" t="str">
            <v>REFUSE TO OPEN HATCH</v>
          </cell>
          <cell r="X864">
            <v>0.125</v>
          </cell>
          <cell r="Y864" t="str">
            <v>WAITING DELIVERY</v>
          </cell>
          <cell r="AA864">
            <v>4.1666666666666664E-2</v>
          </cell>
          <cell r="AB864" t="str">
            <v>REFUSE TO OPEN HATCH</v>
          </cell>
        </row>
        <row r="865">
          <cell r="F865">
            <v>0.99236111111111114</v>
          </cell>
          <cell r="G865" t="str">
            <v>RESUME LOADING</v>
          </cell>
          <cell r="I865">
            <v>8.3333333333333329E-2</v>
          </cell>
          <cell r="J865" t="str">
            <v>REFUSE TO OPEN HATCH</v>
          </cell>
          <cell r="O865">
            <v>0.125</v>
          </cell>
          <cell r="P865" t="str">
            <v xml:space="preserve">WAITING DELIVERY </v>
          </cell>
          <cell r="R865">
            <v>0.125</v>
          </cell>
          <cell r="S865" t="str">
            <v>REFUSE TO OPEN HATCH</v>
          </cell>
          <cell r="U865">
            <v>0.125</v>
          </cell>
          <cell r="V865" t="str">
            <v>REFUSE TO OPEN HATCH</v>
          </cell>
          <cell r="X865">
            <v>0.16666666666666666</v>
          </cell>
          <cell r="Y865" t="str">
            <v>WAITING DELIVERY</v>
          </cell>
          <cell r="AA865">
            <v>8.3333333333333329E-2</v>
          </cell>
          <cell r="AB865" t="str">
            <v>REFUSE TO OPEN HATCH</v>
          </cell>
        </row>
        <row r="866">
          <cell r="F866">
            <v>1.6666666666666666E-2</v>
          </cell>
          <cell r="G866" t="str">
            <v xml:space="preserve">CONTINUE LOADING </v>
          </cell>
          <cell r="I866">
            <v>0.125</v>
          </cell>
          <cell r="J866" t="str">
            <v>REFUSE TO OPEN HATCH</v>
          </cell>
          <cell r="O866">
            <v>0.16666666666666666</v>
          </cell>
          <cell r="P866" t="str">
            <v xml:space="preserve">WAITING DELIVERY </v>
          </cell>
          <cell r="R866">
            <v>0.16666666666666666</v>
          </cell>
          <cell r="S866" t="str">
            <v>REFUSE TO OPEN HATCH</v>
          </cell>
          <cell r="U866">
            <v>0.16666666666666666</v>
          </cell>
          <cell r="V866" t="str">
            <v>REFUSE TO OPEN HATCH</v>
          </cell>
          <cell r="X866">
            <v>0.20833333333333334</v>
          </cell>
          <cell r="Y866" t="str">
            <v>WAITING DELIVERY</v>
          </cell>
          <cell r="AA866">
            <v>0.125</v>
          </cell>
          <cell r="AB866" t="str">
            <v>REFUSE TO OPEN HATCH</v>
          </cell>
        </row>
        <row r="867">
          <cell r="F867">
            <v>4.8611111111111112E-2</v>
          </cell>
          <cell r="G867" t="str">
            <v xml:space="preserve">CONTINUE LOADING </v>
          </cell>
          <cell r="I867">
            <v>0.16666666666666666</v>
          </cell>
          <cell r="J867" t="str">
            <v>REFUSE TO OPEN HATCH</v>
          </cell>
          <cell r="O867">
            <v>0.20833333333333334</v>
          </cell>
          <cell r="P867" t="str">
            <v xml:space="preserve">WAITING DELIVERY </v>
          </cell>
          <cell r="R867">
            <v>0.20833333333333334</v>
          </cell>
          <cell r="S867" t="str">
            <v>REFUSE TO OPEN HATCH</v>
          </cell>
          <cell r="U867">
            <v>0.20833333333333334</v>
          </cell>
          <cell r="V867" t="str">
            <v>REFUSE TO OPEN HATCH</v>
          </cell>
          <cell r="X867">
            <v>0.25</v>
          </cell>
          <cell r="Y867" t="str">
            <v>WAITING DELIVERY</v>
          </cell>
          <cell r="AA867">
            <v>0.16666666666666666</v>
          </cell>
          <cell r="AB867" t="str">
            <v>REFUSE TO OPEN HATCH</v>
          </cell>
        </row>
        <row r="868">
          <cell r="F868">
            <v>9.166666666666666E-2</v>
          </cell>
          <cell r="G868" t="str">
            <v>CONTINUE LOADING</v>
          </cell>
          <cell r="I868">
            <v>0.20833333333333334</v>
          </cell>
          <cell r="J868" t="str">
            <v>REFUSE TO OPEN HATCH</v>
          </cell>
          <cell r="O868">
            <v>0.25</v>
          </cell>
          <cell r="P868" t="str">
            <v xml:space="preserve">WAITING DELIVERY </v>
          </cell>
          <cell r="R868">
            <v>0.25</v>
          </cell>
          <cell r="S868" t="str">
            <v>REFUSE TO OPEN HATCH</v>
          </cell>
          <cell r="U868">
            <v>0.25</v>
          </cell>
          <cell r="V868" t="str">
            <v>REFUSE TO OPEN HATCH</v>
          </cell>
          <cell r="AA868">
            <v>0.20833333333333334</v>
          </cell>
          <cell r="AB868" t="str">
            <v>REFUSE TO OPEN HATCH</v>
          </cell>
        </row>
        <row r="869">
          <cell r="F869">
            <v>0.12638888888888888</v>
          </cell>
          <cell r="G869" t="str">
            <v>CONTINUE LOADING</v>
          </cell>
          <cell r="I869">
            <v>0.25</v>
          </cell>
          <cell r="J869" t="str">
            <v>REFUSE TO OPEN HATCH</v>
          </cell>
          <cell r="AA869">
            <v>0.25</v>
          </cell>
          <cell r="AB869" t="str">
            <v>REFUSE TO OPEN HATCH</v>
          </cell>
        </row>
        <row r="870">
          <cell r="F870">
            <v>0.16666666666666666</v>
          </cell>
          <cell r="G870" t="str">
            <v xml:space="preserve">WAITING DELIVERY </v>
          </cell>
        </row>
        <row r="871">
          <cell r="F871">
            <v>0.20833333333333334</v>
          </cell>
          <cell r="G871" t="str">
            <v xml:space="preserve">WAITING DELIVERY </v>
          </cell>
        </row>
        <row r="872">
          <cell r="F872">
            <v>0.25</v>
          </cell>
          <cell r="G872" t="str">
            <v xml:space="preserve">WAITING DELIVERY </v>
          </cell>
        </row>
        <row r="873">
          <cell r="D873" t="str">
            <v>VACANT</v>
          </cell>
          <cell r="G873" t="str">
            <v>JOHANNAH 7</v>
          </cell>
          <cell r="J873" t="str">
            <v>STAR ILIGAN</v>
          </cell>
          <cell r="M873" t="str">
            <v>STAR SOGOD</v>
          </cell>
          <cell r="P873" t="str">
            <v>QUEEN CAROLYN</v>
          </cell>
          <cell r="S873" t="str">
            <v>LADY OF DIVINE GRACE</v>
          </cell>
          <cell r="V873" t="str">
            <v>NAPOLI</v>
          </cell>
          <cell r="Y873" t="str">
            <v>AGNES LILYGENE</v>
          </cell>
          <cell r="AB873" t="str">
            <v>SALVACION VI</v>
          </cell>
          <cell r="AE873" t="str">
            <v>LADY OF ROSARY</v>
          </cell>
          <cell r="AH873" t="str">
            <v>EFG 7</v>
          </cell>
        </row>
        <row r="874">
          <cell r="C874">
            <v>0.29166666666666669</v>
          </cell>
          <cell r="D874" t="str">
            <v>VACANT</v>
          </cell>
          <cell r="F874">
            <v>0.29166666666666669</v>
          </cell>
          <cell r="G874" t="str">
            <v>KY TOOLBOX</v>
          </cell>
          <cell r="I874">
            <v>0.29166666666666669</v>
          </cell>
          <cell r="J874" t="str">
            <v>KY TOOLBOX</v>
          </cell>
          <cell r="L874">
            <v>0.29166666666666669</v>
          </cell>
          <cell r="M874" t="str">
            <v>KY TOOLBOX</v>
          </cell>
          <cell r="O874">
            <v>0.29166666666666669</v>
          </cell>
          <cell r="P874" t="str">
            <v>KY TOOLBOX</v>
          </cell>
          <cell r="R874">
            <v>0.29166666666666669</v>
          </cell>
          <cell r="S874" t="str">
            <v>KY TOOLBOX</v>
          </cell>
          <cell r="U874">
            <v>0.29166666666666669</v>
          </cell>
          <cell r="V874" t="str">
            <v>KY TOOLBOX</v>
          </cell>
          <cell r="X874">
            <v>0.29166666666666669</v>
          </cell>
          <cell r="Y874" t="str">
            <v>KY TOOLBOX</v>
          </cell>
          <cell r="AA874">
            <v>0.29166666666666669</v>
          </cell>
          <cell r="AB874" t="str">
            <v>KY TOOLBOX</v>
          </cell>
          <cell r="AD874">
            <v>0.29166666666666669</v>
          </cell>
          <cell r="AE874" t="str">
            <v>UNABLE TO COMMENCE</v>
          </cell>
          <cell r="AG874">
            <v>0.71319444444444446</v>
          </cell>
          <cell r="AH874" t="str">
            <v>DOCKED &amp; SECURED</v>
          </cell>
        </row>
        <row r="875">
          <cell r="F875">
            <v>0.33333333333333331</v>
          </cell>
          <cell r="G875" t="str">
            <v>WAITING MATERIAL</v>
          </cell>
          <cell r="I875">
            <v>0.3576388888888889</v>
          </cell>
          <cell r="J875" t="str">
            <v>RESUME LOADING</v>
          </cell>
          <cell r="L875">
            <v>0.33333333333333331</v>
          </cell>
          <cell r="M875" t="str">
            <v xml:space="preserve">WAITING FORKLIFT ONBOARD </v>
          </cell>
          <cell r="O875">
            <v>0.33333333333333331</v>
          </cell>
          <cell r="P875" t="str">
            <v>WAITING MATERIAL</v>
          </cell>
          <cell r="R875">
            <v>0.33333333333333331</v>
          </cell>
          <cell r="S875" t="str">
            <v xml:space="preserve">RESUME LOADING </v>
          </cell>
          <cell r="U875">
            <v>0.34791666666666665</v>
          </cell>
          <cell r="V875" t="str">
            <v xml:space="preserve">RESUME LOADING </v>
          </cell>
          <cell r="X875">
            <v>0.33333333333333331</v>
          </cell>
          <cell r="Y875" t="str">
            <v>WAITING MATERIAL</v>
          </cell>
          <cell r="AA875">
            <v>0.33333333333333331</v>
          </cell>
          <cell r="AB875" t="str">
            <v>WAITING LAPU LAPU</v>
          </cell>
          <cell r="AD875">
            <v>0.33333333333333331</v>
          </cell>
          <cell r="AE875" t="str">
            <v>UNABLE TO COMMENCE</v>
          </cell>
        </row>
        <row r="876">
          <cell r="F876">
            <v>0.38541666666666669</v>
          </cell>
          <cell r="G876" t="str">
            <v xml:space="preserve">RESUME LOADING </v>
          </cell>
          <cell r="I876">
            <v>0.39166666666666666</v>
          </cell>
          <cell r="J876" t="str">
            <v>CONTINUE LOADING</v>
          </cell>
          <cell r="L876">
            <v>0.54166666666666663</v>
          </cell>
          <cell r="M876" t="str">
            <v>CLOSE HATCH</v>
          </cell>
          <cell r="O876">
            <v>0.67291666666666672</v>
          </cell>
          <cell r="P876" t="str">
            <v xml:space="preserve">RESUME LOADING </v>
          </cell>
          <cell r="R876">
            <v>0.40555555555555556</v>
          </cell>
          <cell r="S876" t="str">
            <v xml:space="preserve">RESUME LOADING </v>
          </cell>
          <cell r="U876">
            <v>0.38472222222222224</v>
          </cell>
          <cell r="V876" t="str">
            <v xml:space="preserve">CONTINUE LOADING </v>
          </cell>
          <cell r="X876">
            <v>0.375</v>
          </cell>
          <cell r="Y876" t="str">
            <v>WAITING MATERIAL</v>
          </cell>
          <cell r="AA876">
            <v>0.54166666666666663</v>
          </cell>
          <cell r="AB876" t="str">
            <v xml:space="preserve">VESSEL CLOSE </v>
          </cell>
          <cell r="AD876">
            <v>0.54166666666666663</v>
          </cell>
          <cell r="AE876" t="str">
            <v xml:space="preserve">VESSEL CLOSE </v>
          </cell>
        </row>
        <row r="877">
          <cell r="F877">
            <v>0.4597222222222222</v>
          </cell>
          <cell r="G877" t="str">
            <v xml:space="preserve">ONGOING LOADING </v>
          </cell>
          <cell r="I877">
            <v>0.5</v>
          </cell>
          <cell r="J877" t="str">
            <v>LUNCHBREAK</v>
          </cell>
          <cell r="L877">
            <v>0.58333333333333337</v>
          </cell>
          <cell r="M877" t="str">
            <v>CLOSE HATCH</v>
          </cell>
          <cell r="O877">
            <v>0.70833333333333337</v>
          </cell>
          <cell r="P877" t="str">
            <v>CLOSE HATCH</v>
          </cell>
          <cell r="R877">
            <v>0.40625</v>
          </cell>
          <cell r="S877" t="str">
            <v xml:space="preserve">CONTINUE LOADING </v>
          </cell>
          <cell r="U877">
            <v>0.43680555555555556</v>
          </cell>
          <cell r="V877" t="str">
            <v>ONGOING LOADING</v>
          </cell>
          <cell r="X877">
            <v>0.41666666666666669</v>
          </cell>
          <cell r="Y877" t="str">
            <v>WAITING MATERIAL</v>
          </cell>
          <cell r="AA877">
            <v>0.66666666666666663</v>
          </cell>
          <cell r="AB877" t="str">
            <v>ONBOARD FORKLIFT</v>
          </cell>
          <cell r="AD877">
            <v>0.66666666666666663</v>
          </cell>
          <cell r="AE877" t="str">
            <v>ONBOARD FORKLIFT</v>
          </cell>
        </row>
        <row r="878">
          <cell r="F878">
            <v>0.47152777777777777</v>
          </cell>
          <cell r="G878" t="str">
            <v xml:space="preserve">CONTINUE LOADING </v>
          </cell>
          <cell r="I878">
            <v>0.54166666666666663</v>
          </cell>
          <cell r="J878" t="str">
            <v>UNABLE TO RESUME</v>
          </cell>
          <cell r="L878">
            <v>0.625</v>
          </cell>
          <cell r="M878" t="str">
            <v>CLOSE HATCH</v>
          </cell>
          <cell r="O878">
            <v>0.75</v>
          </cell>
          <cell r="P878" t="str">
            <v>VESSEL CLOSE</v>
          </cell>
          <cell r="R878">
            <v>0.44930555555555557</v>
          </cell>
          <cell r="S878" t="str">
            <v xml:space="preserve">ONGOING LOADING </v>
          </cell>
          <cell r="U878">
            <v>0.5</v>
          </cell>
          <cell r="V878" t="str">
            <v>LUCNHBREAK</v>
          </cell>
          <cell r="X878">
            <v>0.45833333333333331</v>
          </cell>
          <cell r="Y878" t="str">
            <v>WAITING MATERIAL</v>
          </cell>
          <cell r="AA878">
            <v>0.6875</v>
          </cell>
          <cell r="AB878" t="str">
            <v>RESUME LOADING</v>
          </cell>
          <cell r="AD878">
            <v>0.6875</v>
          </cell>
          <cell r="AE878" t="str">
            <v>RESUME LOADING</v>
          </cell>
        </row>
        <row r="879">
          <cell r="F879">
            <v>0.5</v>
          </cell>
          <cell r="G879" t="str">
            <v>LUNCHBREAK</v>
          </cell>
          <cell r="I879">
            <v>0.66597222222222219</v>
          </cell>
          <cell r="J879" t="str">
            <v xml:space="preserve">RESUME LOADING </v>
          </cell>
          <cell r="L879">
            <v>0.66666666666666663</v>
          </cell>
          <cell r="M879" t="str">
            <v>CLOSE HATCH</v>
          </cell>
          <cell r="O879">
            <v>0.79166666666666663</v>
          </cell>
          <cell r="P879" t="str">
            <v>KY TOOLBOX</v>
          </cell>
          <cell r="R879">
            <v>0.5</v>
          </cell>
          <cell r="S879" t="str">
            <v>LUNCHBREAK</v>
          </cell>
          <cell r="U879">
            <v>0.54166666666666663</v>
          </cell>
          <cell r="V879" t="str">
            <v>UNABLE TO RESUME</v>
          </cell>
          <cell r="X879">
            <v>0.5</v>
          </cell>
          <cell r="Y879" t="str">
            <v>WAITING MATERIAL</v>
          </cell>
          <cell r="AA879">
            <v>0.70833333333333337</v>
          </cell>
          <cell r="AB879" t="str">
            <v>CLOSE HATCH</v>
          </cell>
          <cell r="AD879">
            <v>0.70833333333333337</v>
          </cell>
          <cell r="AE879" t="str">
            <v>CLOSE HATCH</v>
          </cell>
        </row>
        <row r="880">
          <cell r="F880">
            <v>0.54166666666666663</v>
          </cell>
          <cell r="G880" t="str">
            <v>UNABLE TO RESUME</v>
          </cell>
          <cell r="I880">
            <v>0.70833333333333337</v>
          </cell>
          <cell r="J880" t="str">
            <v>CLOSE HATCH</v>
          </cell>
          <cell r="L880">
            <v>0.70833333333333337</v>
          </cell>
          <cell r="M880" t="str">
            <v>CLOSE HATCH</v>
          </cell>
          <cell r="O880">
            <v>0.79861111111111116</v>
          </cell>
          <cell r="P880" t="str">
            <v>VESSEL CLOSE</v>
          </cell>
          <cell r="R880">
            <v>0.54166666666666663</v>
          </cell>
          <cell r="S880" t="str">
            <v xml:space="preserve">UNABLE TO RESUME </v>
          </cell>
          <cell r="U880">
            <v>0.66666666666666663</v>
          </cell>
          <cell r="V880" t="str">
            <v xml:space="preserve">RESUME LOADING </v>
          </cell>
          <cell r="X880">
            <v>0.54166666666666663</v>
          </cell>
          <cell r="Y880" t="str">
            <v>WAITING MATERIAL</v>
          </cell>
          <cell r="AA880">
            <v>0.75</v>
          </cell>
          <cell r="AB880" t="str">
            <v>VESSEL CLOSE</v>
          </cell>
          <cell r="AD880">
            <v>0.75</v>
          </cell>
          <cell r="AE880" t="str">
            <v>VESSEL CLOSE</v>
          </cell>
        </row>
        <row r="881">
          <cell r="F881">
            <v>0.6479166666666667</v>
          </cell>
          <cell r="G881" t="str">
            <v>RESUME LOADING</v>
          </cell>
          <cell r="I881">
            <v>0.75</v>
          </cell>
          <cell r="J881" t="str">
            <v>VESSEL CLOSE</v>
          </cell>
          <cell r="L881">
            <v>0.75</v>
          </cell>
          <cell r="M881" t="str">
            <v>VESSEL CLOSE</v>
          </cell>
          <cell r="O881">
            <v>0.83333333333333337</v>
          </cell>
          <cell r="P881" t="str">
            <v>VESSEL CLOSE</v>
          </cell>
          <cell r="R881">
            <v>0.58333333333333337</v>
          </cell>
          <cell r="S881" t="str">
            <v xml:space="preserve">UNABLE TO RESUME </v>
          </cell>
          <cell r="U881">
            <v>0.70833333333333337</v>
          </cell>
          <cell r="V881" t="str">
            <v>CLOSE HATCH</v>
          </cell>
          <cell r="X881">
            <v>0.58333333333333337</v>
          </cell>
          <cell r="Y881" t="str">
            <v>WAITING MATERIAL</v>
          </cell>
          <cell r="AA881">
            <v>0.79166666666666663</v>
          </cell>
          <cell r="AB881" t="str">
            <v>KY TOOLBOX</v>
          </cell>
          <cell r="AD881">
            <v>0.79166666666666663</v>
          </cell>
          <cell r="AE881" t="str">
            <v>KY TOOLBOX</v>
          </cell>
        </row>
        <row r="882">
          <cell r="F882">
            <v>0.65902777777777777</v>
          </cell>
          <cell r="G882" t="str">
            <v xml:space="preserve">ONGOING LOADING </v>
          </cell>
          <cell r="I882">
            <v>0.79166666666666663</v>
          </cell>
          <cell r="J882" t="str">
            <v>KY TOOLBOX</v>
          </cell>
          <cell r="L882">
            <v>0.79166666666666663</v>
          </cell>
          <cell r="M882" t="str">
            <v>KY TOOLBOX</v>
          </cell>
          <cell r="O882">
            <v>0.875</v>
          </cell>
          <cell r="P882" t="str">
            <v>VESSEL CLOSE</v>
          </cell>
          <cell r="R882">
            <v>0.625</v>
          </cell>
          <cell r="S882" t="str">
            <v xml:space="preserve">UNABLE TO RESUME </v>
          </cell>
          <cell r="U882">
            <v>0.75</v>
          </cell>
          <cell r="V882" t="str">
            <v>VESSEL CLOSE</v>
          </cell>
          <cell r="X882">
            <v>0.625</v>
          </cell>
          <cell r="Y882" t="str">
            <v>WAITING MATERIAL</v>
          </cell>
          <cell r="AA882">
            <v>0.79861111111111116</v>
          </cell>
          <cell r="AB882" t="str">
            <v>VESSEL CLOSE</v>
          </cell>
          <cell r="AD882">
            <v>0.79861111111111116</v>
          </cell>
          <cell r="AE882" t="str">
            <v>VESSEL CLOSE</v>
          </cell>
        </row>
        <row r="883">
          <cell r="F883">
            <v>0.67291666666666672</v>
          </cell>
          <cell r="G883" t="str">
            <v xml:space="preserve">CONTINUE LOADING </v>
          </cell>
          <cell r="I883">
            <v>0.79861111111111116</v>
          </cell>
          <cell r="J883" t="str">
            <v>VESSEL CLOSE</v>
          </cell>
          <cell r="L883">
            <v>0.79861111111111116</v>
          </cell>
          <cell r="M883" t="str">
            <v>VESSEL CLOSE</v>
          </cell>
          <cell r="O883">
            <v>0.9555555555555556</v>
          </cell>
          <cell r="P883" t="str">
            <v xml:space="preserve">RESUME LOADING </v>
          </cell>
          <cell r="R883">
            <v>0.66666666666666663</v>
          </cell>
          <cell r="S883" t="str">
            <v xml:space="preserve">UNABLE TO RESUME </v>
          </cell>
          <cell r="U883">
            <v>0.79166666666666663</v>
          </cell>
          <cell r="V883" t="str">
            <v>KY TOOLBOX</v>
          </cell>
          <cell r="X883">
            <v>0.66666666666666663</v>
          </cell>
          <cell r="Y883" t="str">
            <v>WAITING MATERIAL</v>
          </cell>
          <cell r="AA883">
            <v>0.83333333333333337</v>
          </cell>
          <cell r="AB883" t="str">
            <v>VESSEL CLOSE</v>
          </cell>
          <cell r="AD883">
            <v>0.83333333333333337</v>
          </cell>
          <cell r="AE883" t="str">
            <v>VESSEL CLOSE</v>
          </cell>
        </row>
        <row r="884">
          <cell r="F884">
            <v>0.70833333333333337</v>
          </cell>
          <cell r="G884" t="str">
            <v>CLOSE HATCH</v>
          </cell>
          <cell r="I884">
            <v>0.83333333333333337</v>
          </cell>
          <cell r="J884" t="str">
            <v>VESSEL CLOSE</v>
          </cell>
          <cell r="L884">
            <v>0.83333333333333337</v>
          </cell>
          <cell r="M884" t="str">
            <v>VESSEL CLOSE</v>
          </cell>
          <cell r="O884">
            <v>0.98402777777777772</v>
          </cell>
          <cell r="P884" t="str">
            <v xml:space="preserve">CONTINUE LOADING </v>
          </cell>
          <cell r="R884">
            <v>0.70833333333333337</v>
          </cell>
          <cell r="S884" t="str">
            <v xml:space="preserve">UNABLE TO RESUME </v>
          </cell>
          <cell r="U884">
            <v>0.79861111111111116</v>
          </cell>
          <cell r="V884" t="str">
            <v>VESSEL CLOSE</v>
          </cell>
          <cell r="X884">
            <v>0.70833333333333337</v>
          </cell>
          <cell r="Y884" t="str">
            <v>WAITING MATERIAL</v>
          </cell>
          <cell r="AA884">
            <v>0.875</v>
          </cell>
          <cell r="AB884" t="str">
            <v>VESSEL CLOSE</v>
          </cell>
          <cell r="AD884">
            <v>0.875</v>
          </cell>
          <cell r="AE884" t="str">
            <v>VESSEL CLOSE</v>
          </cell>
        </row>
        <row r="885">
          <cell r="F885">
            <v>0.75</v>
          </cell>
          <cell r="G885" t="str">
            <v>VESSEL CLOSE</v>
          </cell>
          <cell r="I885">
            <v>0.875</v>
          </cell>
          <cell r="J885" t="str">
            <v>VESSEL CLOSE</v>
          </cell>
          <cell r="L885">
            <v>0.875</v>
          </cell>
          <cell r="M885" t="str">
            <v>VESSEL CLOSE</v>
          </cell>
          <cell r="O885">
            <v>1.9444444444444445E-2</v>
          </cell>
          <cell r="P885" t="str">
            <v>CONTINUE LOADING</v>
          </cell>
          <cell r="R885">
            <v>0.75</v>
          </cell>
          <cell r="S885" t="str">
            <v>VESSEL CLOSE</v>
          </cell>
          <cell r="U885">
            <v>0.83333333333333337</v>
          </cell>
          <cell r="V885" t="str">
            <v>VESSEL CLOSE</v>
          </cell>
          <cell r="X885">
            <v>0.75</v>
          </cell>
          <cell r="Y885" t="str">
            <v>WAITING MATERIAL</v>
          </cell>
          <cell r="AA885">
            <v>0.91666666666666663</v>
          </cell>
          <cell r="AB885" t="str">
            <v>VESSEL CLOSE</v>
          </cell>
          <cell r="AD885">
            <v>0.91666666666666663</v>
          </cell>
          <cell r="AE885" t="str">
            <v>VESSEL CLOSE</v>
          </cell>
        </row>
        <row r="886">
          <cell r="F886">
            <v>0.79166666666666663</v>
          </cell>
          <cell r="G886" t="str">
            <v>KY TOOLBOX</v>
          </cell>
          <cell r="I886">
            <v>0.91666666666666663</v>
          </cell>
          <cell r="J886" t="str">
            <v>VESSEL CLOSE</v>
          </cell>
          <cell r="L886">
            <v>0.91666666666666663</v>
          </cell>
          <cell r="M886" t="str">
            <v>VESSEL CLOSE</v>
          </cell>
          <cell r="O886">
            <v>5.7638888888888892E-2</v>
          </cell>
          <cell r="P886" t="str">
            <v xml:space="preserve">CONTINUE LOADING </v>
          </cell>
          <cell r="R886">
            <v>0.79166666666666663</v>
          </cell>
          <cell r="S886" t="str">
            <v>KY TOOLBOX</v>
          </cell>
          <cell r="U886">
            <v>0.875</v>
          </cell>
          <cell r="V886" t="str">
            <v>VESSEL CLOSE</v>
          </cell>
          <cell r="X886">
            <v>0.79166666666666663</v>
          </cell>
          <cell r="Y886" t="str">
            <v>WAITING MATERIAL</v>
          </cell>
          <cell r="AA886">
            <v>0.95833333333333337</v>
          </cell>
          <cell r="AB886" t="str">
            <v>VESSEL CLOSE</v>
          </cell>
          <cell r="AD886">
            <v>0.95833333333333337</v>
          </cell>
          <cell r="AE886" t="str">
            <v>VESSEL CLOSE</v>
          </cell>
        </row>
        <row r="887">
          <cell r="F887">
            <v>0.79861111111111116</v>
          </cell>
          <cell r="G887" t="str">
            <v>VESSEL CLOSE</v>
          </cell>
          <cell r="I887">
            <v>0.95833333333333337</v>
          </cell>
          <cell r="J887" t="str">
            <v>VESSEL CLOSE</v>
          </cell>
          <cell r="L887">
            <v>0.95833333333333337</v>
          </cell>
          <cell r="M887" t="str">
            <v>VESSEL CLOSE</v>
          </cell>
          <cell r="O887">
            <v>9.0972222222222218E-2</v>
          </cell>
          <cell r="P887" t="str">
            <v xml:space="preserve">WAITING DELIVERY </v>
          </cell>
          <cell r="R887">
            <v>0.79861111111111116</v>
          </cell>
          <cell r="S887" t="str">
            <v>VESSEL CLOSE</v>
          </cell>
          <cell r="U887">
            <v>0.91666666666666663</v>
          </cell>
          <cell r="V887" t="str">
            <v>VESSEL CLOSE</v>
          </cell>
          <cell r="X887">
            <v>0.83333333333333337</v>
          </cell>
          <cell r="Y887" t="str">
            <v>WAITING MATERIAL</v>
          </cell>
          <cell r="AA887">
            <v>0</v>
          </cell>
          <cell r="AB887" t="str">
            <v>VESSEL CLOSE</v>
          </cell>
          <cell r="AD887">
            <v>0</v>
          </cell>
          <cell r="AE887" t="str">
            <v>VESSEL CLOSE</v>
          </cell>
        </row>
        <row r="888">
          <cell r="F888">
            <v>0.83333333333333337</v>
          </cell>
          <cell r="G888" t="str">
            <v>VESSEL CLOSE</v>
          </cell>
          <cell r="I888">
            <v>0</v>
          </cell>
          <cell r="J888" t="str">
            <v>VESSEL CLOSE</v>
          </cell>
          <cell r="L888">
            <v>0</v>
          </cell>
          <cell r="M888" t="str">
            <v>VESSEL CLOSE</v>
          </cell>
          <cell r="O888">
            <v>0.12569444444444444</v>
          </cell>
          <cell r="P888" t="str">
            <v xml:space="preserve">WAITING DELIVERY </v>
          </cell>
          <cell r="R888">
            <v>0.83333333333333337</v>
          </cell>
          <cell r="S888" t="str">
            <v>VESSEL CLOSE</v>
          </cell>
          <cell r="U888">
            <v>0.95833333333333337</v>
          </cell>
          <cell r="V888" t="str">
            <v>VESSEL CLOSE</v>
          </cell>
          <cell r="X888">
            <v>0.875</v>
          </cell>
          <cell r="Y888" t="str">
            <v>WAITING MATERIAL</v>
          </cell>
          <cell r="AA888">
            <v>4.1666666666666664E-2</v>
          </cell>
          <cell r="AB888" t="str">
            <v>VESSEL CLOSE</v>
          </cell>
          <cell r="AD888">
            <v>4.1666666666666664E-2</v>
          </cell>
          <cell r="AE888" t="str">
            <v>VESSEL CLOSE</v>
          </cell>
        </row>
        <row r="889">
          <cell r="F889">
            <v>0.875</v>
          </cell>
          <cell r="G889" t="str">
            <v>VESSEL CLOSE</v>
          </cell>
          <cell r="I889">
            <v>4.1666666666666664E-2</v>
          </cell>
          <cell r="J889" t="str">
            <v>VESSEL CLOSE</v>
          </cell>
          <cell r="L889">
            <v>4.1666666666666664E-2</v>
          </cell>
          <cell r="M889" t="str">
            <v>VESSEL CLOSE</v>
          </cell>
          <cell r="O889">
            <v>0.18194444444444444</v>
          </cell>
          <cell r="P889" t="str">
            <v xml:space="preserve">WAITING DELIVERY </v>
          </cell>
          <cell r="R889">
            <v>0.875</v>
          </cell>
          <cell r="S889" t="str">
            <v>VESSEL CLOSE</v>
          </cell>
          <cell r="U889">
            <v>0</v>
          </cell>
          <cell r="V889" t="str">
            <v>VESSEL CLOSE</v>
          </cell>
          <cell r="X889">
            <v>0.91666666666666663</v>
          </cell>
          <cell r="Y889" t="str">
            <v>WAITING MATERIAL</v>
          </cell>
          <cell r="AA889">
            <v>8.3333333333333329E-2</v>
          </cell>
          <cell r="AB889" t="str">
            <v>VESSEL CLOSE</v>
          </cell>
          <cell r="AD889">
            <v>8.3333333333333329E-2</v>
          </cell>
          <cell r="AE889" t="str">
            <v>VESSEL CLOSE</v>
          </cell>
        </row>
        <row r="890">
          <cell r="F890">
            <v>0.91666666666666663</v>
          </cell>
          <cell r="G890" t="str">
            <v>VESSEL CLOSE</v>
          </cell>
          <cell r="I890">
            <v>8.3333333333333329E-2</v>
          </cell>
          <cell r="J890" t="str">
            <v>VESSEL CLOSE</v>
          </cell>
          <cell r="L890">
            <v>8.3333333333333329E-2</v>
          </cell>
          <cell r="M890" t="str">
            <v>VESSEL CLOSE</v>
          </cell>
          <cell r="R890">
            <v>0.91666666666666663</v>
          </cell>
          <cell r="S890" t="str">
            <v>VESSEL CLOSE</v>
          </cell>
          <cell r="U890">
            <v>4.1666666666666664E-2</v>
          </cell>
          <cell r="V890" t="str">
            <v>VESSEL CLOSE</v>
          </cell>
          <cell r="X890">
            <v>0.95833333333333337</v>
          </cell>
          <cell r="Y890" t="str">
            <v>WAITING MATERIAL</v>
          </cell>
          <cell r="AA890">
            <v>0.125</v>
          </cell>
          <cell r="AB890" t="str">
            <v>VESSEL CLOSE</v>
          </cell>
          <cell r="AD890">
            <v>0.125</v>
          </cell>
          <cell r="AE890" t="str">
            <v>VESSEL CLOSE</v>
          </cell>
        </row>
        <row r="891">
          <cell r="F891">
            <v>0.95833333333333337</v>
          </cell>
          <cell r="G891" t="str">
            <v>VESSEL CLOSE</v>
          </cell>
          <cell r="I891">
            <v>0.125</v>
          </cell>
          <cell r="J891" t="str">
            <v>VESSEL CLOSE</v>
          </cell>
          <cell r="L891">
            <v>0.125</v>
          </cell>
          <cell r="M891" t="str">
            <v>VESSEL CLOSE</v>
          </cell>
          <cell r="R891">
            <v>0.95833333333333337</v>
          </cell>
          <cell r="S891" t="str">
            <v>VESSEL CLOSE</v>
          </cell>
          <cell r="U891">
            <v>8.3333333333333329E-2</v>
          </cell>
          <cell r="V891" t="str">
            <v>VESSEL CLOSE</v>
          </cell>
          <cell r="X891">
            <v>0</v>
          </cell>
          <cell r="Y891" t="str">
            <v>WAITING MATERIAL</v>
          </cell>
          <cell r="AA891">
            <v>0.16666666666666666</v>
          </cell>
          <cell r="AB891" t="str">
            <v>VESSEL CLOSE</v>
          </cell>
          <cell r="AD891">
            <v>0.16666666666666666</v>
          </cell>
          <cell r="AE891" t="str">
            <v>VESSEL CLOSE</v>
          </cell>
        </row>
        <row r="892">
          <cell r="F892">
            <v>2.6388888888888889E-2</v>
          </cell>
          <cell r="G892" t="str">
            <v>RESUME LOADING</v>
          </cell>
          <cell r="I892">
            <v>0.16666666666666666</v>
          </cell>
          <cell r="J892" t="str">
            <v>VESSEL CLOSE</v>
          </cell>
          <cell r="L892">
            <v>0.16666666666666666</v>
          </cell>
          <cell r="M892" t="str">
            <v>VESSEL CLOSE</v>
          </cell>
          <cell r="R892">
            <v>0</v>
          </cell>
          <cell r="S892" t="str">
            <v>VESSEL CLOSE</v>
          </cell>
          <cell r="U892">
            <v>0.125</v>
          </cell>
          <cell r="V892" t="str">
            <v>VESSEL CLOSE</v>
          </cell>
          <cell r="X892">
            <v>4.1666666666666664E-2</v>
          </cell>
          <cell r="Y892" t="str">
            <v>WAITING MATERIAL</v>
          </cell>
        </row>
        <row r="893">
          <cell r="F893">
            <v>0.05</v>
          </cell>
          <cell r="G893" t="str">
            <v xml:space="preserve">CONTINUE LOADING </v>
          </cell>
          <cell r="R893">
            <v>4.1666666666666664E-2</v>
          </cell>
          <cell r="S893" t="str">
            <v>VESSEL CLOSE</v>
          </cell>
          <cell r="U893">
            <v>0.16666666666666666</v>
          </cell>
          <cell r="V893" t="str">
            <v>VESSEL CLOSE</v>
          </cell>
          <cell r="X893">
            <v>8.3333333333333329E-2</v>
          </cell>
          <cell r="Y893" t="str">
            <v>WAITING MATERIAL</v>
          </cell>
        </row>
        <row r="894">
          <cell r="F894">
            <v>8.4027777777777785E-2</v>
          </cell>
          <cell r="G894" t="str">
            <v xml:space="preserve">CONTINUE LOADING </v>
          </cell>
          <cell r="R894">
            <v>8.3333333333333329E-2</v>
          </cell>
          <cell r="S894" t="str">
            <v>VESSEL CLOSE</v>
          </cell>
          <cell r="X894">
            <v>0.125</v>
          </cell>
          <cell r="Y894" t="str">
            <v>WAITING MATERIAL</v>
          </cell>
        </row>
        <row r="895">
          <cell r="F895">
            <v>0.13194444444444445</v>
          </cell>
          <cell r="G895" t="str">
            <v>VESSEL CLOSE</v>
          </cell>
          <cell r="R895">
            <v>0.125</v>
          </cell>
          <cell r="S895" t="str">
            <v>VESSEL CLOSE</v>
          </cell>
          <cell r="X895">
            <v>0.16666666666666666</v>
          </cell>
          <cell r="Y895" t="str">
            <v>WAITING MATERIAL</v>
          </cell>
        </row>
        <row r="896">
          <cell r="F896">
            <v>0.16666666666666666</v>
          </cell>
          <cell r="G896" t="str">
            <v>VESSEL CLOSE</v>
          </cell>
          <cell r="R896">
            <v>0.16666666666666666</v>
          </cell>
          <cell r="S896" t="str">
            <v>VESSEL CLOSE</v>
          </cell>
        </row>
        <row r="897">
          <cell r="F897">
            <v>0.20833333333333334</v>
          </cell>
          <cell r="G897" t="str">
            <v>VESSEL CLOSE</v>
          </cell>
        </row>
        <row r="898">
          <cell r="D898" t="str">
            <v>VACANT</v>
          </cell>
          <cell r="G898" t="str">
            <v>JOHANNAH 7</v>
          </cell>
          <cell r="J898" t="str">
            <v>STAR ILIGAN</v>
          </cell>
          <cell r="M898" t="str">
            <v>STAR SOGOD</v>
          </cell>
          <cell r="P898" t="str">
            <v>QUEEN CAROLYN</v>
          </cell>
          <cell r="S898" t="str">
            <v>LADY OF DIVINE GRACE</v>
          </cell>
          <cell r="V898" t="str">
            <v>NAPOLI</v>
          </cell>
          <cell r="Y898" t="str">
            <v>AGNES LILYGENE</v>
          </cell>
          <cell r="AB898" t="str">
            <v>SALVACION VI</v>
          </cell>
          <cell r="AE898" t="str">
            <v>LADY OF ROSARY</v>
          </cell>
          <cell r="AH898" t="str">
            <v>EFG 7</v>
          </cell>
        </row>
        <row r="899">
          <cell r="C899">
            <v>0.29166666666666669</v>
          </cell>
          <cell r="D899" t="str">
            <v>WATING VESSEL</v>
          </cell>
          <cell r="F899">
            <v>0.29166666666666669</v>
          </cell>
          <cell r="G899" t="str">
            <v>VESSEL CLOSE</v>
          </cell>
          <cell r="I899">
            <v>0.29166666666666669</v>
          </cell>
          <cell r="J899" t="str">
            <v>VESSEL CLOSE</v>
          </cell>
          <cell r="L899">
            <v>0.29166666666666669</v>
          </cell>
          <cell r="M899" t="str">
            <v>WAITING MATERIAL</v>
          </cell>
          <cell r="O899">
            <v>0.29166666666666669</v>
          </cell>
          <cell r="P899" t="str">
            <v>VESSEL CLOSE</v>
          </cell>
          <cell r="R899">
            <v>0.29166666666666669</v>
          </cell>
          <cell r="S899" t="str">
            <v>VESSEL CLOSE</v>
          </cell>
          <cell r="U899">
            <v>0.29166666666666669</v>
          </cell>
          <cell r="V899" t="str">
            <v>VESSEL CLOSE</v>
          </cell>
          <cell r="X899">
            <v>0.29166666666666669</v>
          </cell>
          <cell r="Y899" t="str">
            <v>VESSEL CLOSE</v>
          </cell>
          <cell r="AA899">
            <v>0.29166666666666669</v>
          </cell>
          <cell r="AB899" t="str">
            <v>VESSEL CLOSE</v>
          </cell>
          <cell r="AD899">
            <v>0.29166666666666669</v>
          </cell>
          <cell r="AE899" t="str">
            <v>VESSEL CLOSE</v>
          </cell>
          <cell r="AG899">
            <v>0.29166666666666669</v>
          </cell>
          <cell r="AH899" t="str">
            <v>VESSEL CLOSE</v>
          </cell>
        </row>
        <row r="900">
          <cell r="C900">
            <v>0.33333333333333331</v>
          </cell>
          <cell r="D900" t="str">
            <v>WAITING VESSEL</v>
          </cell>
          <cell r="F900">
            <v>0.3263888888888889</v>
          </cell>
          <cell r="G900" t="str">
            <v>CONDUCT KY</v>
          </cell>
          <cell r="I900">
            <v>0.34513888888888888</v>
          </cell>
          <cell r="J900" t="str">
            <v xml:space="preserve">RESUME LOADING </v>
          </cell>
          <cell r="L900">
            <v>0.54166666666666663</v>
          </cell>
          <cell r="M900" t="str">
            <v>CONFIRMED BOOKING</v>
          </cell>
          <cell r="O900">
            <v>0.33333333333333331</v>
          </cell>
          <cell r="P900" t="str">
            <v xml:space="preserve">WAITING MATERIAL </v>
          </cell>
          <cell r="R900">
            <v>0.3263888888888889</v>
          </cell>
          <cell r="S900" t="str">
            <v>CONDUCT KY</v>
          </cell>
          <cell r="U900">
            <v>0.33333333333333331</v>
          </cell>
          <cell r="V900" t="str">
            <v>WAITING  MATERIAL</v>
          </cell>
          <cell r="X900">
            <v>0.33333333333333331</v>
          </cell>
          <cell r="Y900" t="str">
            <v>WAITNG  MATERIAL</v>
          </cell>
          <cell r="AA900">
            <v>0.33333333333333331</v>
          </cell>
          <cell r="AB900" t="str">
            <v>WAITNG MATERIAL</v>
          </cell>
          <cell r="AD900">
            <v>0.3125</v>
          </cell>
          <cell r="AE900" t="str">
            <v>VESSEL CRANE DEFECTIVE</v>
          </cell>
          <cell r="AG900">
            <v>0.33333333333333331</v>
          </cell>
          <cell r="AH900" t="str">
            <v>WAITING MATERIAL</v>
          </cell>
        </row>
        <row r="901">
          <cell r="F901">
            <v>0.33750000000000002</v>
          </cell>
          <cell r="G901" t="str">
            <v>CONTINUE LOADING SLING</v>
          </cell>
          <cell r="I901">
            <v>0.38263888888888886</v>
          </cell>
          <cell r="J901" t="str">
            <v xml:space="preserve">ONGOING  LOADING </v>
          </cell>
          <cell r="L901">
            <v>0.61875000000000002</v>
          </cell>
          <cell r="M901" t="str">
            <v xml:space="preserve">COMMENCE LOADING </v>
          </cell>
          <cell r="O901">
            <v>0.6020833333333333</v>
          </cell>
          <cell r="P901" t="str">
            <v xml:space="preserve">RESUME LOADING </v>
          </cell>
          <cell r="R901">
            <v>0.33958333333333335</v>
          </cell>
          <cell r="S901" t="str">
            <v>CONTINUE LOADING SLING</v>
          </cell>
          <cell r="U901">
            <v>0.65694444444444444</v>
          </cell>
          <cell r="V901" t="str">
            <v xml:space="preserve">RESUME LOADING </v>
          </cell>
          <cell r="X901">
            <v>0.44791666666666669</v>
          </cell>
          <cell r="Y901" t="str">
            <v xml:space="preserve">RESUME LOADING </v>
          </cell>
          <cell r="AA901">
            <v>0.54166666666666663</v>
          </cell>
          <cell r="AB901" t="str">
            <v>UNABLE TO RESUME</v>
          </cell>
          <cell r="AG901">
            <v>0.625</v>
          </cell>
          <cell r="AH901" t="str">
            <v xml:space="preserve">UNABLE TO COMMENCE </v>
          </cell>
        </row>
        <row r="902">
          <cell r="F902">
            <v>0.34097222222222223</v>
          </cell>
          <cell r="G902" t="str">
            <v>CONTINUE LOADING SLING</v>
          </cell>
          <cell r="I902">
            <v>0.41597222222222224</v>
          </cell>
          <cell r="J902" t="str">
            <v>CONTINUE LOADING</v>
          </cell>
          <cell r="L902">
            <v>0.64722222222222225</v>
          </cell>
          <cell r="M902" t="str">
            <v>WAITING MATERIAL</v>
          </cell>
          <cell r="O902">
            <v>0.63680555555555551</v>
          </cell>
          <cell r="P902" t="str">
            <v xml:space="preserve">ONGOING LOADING </v>
          </cell>
          <cell r="R902">
            <v>0.37083333333333335</v>
          </cell>
          <cell r="S902" t="str">
            <v>CONTINUE LOADING SLING</v>
          </cell>
          <cell r="U902">
            <v>0.68055555555555558</v>
          </cell>
          <cell r="V902" t="str">
            <v xml:space="preserve">ONGOING LOADING </v>
          </cell>
          <cell r="X902">
            <v>0.5</v>
          </cell>
          <cell r="Y902" t="str">
            <v>LUNCHBREAK</v>
          </cell>
          <cell r="AA902">
            <v>0.625</v>
          </cell>
          <cell r="AB902" t="str">
            <v>VESSEL CRANE RECTIFIED</v>
          </cell>
          <cell r="AG902">
            <v>0.79166666666666663</v>
          </cell>
          <cell r="AH902" t="str">
            <v>KY TOOLBOX</v>
          </cell>
        </row>
        <row r="903">
          <cell r="F903">
            <v>0.41458333333333336</v>
          </cell>
          <cell r="G903" t="str">
            <v xml:space="preserve">ONGOING LOADING </v>
          </cell>
          <cell r="I903">
            <v>0.5</v>
          </cell>
          <cell r="J903" t="str">
            <v>LUNCHBREAK</v>
          </cell>
          <cell r="L903">
            <v>0.79166666666666663</v>
          </cell>
          <cell r="M903" t="str">
            <v>KY TOOLBOX</v>
          </cell>
          <cell r="O903">
            <v>0.69652777777777775</v>
          </cell>
          <cell r="P903" t="str">
            <v xml:space="preserve">CONTINUE LOADING </v>
          </cell>
          <cell r="R903">
            <v>0.41944444444444445</v>
          </cell>
          <cell r="S903" t="str">
            <v xml:space="preserve">ONGOING LOADING </v>
          </cell>
          <cell r="U903">
            <v>0.70416666666666672</v>
          </cell>
          <cell r="V903" t="str">
            <v xml:space="preserve">CONTINUE LOADING </v>
          </cell>
          <cell r="X903">
            <v>0.57847222222222228</v>
          </cell>
          <cell r="Y903" t="str">
            <v xml:space="preserve">RESUME LOADING </v>
          </cell>
          <cell r="AA903">
            <v>0.64097222222222228</v>
          </cell>
          <cell r="AB903" t="str">
            <v xml:space="preserve">RESUME LOADING </v>
          </cell>
          <cell r="AG903">
            <v>0.80208333333333337</v>
          </cell>
          <cell r="AH903" t="str">
            <v>VESSEL CLOSE</v>
          </cell>
        </row>
        <row r="904">
          <cell r="F904">
            <v>0.42638888888888887</v>
          </cell>
          <cell r="G904" t="str">
            <v xml:space="preserve">CONTINUE LOADING </v>
          </cell>
          <cell r="I904">
            <v>0.5625</v>
          </cell>
          <cell r="J904" t="str">
            <v xml:space="preserve">RESUME LOADING </v>
          </cell>
          <cell r="L904">
            <v>0.80208333333333337</v>
          </cell>
          <cell r="M904" t="str">
            <v>VESSEL CLOSE</v>
          </cell>
          <cell r="O904">
            <v>0.75</v>
          </cell>
          <cell r="P904" t="str">
            <v>VESSEL BREAK</v>
          </cell>
          <cell r="R904">
            <v>0.44027777777777777</v>
          </cell>
          <cell r="S904" t="str">
            <v xml:space="preserve">CONTINUE LOADING </v>
          </cell>
          <cell r="U904">
            <v>0.75</v>
          </cell>
          <cell r="V904" t="str">
            <v>VESSEL BREAK</v>
          </cell>
          <cell r="X904">
            <v>0.60416666666666663</v>
          </cell>
          <cell r="Y904" t="str">
            <v xml:space="preserve">RESUME LOADING </v>
          </cell>
          <cell r="AA904">
            <v>0.68402777777777779</v>
          </cell>
          <cell r="AB904" t="str">
            <v xml:space="preserve">ONGOING LOADING </v>
          </cell>
          <cell r="AG904">
            <v>0.83333333333333337</v>
          </cell>
          <cell r="AH904" t="str">
            <v>VESSEL CLOSE</v>
          </cell>
        </row>
        <row r="905">
          <cell r="F905">
            <v>0.46250000000000002</v>
          </cell>
          <cell r="G905" t="str">
            <v xml:space="preserve">ONGOING LOADING </v>
          </cell>
          <cell r="I905">
            <v>0.60277777777777775</v>
          </cell>
          <cell r="J905" t="str">
            <v xml:space="preserve">ONGOING  LOADING </v>
          </cell>
          <cell r="L905">
            <v>0.83333333333333337</v>
          </cell>
          <cell r="M905" t="str">
            <v>VESSEL CLOSE</v>
          </cell>
          <cell r="O905">
            <v>0.79166666666666663</v>
          </cell>
          <cell r="P905" t="str">
            <v>KY TOOLBOX</v>
          </cell>
          <cell r="R905">
            <v>0.45833333333333331</v>
          </cell>
          <cell r="S905" t="str">
            <v xml:space="preserve">ONGOING LOADING </v>
          </cell>
          <cell r="U905">
            <v>0.79166666666666663</v>
          </cell>
          <cell r="V905" t="str">
            <v>KY TOOLBOX</v>
          </cell>
          <cell r="X905">
            <v>0.65</v>
          </cell>
          <cell r="Y905" t="str">
            <v>ONGOING LOADING</v>
          </cell>
          <cell r="AA905">
            <v>0.75</v>
          </cell>
          <cell r="AB905" t="str">
            <v>VESSEL BREAK</v>
          </cell>
          <cell r="AG905">
            <v>0.875</v>
          </cell>
          <cell r="AH905" t="str">
            <v>VESSEL CLOSE</v>
          </cell>
        </row>
        <row r="906">
          <cell r="F906">
            <v>0.5</v>
          </cell>
          <cell r="G906" t="str">
            <v>LUNCHBREAK</v>
          </cell>
          <cell r="I906">
            <v>0.6430555555555556</v>
          </cell>
          <cell r="J906" t="str">
            <v>CONTINUE LOADING</v>
          </cell>
          <cell r="L906">
            <v>0.875</v>
          </cell>
          <cell r="M906" t="str">
            <v>VESSEL CLOSE</v>
          </cell>
          <cell r="O906">
            <v>0.80208333333333337</v>
          </cell>
          <cell r="P906" t="str">
            <v>VESSEL CLOSE</v>
          </cell>
          <cell r="R906">
            <v>0.5</v>
          </cell>
          <cell r="S906" t="str">
            <v>LUNCHBREAK</v>
          </cell>
          <cell r="U906">
            <v>0.80208333333333337</v>
          </cell>
          <cell r="V906" t="str">
            <v>VESSEL CLOSE</v>
          </cell>
          <cell r="X906">
            <v>0.71527777777777779</v>
          </cell>
          <cell r="Y906" t="str">
            <v xml:space="preserve">CONTINUE LOADING </v>
          </cell>
          <cell r="AA906">
            <v>0.79166666666666663</v>
          </cell>
          <cell r="AB906" t="str">
            <v>KY TOOLBOX</v>
          </cell>
          <cell r="AG906">
            <v>0.91666666666666663</v>
          </cell>
          <cell r="AH906" t="str">
            <v>VESSEL CLOSE</v>
          </cell>
        </row>
        <row r="907">
          <cell r="F907">
            <v>0.56111111111111112</v>
          </cell>
          <cell r="G907" t="str">
            <v xml:space="preserve">RESUME LOADING </v>
          </cell>
          <cell r="I907">
            <v>0.75</v>
          </cell>
          <cell r="J907" t="str">
            <v>VESSEL BREAK</v>
          </cell>
          <cell r="L907">
            <v>0.91666666666666663</v>
          </cell>
          <cell r="M907" t="str">
            <v>VESSEL CLOSE</v>
          </cell>
          <cell r="O907">
            <v>0.83333333333333337</v>
          </cell>
          <cell r="P907" t="str">
            <v>VESSEL CLOSE</v>
          </cell>
          <cell r="R907">
            <v>0.55833333333333335</v>
          </cell>
          <cell r="S907" t="str">
            <v xml:space="preserve">RESUME LOADING </v>
          </cell>
          <cell r="U907">
            <v>0.83333333333333337</v>
          </cell>
          <cell r="V907" t="str">
            <v>VESSEL CLOSE</v>
          </cell>
          <cell r="X907">
            <v>0.75</v>
          </cell>
          <cell r="Y907" t="str">
            <v>VESSEL BREAK</v>
          </cell>
          <cell r="AA907">
            <v>0.80208333333333337</v>
          </cell>
          <cell r="AB907" t="str">
            <v>VESSEL CLOSE</v>
          </cell>
          <cell r="AG907">
            <v>0.95833333333333337</v>
          </cell>
          <cell r="AH907" t="str">
            <v>VESSEL CLOSE</v>
          </cell>
        </row>
        <row r="908">
          <cell r="F908">
            <v>0.59166666666666667</v>
          </cell>
          <cell r="G908" t="str">
            <v xml:space="preserve">CONTINUE LOADING </v>
          </cell>
          <cell r="I908">
            <v>0.79166666666666663</v>
          </cell>
          <cell r="J908" t="str">
            <v>KY TOOLBOX</v>
          </cell>
          <cell r="L908">
            <v>0.95833333333333337</v>
          </cell>
          <cell r="M908" t="str">
            <v>VESSEL CLOSE</v>
          </cell>
          <cell r="O908">
            <v>0.875</v>
          </cell>
          <cell r="P908" t="str">
            <v>VESSEL CLOSE</v>
          </cell>
          <cell r="R908">
            <v>0.58750000000000002</v>
          </cell>
          <cell r="S908" t="str">
            <v xml:space="preserve">ONGOING LOADING </v>
          </cell>
          <cell r="U908">
            <v>0.875</v>
          </cell>
          <cell r="V908" t="str">
            <v>VESSEL CLOSE</v>
          </cell>
          <cell r="X908">
            <v>0.79166666666666663</v>
          </cell>
          <cell r="Y908" t="str">
            <v>KY TOOLBOX</v>
          </cell>
          <cell r="AA908">
            <v>0.83333333333333337</v>
          </cell>
          <cell r="AB908" t="str">
            <v>VESSEL CLOSE</v>
          </cell>
          <cell r="AG908">
            <v>0</v>
          </cell>
          <cell r="AH908" t="str">
            <v>REFUSE TO OPEN HATCH</v>
          </cell>
        </row>
        <row r="909">
          <cell r="F909">
            <v>0.6020833333333333</v>
          </cell>
          <cell r="G909" t="str">
            <v xml:space="preserve">ONGOING LOADING </v>
          </cell>
          <cell r="I909">
            <v>0.80208333333333337</v>
          </cell>
          <cell r="J909" t="str">
            <v>VESSEL CLOSE</v>
          </cell>
          <cell r="L909">
            <v>3.888888888888889E-2</v>
          </cell>
          <cell r="M909" t="str">
            <v xml:space="preserve">RESUME LOADING </v>
          </cell>
          <cell r="O909">
            <v>0.91666666666666663</v>
          </cell>
          <cell r="P909" t="str">
            <v>VESSEL CLOSE</v>
          </cell>
          <cell r="R909">
            <v>0.61805555555555558</v>
          </cell>
          <cell r="S909" t="str">
            <v xml:space="preserve">CONTINUE LOADING </v>
          </cell>
          <cell r="U909">
            <v>0.91666666666666663</v>
          </cell>
          <cell r="V909" t="str">
            <v>VESSEL CLOSE</v>
          </cell>
          <cell r="X909">
            <v>0.80208333333333337</v>
          </cell>
          <cell r="Y909" t="str">
            <v>VESSEL CLOSE</v>
          </cell>
          <cell r="AA909">
            <v>0.875</v>
          </cell>
          <cell r="AB909" t="str">
            <v>VESSEL CLOSE</v>
          </cell>
          <cell r="AG909">
            <v>4.1666666666666664E-2</v>
          </cell>
          <cell r="AH909" t="str">
            <v>REFUSE TO OPEN HATCH</v>
          </cell>
        </row>
        <row r="910">
          <cell r="F910">
            <v>0.63055555555555554</v>
          </cell>
          <cell r="G910" t="str">
            <v xml:space="preserve">CONTINUE LOADING </v>
          </cell>
          <cell r="I910">
            <v>0.83333333333333337</v>
          </cell>
          <cell r="J910" t="str">
            <v>VESSEL CLOSE</v>
          </cell>
          <cell r="L910">
            <v>7.4305555555555555E-2</v>
          </cell>
          <cell r="M910" t="str">
            <v xml:space="preserve">CONTINUE LOADING </v>
          </cell>
          <cell r="O910">
            <v>0.95833333333333337</v>
          </cell>
          <cell r="P910" t="str">
            <v>VESSEL CLOSE</v>
          </cell>
          <cell r="R910">
            <v>0.65902777777777777</v>
          </cell>
          <cell r="S910" t="str">
            <v xml:space="preserve">ONGOING LOADING </v>
          </cell>
          <cell r="U910">
            <v>0.95833333333333337</v>
          </cell>
          <cell r="V910" t="str">
            <v>VESSEL CLOSE</v>
          </cell>
          <cell r="X910">
            <v>0.83333333333333337</v>
          </cell>
          <cell r="Y910" t="str">
            <v>VESSEL CLOSE</v>
          </cell>
          <cell r="AA910">
            <v>0.91666666666666663</v>
          </cell>
          <cell r="AB910" t="str">
            <v>VESSEL CLOSE</v>
          </cell>
          <cell r="AG910">
            <v>8.3333333333333329E-2</v>
          </cell>
          <cell r="AH910" t="str">
            <v>REFUSE TO OPEN HATCH</v>
          </cell>
        </row>
        <row r="911">
          <cell r="F911">
            <v>0.6430555555555556</v>
          </cell>
          <cell r="G911" t="str">
            <v xml:space="preserve">ONGOING LOADING </v>
          </cell>
          <cell r="I911">
            <v>0.875</v>
          </cell>
          <cell r="J911" t="str">
            <v>VESSEL CLOSE</v>
          </cell>
          <cell r="L911">
            <v>8.4027777777777785E-2</v>
          </cell>
          <cell r="M911" t="str">
            <v xml:space="preserve">CONTINUE LOADING </v>
          </cell>
          <cell r="O911">
            <v>0</v>
          </cell>
          <cell r="P911" t="str">
            <v xml:space="preserve">WAITING DELIVERY </v>
          </cell>
          <cell r="R911">
            <v>0.75</v>
          </cell>
          <cell r="S911" t="str">
            <v>VESSEL BREAK</v>
          </cell>
          <cell r="U911">
            <v>0</v>
          </cell>
          <cell r="V911" t="str">
            <v>REFUSE TO OPEN HATCH</v>
          </cell>
          <cell r="X911">
            <v>0.875</v>
          </cell>
          <cell r="Y911" t="str">
            <v>VESSEL CLOSE</v>
          </cell>
          <cell r="AA911">
            <v>0.95833333333333337</v>
          </cell>
          <cell r="AB911" t="str">
            <v>VESSEL CLOSE</v>
          </cell>
          <cell r="AG911">
            <v>0.125</v>
          </cell>
          <cell r="AH911" t="str">
            <v>REFUSE TO OPEN HATCH</v>
          </cell>
        </row>
        <row r="912">
          <cell r="D912" t="str">
            <v xml:space="preserve">        </v>
          </cell>
          <cell r="F912">
            <v>0.70694444444444449</v>
          </cell>
          <cell r="G912" t="str">
            <v xml:space="preserve">CONTINUE LOADING </v>
          </cell>
          <cell r="I912">
            <v>0.91666666666666663</v>
          </cell>
          <cell r="J912" t="str">
            <v>VESSEL CLOSE</v>
          </cell>
          <cell r="L912">
            <v>0.125</v>
          </cell>
          <cell r="M912" t="str">
            <v xml:space="preserve">CONTINUE LOADING </v>
          </cell>
          <cell r="O912">
            <v>4.1666666666666664E-2</v>
          </cell>
          <cell r="P912" t="str">
            <v xml:space="preserve">WAITING DELIVERY </v>
          </cell>
          <cell r="R912">
            <v>0.79166666666666663</v>
          </cell>
          <cell r="S912" t="str">
            <v>KY TOOLBOX</v>
          </cell>
          <cell r="U912">
            <v>4.1666666666666664E-2</v>
          </cell>
          <cell r="V912" t="str">
            <v>REFUSE TO OPEN HATCH</v>
          </cell>
          <cell r="X912">
            <v>0.91666666666666663</v>
          </cell>
          <cell r="Y912" t="str">
            <v>VESSEL CLOSE</v>
          </cell>
          <cell r="AA912">
            <v>1.7361111111111112E-2</v>
          </cell>
          <cell r="AB912" t="str">
            <v>RESUME LOADING</v>
          </cell>
          <cell r="AG912">
            <v>0.16666666666666666</v>
          </cell>
          <cell r="AH912" t="str">
            <v>REFUSE TO OPEN HATCH</v>
          </cell>
        </row>
        <row r="913">
          <cell r="F913">
            <v>0.75</v>
          </cell>
          <cell r="G913" t="str">
            <v>VESSEL BREAK</v>
          </cell>
          <cell r="I913">
            <v>0.95833333333333337</v>
          </cell>
          <cell r="J913" t="str">
            <v>VESSEL CLOSE</v>
          </cell>
          <cell r="L913">
            <v>0.17083333333333334</v>
          </cell>
          <cell r="M913" t="str">
            <v xml:space="preserve">CONTINUE LOADING </v>
          </cell>
          <cell r="O913">
            <v>8.3333333333333329E-2</v>
          </cell>
          <cell r="P913" t="str">
            <v xml:space="preserve">WAITING DELIVERY </v>
          </cell>
          <cell r="R913">
            <v>0.80208333333333337</v>
          </cell>
          <cell r="S913" t="str">
            <v>VESSEL CLOSE</v>
          </cell>
          <cell r="U913">
            <v>8.3333333333333329E-2</v>
          </cell>
          <cell r="V913" t="str">
            <v>REFUSE TO OPEN HATCH</v>
          </cell>
          <cell r="X913">
            <v>0.95833333333333337</v>
          </cell>
          <cell r="Y913" t="str">
            <v>VESSEL CLOSE</v>
          </cell>
          <cell r="AA913">
            <v>7.013888888888889E-2</v>
          </cell>
          <cell r="AB913" t="str">
            <v>CONTINUE LOADING</v>
          </cell>
          <cell r="AG913">
            <v>0.20833333333333334</v>
          </cell>
          <cell r="AH913" t="str">
            <v>REFUSE TO OPEN HATCH</v>
          </cell>
        </row>
        <row r="914">
          <cell r="F914">
            <v>0.79166666666666663</v>
          </cell>
          <cell r="G914" t="str">
            <v>KY TOOLBOX</v>
          </cell>
          <cell r="I914">
            <v>0</v>
          </cell>
          <cell r="J914" t="str">
            <v>REFUSE TO OPEN HATCH</v>
          </cell>
          <cell r="L914">
            <v>0.21944444444444444</v>
          </cell>
          <cell r="M914" t="str">
            <v xml:space="preserve">CONTINUE LOADING </v>
          </cell>
          <cell r="O914">
            <v>0.125</v>
          </cell>
          <cell r="P914" t="str">
            <v xml:space="preserve">WAITING DELIVERY </v>
          </cell>
          <cell r="R914">
            <v>0.83333333333333337</v>
          </cell>
          <cell r="S914" t="str">
            <v>VESSEL CLOSE</v>
          </cell>
          <cell r="U914">
            <v>0.125</v>
          </cell>
          <cell r="V914" t="str">
            <v>REFUSE TO OPEN HATCH</v>
          </cell>
          <cell r="X914">
            <v>0</v>
          </cell>
          <cell r="Y914" t="str">
            <v>WAITING DELIVERY</v>
          </cell>
          <cell r="AA914">
            <v>0.10347222222222222</v>
          </cell>
          <cell r="AB914" t="str">
            <v>CONTINUE LOADING</v>
          </cell>
          <cell r="AG914">
            <v>0.25</v>
          </cell>
          <cell r="AH914" t="str">
            <v>REFUSE TO OPEN HATCH</v>
          </cell>
        </row>
        <row r="915">
          <cell r="F915">
            <v>0.80208333333333337</v>
          </cell>
          <cell r="G915" t="str">
            <v>VESSEL CLOSE</v>
          </cell>
          <cell r="I915">
            <v>4.1666666666666664E-2</v>
          </cell>
          <cell r="J915" t="str">
            <v>REFUSE TO OPEN HATCH</v>
          </cell>
          <cell r="L915">
            <v>0.25</v>
          </cell>
          <cell r="M915" t="str">
            <v>WAITING DELIVERY</v>
          </cell>
          <cell r="O915">
            <v>0.16666666666666666</v>
          </cell>
          <cell r="P915" t="str">
            <v xml:space="preserve">WAITING DELIVERY </v>
          </cell>
          <cell r="R915">
            <v>0.875</v>
          </cell>
          <cell r="S915" t="str">
            <v>VESSEL CLOSE</v>
          </cell>
          <cell r="U915">
            <v>0.16666666666666666</v>
          </cell>
          <cell r="V915" t="str">
            <v>REFUSE TO OPEN HATCH</v>
          </cell>
          <cell r="X915">
            <v>4.1666666666666664E-2</v>
          </cell>
          <cell r="Y915" t="str">
            <v>WAITING DELIVERY</v>
          </cell>
          <cell r="AA915">
            <v>0.12569444444444444</v>
          </cell>
          <cell r="AB915" t="str">
            <v>CONTINUE LOADING</v>
          </cell>
        </row>
        <row r="916">
          <cell r="F916">
            <v>0.83333333333333337</v>
          </cell>
          <cell r="G916" t="str">
            <v>VESSEL CLOSE</v>
          </cell>
          <cell r="I916">
            <v>8.3333333333333329E-2</v>
          </cell>
          <cell r="J916" t="str">
            <v>REFUSE TO OPEN HATCH</v>
          </cell>
          <cell r="O916">
            <v>0.20833333333333334</v>
          </cell>
          <cell r="P916" t="str">
            <v xml:space="preserve">WAITING DELIVERY </v>
          </cell>
          <cell r="R916">
            <v>0.91666666666666663</v>
          </cell>
          <cell r="S916" t="str">
            <v>VESSEL CLOSE</v>
          </cell>
          <cell r="U916">
            <v>0.20833333333333334</v>
          </cell>
          <cell r="V916" t="str">
            <v>REFUSE TO OPEN HATCH</v>
          </cell>
          <cell r="X916">
            <v>8.3333333333333329E-2</v>
          </cell>
          <cell r="Y916" t="str">
            <v>WAITING DELIVERY</v>
          </cell>
          <cell r="AA916">
            <v>0.17708333333333334</v>
          </cell>
          <cell r="AB916" t="str">
            <v>CONTINUE LOADING</v>
          </cell>
        </row>
        <row r="917">
          <cell r="F917">
            <v>0.875</v>
          </cell>
          <cell r="G917" t="str">
            <v>VESSEL CLOSE</v>
          </cell>
          <cell r="I917">
            <v>0.125</v>
          </cell>
          <cell r="J917" t="str">
            <v>REFUSE TO OPEN HATCH</v>
          </cell>
          <cell r="O917">
            <v>0.25</v>
          </cell>
          <cell r="P917" t="str">
            <v xml:space="preserve">WAITING DELIVERY </v>
          </cell>
          <cell r="R917">
            <v>0.95833333333333337</v>
          </cell>
          <cell r="S917" t="str">
            <v>VESSEL CLOSE</v>
          </cell>
          <cell r="U917">
            <v>0.25</v>
          </cell>
          <cell r="V917" t="str">
            <v>REFUSE TO OPEN HATCH</v>
          </cell>
          <cell r="X917">
            <v>0.125</v>
          </cell>
          <cell r="Y917" t="str">
            <v>WAITING DELIVERY</v>
          </cell>
          <cell r="AA917">
            <v>0.22916666666666666</v>
          </cell>
          <cell r="AB917" t="str">
            <v xml:space="preserve">CONTINUE LOADING </v>
          </cell>
        </row>
        <row r="918">
          <cell r="F918">
            <v>0.91666666666666663</v>
          </cell>
          <cell r="G918" t="str">
            <v>VESSEL CLOSE</v>
          </cell>
          <cell r="I918">
            <v>0.16666666666666666</v>
          </cell>
          <cell r="J918" t="str">
            <v>REFUSE TO OPEN HATCH</v>
          </cell>
          <cell r="R918">
            <v>0</v>
          </cell>
          <cell r="S918" t="str">
            <v>WAITING DELIVERY</v>
          </cell>
          <cell r="X918">
            <v>0.16666666666666666</v>
          </cell>
          <cell r="Y918" t="str">
            <v>WAITING DELIVERY</v>
          </cell>
          <cell r="AA918">
            <v>0.25</v>
          </cell>
          <cell r="AB918" t="str">
            <v>WAITING DELIVERY</v>
          </cell>
        </row>
        <row r="919">
          <cell r="F919">
            <v>0.95833333333333337</v>
          </cell>
          <cell r="G919" t="str">
            <v>VESSEL CLOSE</v>
          </cell>
          <cell r="I919">
            <v>0.20833333333333334</v>
          </cell>
          <cell r="J919" t="str">
            <v>REFUSE TO OPEN HATCH</v>
          </cell>
          <cell r="R919">
            <v>4.1666666666666664E-2</v>
          </cell>
          <cell r="S919" t="str">
            <v>WAITING DELIVERY</v>
          </cell>
          <cell r="X919">
            <v>0.20833333333333334</v>
          </cell>
          <cell r="Y919" t="str">
            <v>WAITING DELIVERY</v>
          </cell>
        </row>
        <row r="920">
          <cell r="F920">
            <v>0</v>
          </cell>
          <cell r="G920" t="str">
            <v>VESSEL CLOSE</v>
          </cell>
          <cell r="I920">
            <v>0.25</v>
          </cell>
          <cell r="J920" t="str">
            <v>REFUSE TO OPEN HATCH</v>
          </cell>
          <cell r="R920">
            <v>8.3333333333333329E-2</v>
          </cell>
          <cell r="S920" t="str">
            <v>WAITING DELIVERY</v>
          </cell>
          <cell r="X920">
            <v>0.25</v>
          </cell>
          <cell r="Y920" t="str">
            <v>WAITING DELIVERY</v>
          </cell>
        </row>
        <row r="921">
          <cell r="F921">
            <v>5.4166666666666669E-2</v>
          </cell>
          <cell r="G921" t="str">
            <v>RESUME LOADING</v>
          </cell>
          <cell r="R921">
            <v>0.125</v>
          </cell>
          <cell r="S921" t="str">
            <v>WAITING DELIVERY</v>
          </cell>
        </row>
        <row r="922">
          <cell r="F922">
            <v>8.611111111111111E-2</v>
          </cell>
          <cell r="G922" t="str">
            <v>CONTINUE LOADING</v>
          </cell>
          <cell r="R922">
            <v>0.16666666666666666</v>
          </cell>
          <cell r="S922" t="str">
            <v>WAITING DELIVERY</v>
          </cell>
        </row>
        <row r="923">
          <cell r="F923">
            <v>0.13194444444444445</v>
          </cell>
          <cell r="G923" t="str">
            <v>CONTINUE LOADING</v>
          </cell>
          <cell r="R923">
            <v>0.20833333333333334</v>
          </cell>
          <cell r="S923" t="str">
            <v>WAITING DELIVERY</v>
          </cell>
        </row>
        <row r="924">
          <cell r="F924">
            <v>0.17777777777777778</v>
          </cell>
          <cell r="G924" t="str">
            <v>CONTINUE LOADING</v>
          </cell>
          <cell r="R924">
            <v>0.25</v>
          </cell>
          <cell r="S924" t="str">
            <v>WAITING DELIVERY</v>
          </cell>
        </row>
        <row r="925">
          <cell r="F925">
            <v>0.22361111111111112</v>
          </cell>
          <cell r="G925" t="str">
            <v>CONTINUE LOADING</v>
          </cell>
        </row>
        <row r="926">
          <cell r="F926">
            <v>0.25</v>
          </cell>
          <cell r="G926" t="str">
            <v>VESSEL BREAK</v>
          </cell>
        </row>
        <row r="927">
          <cell r="D927" t="str">
            <v>VACANT</v>
          </cell>
          <cell r="G927" t="str">
            <v>JOHANNAH 7</v>
          </cell>
          <cell r="J927" t="str">
            <v>STAR ILIGAN</v>
          </cell>
          <cell r="M927" t="str">
            <v>STAR SOGOD</v>
          </cell>
          <cell r="P927" t="str">
            <v>QUEEN CAROLYN</v>
          </cell>
          <cell r="S927" t="str">
            <v>LADY OF DIVINE GRACE</v>
          </cell>
          <cell r="V927" t="str">
            <v>NAPOLI</v>
          </cell>
          <cell r="Y927" t="str">
            <v>AGNES LILYGENE</v>
          </cell>
          <cell r="AB927" t="str">
            <v>SALVACION VI</v>
          </cell>
          <cell r="AE927" t="str">
            <v>LADY OF ROSARY</v>
          </cell>
          <cell r="AH927" t="str">
            <v>EFG 7</v>
          </cell>
        </row>
        <row r="928">
          <cell r="C928">
            <v>0.29166666666666669</v>
          </cell>
          <cell r="D928" t="str">
            <v>WAITNG VESSEL</v>
          </cell>
          <cell r="F928">
            <v>0.3263888888888889</v>
          </cell>
          <cell r="G928" t="str">
            <v>CONDUCT KY</v>
          </cell>
          <cell r="I928">
            <v>0.32500000000000001</v>
          </cell>
          <cell r="J928" t="str">
            <v>CONDUCT KY</v>
          </cell>
          <cell r="L928">
            <v>0.29166666666666669</v>
          </cell>
          <cell r="M928" t="str">
            <v>WAITING MATERIAL</v>
          </cell>
          <cell r="O928">
            <v>0.29166666666666669</v>
          </cell>
          <cell r="P928" t="str">
            <v>WAITING MATERIAL</v>
          </cell>
          <cell r="R928">
            <v>0.29166666666666669</v>
          </cell>
          <cell r="S928" t="str">
            <v>WAITING MATERIAL</v>
          </cell>
          <cell r="U928">
            <v>0.32361111111111113</v>
          </cell>
          <cell r="V928" t="str">
            <v>CONDUCT KY</v>
          </cell>
          <cell r="X928">
            <v>0.29166666666666669</v>
          </cell>
          <cell r="Y928" t="str">
            <v>WAITING MATERIAL</v>
          </cell>
          <cell r="AA928">
            <v>0.29166666666666669</v>
          </cell>
          <cell r="AB928" t="str">
            <v>WAITING MATERIAL</v>
          </cell>
          <cell r="AD928">
            <v>0.29166666666666669</v>
          </cell>
          <cell r="AE928" t="str">
            <v>WAITING MATERIAL</v>
          </cell>
          <cell r="AG928">
            <v>0.29166666666666669</v>
          </cell>
          <cell r="AH928" t="str">
            <v>UNABLE TO RESUME</v>
          </cell>
        </row>
        <row r="929">
          <cell r="C929">
            <v>0.33333333333333331</v>
          </cell>
          <cell r="D929" t="str">
            <v>WAITNG VESSEL</v>
          </cell>
          <cell r="F929">
            <v>0.34027777777777779</v>
          </cell>
          <cell r="G929" t="str">
            <v>CONTINUE LOADING TONNER</v>
          </cell>
          <cell r="I929">
            <v>0.34791666666666665</v>
          </cell>
          <cell r="J929" t="str">
            <v>CONTINUE LOADING TONNER</v>
          </cell>
          <cell r="L929">
            <v>0.33333333333333331</v>
          </cell>
          <cell r="M929" t="str">
            <v>WAITING MATERIAL</v>
          </cell>
          <cell r="O929">
            <v>0.33333333333333331</v>
          </cell>
          <cell r="P929" t="str">
            <v>WAITING MATERIAL</v>
          </cell>
          <cell r="R929">
            <v>0.33333333333333331</v>
          </cell>
          <cell r="S929" t="str">
            <v>WAITING MATERIAL</v>
          </cell>
          <cell r="U929">
            <v>0.34722222222222221</v>
          </cell>
          <cell r="V929" t="str">
            <v>CONTINUE LOADING SLING</v>
          </cell>
          <cell r="X929">
            <v>0.33333333333333331</v>
          </cell>
          <cell r="Y929" t="str">
            <v>WAITING MATERIAL</v>
          </cell>
          <cell r="AA929">
            <v>0.33333333333333331</v>
          </cell>
          <cell r="AB929" t="str">
            <v>WAITING MATERIAL</v>
          </cell>
          <cell r="AD929">
            <v>0.33333333333333331</v>
          </cell>
          <cell r="AE929" t="str">
            <v>WAITING MATERIAL</v>
          </cell>
          <cell r="AG929">
            <v>0.33333333333333331</v>
          </cell>
          <cell r="AH929" t="str">
            <v>UNABLE TO RESUME</v>
          </cell>
        </row>
        <row r="930">
          <cell r="C930">
            <v>0.375</v>
          </cell>
          <cell r="D930" t="str">
            <v>WAITNG VESSEL</v>
          </cell>
          <cell r="F930">
            <v>0.36041666666666666</v>
          </cell>
          <cell r="G930" t="str">
            <v>CONTINUE LOADING TONNER</v>
          </cell>
          <cell r="I930">
            <v>0.38055555555555554</v>
          </cell>
          <cell r="J930" t="str">
            <v>CONTINUE LOADING TONNER</v>
          </cell>
          <cell r="L930">
            <v>0.375</v>
          </cell>
          <cell r="M930" t="str">
            <v>WAITING MATERIAL</v>
          </cell>
          <cell r="O930">
            <v>0.375</v>
          </cell>
          <cell r="P930" t="str">
            <v>WAITING MATERIAL</v>
          </cell>
          <cell r="R930">
            <v>0.375</v>
          </cell>
          <cell r="S930" t="str">
            <v>WAITING MATERIAL</v>
          </cell>
          <cell r="U930">
            <v>0.36666666666666664</v>
          </cell>
          <cell r="V930" t="str">
            <v>CONTINUE LOADING SLING</v>
          </cell>
          <cell r="X930">
            <v>0.375</v>
          </cell>
          <cell r="Y930" t="str">
            <v>WAITING MATERIAL</v>
          </cell>
          <cell r="AA930">
            <v>0.375</v>
          </cell>
          <cell r="AB930" t="str">
            <v>WAITING MATERIAL</v>
          </cell>
          <cell r="AD930">
            <v>0.375</v>
          </cell>
          <cell r="AE930" t="str">
            <v>WAITING MATERIAL</v>
          </cell>
          <cell r="AG930">
            <v>0.375</v>
          </cell>
          <cell r="AH930" t="str">
            <v>UNABLE TO RESUME</v>
          </cell>
        </row>
        <row r="931">
          <cell r="C931">
            <v>0.41666666666666669</v>
          </cell>
          <cell r="D931" t="str">
            <v>WAITNG VESSEL</v>
          </cell>
          <cell r="F931">
            <v>0.4236111111111111</v>
          </cell>
          <cell r="G931" t="str">
            <v>CONTINUE LOADING TONNER</v>
          </cell>
          <cell r="I931">
            <v>0.43958333333333333</v>
          </cell>
          <cell r="J931" t="str">
            <v>CONTINUE   LOADING TONNER</v>
          </cell>
          <cell r="L931">
            <v>0.40347222222222223</v>
          </cell>
          <cell r="M931" t="str">
            <v>RESUME LOADING SLING</v>
          </cell>
          <cell r="O931">
            <v>0.41666666666666669</v>
          </cell>
          <cell r="P931" t="str">
            <v>WAITING MATERIAL</v>
          </cell>
          <cell r="R931">
            <v>0.41666666666666669</v>
          </cell>
          <cell r="S931" t="str">
            <v>WAITING MATERIAL</v>
          </cell>
          <cell r="U931">
            <v>0.38263888888888886</v>
          </cell>
          <cell r="V931" t="str">
            <v>CONTINUE LOADING SLING</v>
          </cell>
          <cell r="X931">
            <v>0.41666666666666669</v>
          </cell>
          <cell r="Y931" t="str">
            <v>WAITING MATERIAL</v>
          </cell>
          <cell r="AA931">
            <v>0.41666666666666669</v>
          </cell>
          <cell r="AB931" t="str">
            <v>WAITING MATERIAL</v>
          </cell>
          <cell r="AD931">
            <v>0.41666666666666669</v>
          </cell>
          <cell r="AE931" t="str">
            <v>WAITING MATERIAL</v>
          </cell>
          <cell r="AG931">
            <v>0.41249999999999998</v>
          </cell>
          <cell r="AH931" t="str">
            <v>RESUME LOADING SLING</v>
          </cell>
        </row>
        <row r="932">
          <cell r="C932">
            <v>0.45833333333333331</v>
          </cell>
          <cell r="D932" t="str">
            <v>WAITNG VESSEL</v>
          </cell>
          <cell r="F932">
            <v>0.43680555555555556</v>
          </cell>
          <cell r="G932" t="str">
            <v>CONTINUE LOADING TONNER</v>
          </cell>
          <cell r="I932">
            <v>0.5</v>
          </cell>
          <cell r="J932" t="str">
            <v>LUNCHBREAK</v>
          </cell>
          <cell r="L932">
            <v>0.42638888888888887</v>
          </cell>
          <cell r="M932" t="str">
            <v>CONTINUE LOADING SLING</v>
          </cell>
          <cell r="O932">
            <v>0.44236111111111109</v>
          </cell>
          <cell r="P932" t="str">
            <v>RESUME LOADING SLING</v>
          </cell>
          <cell r="R932">
            <v>0.54166666666666663</v>
          </cell>
          <cell r="S932" t="str">
            <v xml:space="preserve">RESUME LOADING </v>
          </cell>
          <cell r="U932">
            <v>0.40625</v>
          </cell>
          <cell r="V932" t="str">
            <v>CONTINUE LOADING SLING</v>
          </cell>
          <cell r="X932">
            <v>0.45833333333333331</v>
          </cell>
          <cell r="Y932" t="str">
            <v>WAITING MATERIAL</v>
          </cell>
          <cell r="AA932">
            <v>0.45833333333333331</v>
          </cell>
          <cell r="AB932" t="str">
            <v>WAITING MATERIAL</v>
          </cell>
          <cell r="AD932">
            <v>0.45833333333333331</v>
          </cell>
          <cell r="AE932" t="str">
            <v>WAITING MATERIAL</v>
          </cell>
          <cell r="AG932">
            <v>0.4465277777777778</v>
          </cell>
          <cell r="AH932" t="str">
            <v>CONTINUE LOADING SLING</v>
          </cell>
        </row>
        <row r="933">
          <cell r="C933">
            <v>0.5</v>
          </cell>
          <cell r="D933" t="str">
            <v>WAITNG VESSEL</v>
          </cell>
          <cell r="F933">
            <v>0.45833333333333331</v>
          </cell>
          <cell r="G933" t="str">
            <v>CONTINUE LOADING SLING</v>
          </cell>
          <cell r="I933">
            <v>0.56666666666666665</v>
          </cell>
          <cell r="J933" t="str">
            <v>RESUME LOADING</v>
          </cell>
          <cell r="L933">
            <v>0.45416666666666666</v>
          </cell>
          <cell r="M933" t="str">
            <v>CONTINUE LOADING SLING</v>
          </cell>
          <cell r="O933">
            <v>0.45833333333333331</v>
          </cell>
          <cell r="P933" t="str">
            <v>WAITING MATERIAL</v>
          </cell>
          <cell r="R933">
            <v>0.61041666666666672</v>
          </cell>
          <cell r="S933" t="str">
            <v xml:space="preserve">ONGOING LOADING </v>
          </cell>
          <cell r="U933">
            <v>0.42152777777777778</v>
          </cell>
          <cell r="V933" t="str">
            <v>CONTINUE LOADING SLING</v>
          </cell>
          <cell r="X933">
            <v>0.5</v>
          </cell>
          <cell r="Y933" t="str">
            <v>WAITING MATERIAL</v>
          </cell>
          <cell r="AA933">
            <v>0.5</v>
          </cell>
          <cell r="AB933" t="str">
            <v>WAITING MATERIAL</v>
          </cell>
          <cell r="AD933">
            <v>0.5</v>
          </cell>
          <cell r="AE933" t="str">
            <v>WAITING MATERIAL</v>
          </cell>
          <cell r="AG933">
            <v>0.5</v>
          </cell>
          <cell r="AH933" t="str">
            <v>LUNCHBREAK</v>
          </cell>
        </row>
        <row r="934">
          <cell r="C934">
            <v>0.54166666666666663</v>
          </cell>
          <cell r="D934" t="str">
            <v>VACANT</v>
          </cell>
          <cell r="F934">
            <v>0.46388888888888891</v>
          </cell>
          <cell r="G934" t="str">
            <v>VESSEL COMPLETE</v>
          </cell>
          <cell r="I934">
            <v>0.60138888888888886</v>
          </cell>
          <cell r="J934" t="str">
            <v xml:space="preserve">CONTINUE LOADING </v>
          </cell>
          <cell r="L934">
            <v>0.5</v>
          </cell>
          <cell r="M934" t="str">
            <v>LUNCHBREAK</v>
          </cell>
          <cell r="O934">
            <v>0.5</v>
          </cell>
          <cell r="P934" t="str">
            <v>WAITING MATERIAL</v>
          </cell>
          <cell r="R934">
            <v>0.67361111111111116</v>
          </cell>
          <cell r="S934" t="str">
            <v xml:space="preserve">CONTINUE LOADING </v>
          </cell>
          <cell r="U934">
            <v>0.43958333333333333</v>
          </cell>
          <cell r="V934" t="str">
            <v>CONTINUE LOADING SLING</v>
          </cell>
          <cell r="X934">
            <v>0.56041666666666667</v>
          </cell>
          <cell r="Y934" t="str">
            <v>LOADING LAST TRUCK</v>
          </cell>
          <cell r="AA934">
            <v>0.5708333333333333</v>
          </cell>
          <cell r="AB934" t="str">
            <v>WAITING MATERIAL</v>
          </cell>
          <cell r="AD934">
            <v>0.54166666666666663</v>
          </cell>
          <cell r="AE934" t="str">
            <v>UNABLE TO COMMENCE</v>
          </cell>
          <cell r="AG934">
            <v>0.5708333333333333</v>
          </cell>
          <cell r="AH934" t="str">
            <v xml:space="preserve">RESUME LOADING </v>
          </cell>
        </row>
        <row r="935">
          <cell r="I935">
            <v>0.65069444444444446</v>
          </cell>
          <cell r="J935" t="str">
            <v xml:space="preserve">ONGOING  LOADING </v>
          </cell>
          <cell r="L935">
            <v>0.56527777777777777</v>
          </cell>
          <cell r="M935" t="str">
            <v xml:space="preserve">RESUME LOADING </v>
          </cell>
          <cell r="O935">
            <v>0.57013888888888886</v>
          </cell>
          <cell r="P935" t="str">
            <v xml:space="preserve">RESUME LOADING </v>
          </cell>
          <cell r="R935">
            <v>0.67361111111111116</v>
          </cell>
          <cell r="S935" t="str">
            <v>CLOSE HATCH</v>
          </cell>
          <cell r="U935">
            <v>0.5</v>
          </cell>
          <cell r="V935" t="str">
            <v>LUNCH BREAK</v>
          </cell>
          <cell r="X935">
            <v>0.57847222222222228</v>
          </cell>
          <cell r="Y935" t="str">
            <v>LOADING COMPLETE</v>
          </cell>
          <cell r="AA935">
            <v>0.60069444444444442</v>
          </cell>
          <cell r="AB935" t="str">
            <v xml:space="preserve">RESUME LOADING </v>
          </cell>
          <cell r="AD935">
            <v>0.79166666666666663</v>
          </cell>
          <cell r="AE935" t="str">
            <v>KY TOOLBOX</v>
          </cell>
          <cell r="AG935">
            <v>0.61111111111111116</v>
          </cell>
          <cell r="AH935" t="str">
            <v>ONGOING LOADING</v>
          </cell>
        </row>
        <row r="936">
          <cell r="I936">
            <v>0.67222222222222228</v>
          </cell>
          <cell r="J936" t="str">
            <v>LOADING COMPLETE</v>
          </cell>
          <cell r="L936">
            <v>0.5854166666666667</v>
          </cell>
          <cell r="M936" t="str">
            <v xml:space="preserve">CONTINUE LOADING </v>
          </cell>
          <cell r="O936">
            <v>0.61458333333333337</v>
          </cell>
          <cell r="P936" t="str">
            <v xml:space="preserve">ONGOING LOADING </v>
          </cell>
          <cell r="R936">
            <v>0.70833333333333337</v>
          </cell>
          <cell r="S936" t="str">
            <v>CLOSE HATCH</v>
          </cell>
          <cell r="U936">
            <v>0.54166666666666663</v>
          </cell>
          <cell r="V936" t="str">
            <v>WAITING MATERIAL</v>
          </cell>
          <cell r="AA936">
            <v>0.64861111111111114</v>
          </cell>
          <cell r="AB936" t="str">
            <v xml:space="preserve">CONTINUE LOADING </v>
          </cell>
          <cell r="AD936">
            <v>0.79861111111111116</v>
          </cell>
          <cell r="AE936" t="str">
            <v>UNABLE TO COMMENCE</v>
          </cell>
          <cell r="AG936">
            <v>0.65138888888888891</v>
          </cell>
          <cell r="AH936" t="str">
            <v xml:space="preserve">CONTINUE LOADING </v>
          </cell>
        </row>
        <row r="937">
          <cell r="O937">
            <v>0.65069444444444446</v>
          </cell>
          <cell r="P937" t="str">
            <v xml:space="preserve">CONTINUE LOADING </v>
          </cell>
          <cell r="R937">
            <v>0.75</v>
          </cell>
          <cell r="S937" t="str">
            <v>CLOSE HATCH</v>
          </cell>
          <cell r="U937">
            <v>0.79166666666666663</v>
          </cell>
          <cell r="V937" t="str">
            <v>KY TOOLBOX</v>
          </cell>
          <cell r="AA937">
            <v>0.67361111111111116</v>
          </cell>
          <cell r="AB937" t="str">
            <v>CLOSE HATCH</v>
          </cell>
          <cell r="AD937">
            <v>0.83333333333333337</v>
          </cell>
          <cell r="AE937" t="str">
            <v>UNABLE TO COMMENCE</v>
          </cell>
          <cell r="AG937">
            <v>0.67361111111111116</v>
          </cell>
          <cell r="AH937" t="str">
            <v xml:space="preserve">CLOSE HATCH </v>
          </cell>
        </row>
        <row r="938">
          <cell r="L938">
            <v>0.67361111111111116</v>
          </cell>
          <cell r="M938" t="str">
            <v>CLOSE HATCH</v>
          </cell>
          <cell r="O938">
            <v>0.67361111111111116</v>
          </cell>
          <cell r="P938" t="str">
            <v>CLOSE HATCH</v>
          </cell>
          <cell r="R938">
            <v>0.79166666666666663</v>
          </cell>
          <cell r="S938" t="str">
            <v>KY TOOLBOX</v>
          </cell>
          <cell r="U938">
            <v>0.79861111111111116</v>
          </cell>
          <cell r="V938" t="str">
            <v xml:space="preserve">WAITING DELIVERY </v>
          </cell>
          <cell r="AA938">
            <v>0.70833333333333337</v>
          </cell>
          <cell r="AB938" t="str">
            <v>CLOSE HATCH</v>
          </cell>
          <cell r="AD938">
            <v>0.875</v>
          </cell>
          <cell r="AE938" t="str">
            <v>UNABLE TO COMMENCE</v>
          </cell>
          <cell r="AG938">
            <v>0.70833333333333337</v>
          </cell>
          <cell r="AH938" t="str">
            <v>CLOSE HATCH</v>
          </cell>
        </row>
        <row r="939">
          <cell r="L939">
            <v>0.70833333333333337</v>
          </cell>
          <cell r="M939" t="str">
            <v>CLOSE HATCH</v>
          </cell>
          <cell r="O939">
            <v>0.70833333333333337</v>
          </cell>
          <cell r="P939" t="str">
            <v>CLOSE HATCH</v>
          </cell>
          <cell r="R939">
            <v>0.79861111111111116</v>
          </cell>
          <cell r="S939" t="str">
            <v>VESSEL CLOSE</v>
          </cell>
          <cell r="U939">
            <v>0.83333333333333337</v>
          </cell>
          <cell r="V939" t="str">
            <v xml:space="preserve">WAITING DELIVERY </v>
          </cell>
          <cell r="AA939">
            <v>0.75</v>
          </cell>
          <cell r="AB939" t="str">
            <v>CLOSE HATCH</v>
          </cell>
          <cell r="AD939">
            <v>0.91666666666666663</v>
          </cell>
          <cell r="AE939" t="str">
            <v>UNABLE TO COMMENCE</v>
          </cell>
          <cell r="AG939">
            <v>0.75</v>
          </cell>
          <cell r="AH939" t="str">
            <v>CLOSE HATCH</v>
          </cell>
        </row>
        <row r="940">
          <cell r="L940">
            <v>0.75</v>
          </cell>
          <cell r="M940" t="str">
            <v>CLOSE HATCH</v>
          </cell>
          <cell r="O940">
            <v>0.75</v>
          </cell>
          <cell r="P940" t="str">
            <v>CLOSE HATCH</v>
          </cell>
          <cell r="R940">
            <v>0.83333333333333337</v>
          </cell>
          <cell r="S940" t="str">
            <v>VESSEL CLOSE</v>
          </cell>
          <cell r="U940">
            <v>0.875</v>
          </cell>
          <cell r="V940" t="str">
            <v xml:space="preserve">WAITING DELIVERY </v>
          </cell>
          <cell r="AA940">
            <v>0.79166666666666663</v>
          </cell>
          <cell r="AB940" t="str">
            <v>KY TOOLBOX</v>
          </cell>
          <cell r="AD940">
            <v>0.95833333333333337</v>
          </cell>
          <cell r="AE940" t="str">
            <v>UNABLE TO COMMENCE</v>
          </cell>
          <cell r="AG940">
            <v>0.79166666666666663</v>
          </cell>
          <cell r="AH940" t="str">
            <v>KY TOOLBOX</v>
          </cell>
        </row>
        <row r="941">
          <cell r="L941">
            <v>0.79166666666666663</v>
          </cell>
          <cell r="M941" t="str">
            <v>KY TOOLBOX</v>
          </cell>
          <cell r="O941">
            <v>0.79166666666666663</v>
          </cell>
          <cell r="P941" t="str">
            <v>KY TOOLBOX</v>
          </cell>
          <cell r="R941">
            <v>0.875</v>
          </cell>
          <cell r="S941" t="str">
            <v>VESSEL CLOSE</v>
          </cell>
          <cell r="U941">
            <v>0.91666666666666663</v>
          </cell>
          <cell r="V941" t="str">
            <v xml:space="preserve">WAITING DELIVERY </v>
          </cell>
          <cell r="AA941">
            <v>0.79861111111111116</v>
          </cell>
          <cell r="AB941" t="str">
            <v>VESSEL CLOSE</v>
          </cell>
          <cell r="AD941">
            <v>0</v>
          </cell>
          <cell r="AE941" t="str">
            <v>UNABLE TO COMMENCE</v>
          </cell>
          <cell r="AG941">
            <v>0.79861111111111116</v>
          </cell>
          <cell r="AH941" t="str">
            <v>VESSEL CLOSE</v>
          </cell>
        </row>
        <row r="942">
          <cell r="L942">
            <v>0.79861111111111116</v>
          </cell>
          <cell r="M942" t="str">
            <v>VESSEL CLOSE</v>
          </cell>
          <cell r="O942">
            <v>0.79861111111111116</v>
          </cell>
          <cell r="P942" t="str">
            <v>VESSEL CLOSE</v>
          </cell>
          <cell r="R942">
            <v>0.91666666666666663</v>
          </cell>
          <cell r="S942" t="str">
            <v>VESSEL CLOSE</v>
          </cell>
          <cell r="U942">
            <v>0.95833333333333337</v>
          </cell>
          <cell r="V942" t="str">
            <v xml:space="preserve">WAITING DELIVERY </v>
          </cell>
          <cell r="AA942">
            <v>0.83333333333333337</v>
          </cell>
          <cell r="AB942" t="str">
            <v>VESSEL CLOSE</v>
          </cell>
          <cell r="AD942">
            <v>4.1666666666666664E-2</v>
          </cell>
          <cell r="AE942" t="str">
            <v>UNABLE TO COMMENCE</v>
          </cell>
          <cell r="AG942">
            <v>0.83333333333333337</v>
          </cell>
          <cell r="AH942" t="str">
            <v>VESSEL CLOSE</v>
          </cell>
        </row>
        <row r="943">
          <cell r="L943">
            <v>0.83333333333333337</v>
          </cell>
          <cell r="M943" t="str">
            <v>VESSEL CLOSE</v>
          </cell>
          <cell r="O943">
            <v>0.83333333333333337</v>
          </cell>
          <cell r="P943" t="str">
            <v>VESSEL CLOSE</v>
          </cell>
          <cell r="R943">
            <v>0.95833333333333337</v>
          </cell>
          <cell r="S943" t="str">
            <v>VESSEL CLOSE</v>
          </cell>
          <cell r="U943">
            <v>0</v>
          </cell>
          <cell r="V943" t="str">
            <v xml:space="preserve">WAITING DELIVERY </v>
          </cell>
          <cell r="AA943">
            <v>0.875</v>
          </cell>
          <cell r="AB943" t="str">
            <v>VESSEL CLOSE</v>
          </cell>
          <cell r="AD943">
            <v>8.3333333333333329E-2</v>
          </cell>
          <cell r="AE943" t="str">
            <v>UNABLE TO COMMENCE</v>
          </cell>
          <cell r="AG943">
            <v>0.875</v>
          </cell>
          <cell r="AH943" t="str">
            <v>VESSEL CLOSE</v>
          </cell>
        </row>
        <row r="944">
          <cell r="L944">
            <v>0.875</v>
          </cell>
          <cell r="M944" t="str">
            <v>VESSEL CLOSE</v>
          </cell>
          <cell r="O944">
            <v>0.875</v>
          </cell>
          <cell r="P944" t="str">
            <v>VESSEL CLOSE</v>
          </cell>
          <cell r="R944">
            <v>0</v>
          </cell>
          <cell r="S944" t="str">
            <v>VESSEL CLOSE</v>
          </cell>
          <cell r="U944">
            <v>4.1666666666666664E-2</v>
          </cell>
          <cell r="V944" t="str">
            <v xml:space="preserve">WAITING DELIVERY </v>
          </cell>
          <cell r="AA944">
            <v>0.91666666666666663</v>
          </cell>
          <cell r="AB944" t="str">
            <v>VESSEL CLOSE</v>
          </cell>
          <cell r="AD944">
            <v>4.1666666666666664E-2</v>
          </cell>
          <cell r="AE944" t="str">
            <v>UNABLE TO COMMENCE</v>
          </cell>
          <cell r="AG944">
            <v>0.91666666666666663</v>
          </cell>
          <cell r="AH944" t="str">
            <v>VESSEL CLOSE</v>
          </cell>
        </row>
        <row r="945">
          <cell r="L945">
            <v>0.91666666666666663</v>
          </cell>
          <cell r="M945" t="str">
            <v>VESSEL CLOSE</v>
          </cell>
          <cell r="O945">
            <v>0.91666666666666663</v>
          </cell>
          <cell r="P945" t="str">
            <v>VESSEL CLOSE</v>
          </cell>
          <cell r="R945">
            <v>4.1666666666666664E-2</v>
          </cell>
          <cell r="S945" t="str">
            <v>VESSEL CLOSE</v>
          </cell>
          <cell r="U945">
            <v>8.3333333333333329E-2</v>
          </cell>
          <cell r="V945" t="str">
            <v xml:space="preserve">WAITING DELIVERY </v>
          </cell>
          <cell r="AA945">
            <v>0.95833333333333337</v>
          </cell>
          <cell r="AB945" t="str">
            <v>VESSEL CLOSE</v>
          </cell>
          <cell r="AD945">
            <v>8.3333333333333329E-2</v>
          </cell>
          <cell r="AE945" t="str">
            <v>UNABLE TO COMMENCE</v>
          </cell>
          <cell r="AG945">
            <v>0.95833333333333337</v>
          </cell>
          <cell r="AH945" t="str">
            <v>VESSEL CLOSE</v>
          </cell>
        </row>
        <row r="946">
          <cell r="L946">
            <v>0.95833333333333337</v>
          </cell>
          <cell r="M946" t="str">
            <v>VESSEL CLOSE</v>
          </cell>
          <cell r="O946">
            <v>0.95833333333333337</v>
          </cell>
          <cell r="P946" t="str">
            <v>VESSEL CLOSE</v>
          </cell>
          <cell r="R946">
            <v>8.3333333333333329E-2</v>
          </cell>
          <cell r="S946" t="str">
            <v>VESSEL CLOSE</v>
          </cell>
          <cell r="U946">
            <v>0.125</v>
          </cell>
          <cell r="V946" t="str">
            <v xml:space="preserve">WAITING DELIVERY </v>
          </cell>
          <cell r="AA946">
            <v>0</v>
          </cell>
          <cell r="AB946" t="str">
            <v>VESSEL CLOSE</v>
          </cell>
          <cell r="AD946">
            <v>0.125</v>
          </cell>
          <cell r="AE946" t="str">
            <v>UNABLE TO COMMENCE</v>
          </cell>
          <cell r="AG946">
            <v>0</v>
          </cell>
          <cell r="AH946" t="str">
            <v>VESSEL CLOSE</v>
          </cell>
        </row>
        <row r="947">
          <cell r="L947">
            <v>0</v>
          </cell>
          <cell r="M947" t="str">
            <v>VESSEL CLOSE</v>
          </cell>
          <cell r="O947">
            <v>0</v>
          </cell>
          <cell r="P947" t="str">
            <v>VESSEL CLOSE</v>
          </cell>
          <cell r="R947">
            <v>0.125</v>
          </cell>
          <cell r="S947" t="str">
            <v>VESSEL CLOSE</v>
          </cell>
          <cell r="U947">
            <v>0.16666666666666666</v>
          </cell>
          <cell r="V947" t="str">
            <v xml:space="preserve">WAITING DELIVERY </v>
          </cell>
          <cell r="AA947">
            <v>4.1666666666666664E-2</v>
          </cell>
          <cell r="AB947" t="str">
            <v>VESSEL CLOSE</v>
          </cell>
          <cell r="AD947">
            <v>0.16666666666666666</v>
          </cell>
          <cell r="AE947" t="str">
            <v>UNABLE TO COMMENCE</v>
          </cell>
          <cell r="AG947">
            <v>4.1666666666666664E-2</v>
          </cell>
          <cell r="AH947" t="str">
            <v>VESSEL CLOSE</v>
          </cell>
        </row>
        <row r="948">
          <cell r="L948">
            <v>4.1666666666666664E-2</v>
          </cell>
          <cell r="M948" t="str">
            <v>VESSEL CLOSE</v>
          </cell>
          <cell r="O948">
            <v>4.1666666666666664E-2</v>
          </cell>
          <cell r="P948" t="str">
            <v>VESSEL CLOSE</v>
          </cell>
          <cell r="R948">
            <v>0.16666666666666666</v>
          </cell>
          <cell r="S948" t="str">
            <v>VESSEL CLOSE</v>
          </cell>
          <cell r="U948">
            <v>0.20833333333333334</v>
          </cell>
          <cell r="V948" t="str">
            <v xml:space="preserve">WAITING DELIVERY </v>
          </cell>
          <cell r="AA948">
            <v>8.3333333333333329E-2</v>
          </cell>
          <cell r="AB948" t="str">
            <v>VESSEL CLOSE</v>
          </cell>
          <cell r="AD948">
            <v>0.20833333333333334</v>
          </cell>
          <cell r="AE948" t="str">
            <v>UNABLE TO COMMENCE</v>
          </cell>
          <cell r="AG948">
            <v>8.3333333333333329E-2</v>
          </cell>
          <cell r="AH948" t="str">
            <v>VESSEL CLOSE</v>
          </cell>
        </row>
        <row r="949">
          <cell r="L949">
            <v>8.3333333333333329E-2</v>
          </cell>
          <cell r="M949" t="str">
            <v>VESSEL CLOSE</v>
          </cell>
          <cell r="O949">
            <v>8.3333333333333329E-2</v>
          </cell>
          <cell r="P949" t="str">
            <v>VESSEL CLOSE</v>
          </cell>
          <cell r="R949">
            <v>0.20833333333333334</v>
          </cell>
          <cell r="S949" t="str">
            <v>VESSEL CLOSE</v>
          </cell>
          <cell r="AA949">
            <v>0.125</v>
          </cell>
          <cell r="AB949" t="str">
            <v>VESSEL CLOSE</v>
          </cell>
          <cell r="AG949">
            <v>0.125</v>
          </cell>
          <cell r="AH949" t="str">
            <v>VESSEL CLOSE</v>
          </cell>
        </row>
        <row r="950">
          <cell r="L950">
            <v>0.125</v>
          </cell>
          <cell r="M950" t="str">
            <v>VESSEL CLOSE</v>
          </cell>
          <cell r="O950">
            <v>0.125</v>
          </cell>
          <cell r="P950" t="str">
            <v>VESSEL CLOSE</v>
          </cell>
          <cell r="AA950">
            <v>0.16666666666666666</v>
          </cell>
          <cell r="AB950" t="str">
            <v>VESSEL CLOSE</v>
          </cell>
          <cell r="AG950">
            <v>0.16666666666666666</v>
          </cell>
          <cell r="AH950" t="str">
            <v>VESSEL CLOSE</v>
          </cell>
        </row>
        <row r="951">
          <cell r="L951">
            <v>0.16666666666666666</v>
          </cell>
          <cell r="M951" t="str">
            <v>VESSEL CLOSE</v>
          </cell>
          <cell r="O951">
            <v>0.16666666666666666</v>
          </cell>
          <cell r="P951" t="str">
            <v>VESSEL CLOSE</v>
          </cell>
          <cell r="AA951">
            <v>0.20833333333333334</v>
          </cell>
          <cell r="AB951" t="str">
            <v>VESSEL CLOSE</v>
          </cell>
          <cell r="AG951">
            <v>0.20833333333333334</v>
          </cell>
          <cell r="AH951" t="str">
            <v>VESSEL CLOSE</v>
          </cell>
        </row>
        <row r="952">
          <cell r="L952">
            <v>0.20833333333333334</v>
          </cell>
          <cell r="M952" t="str">
            <v>VESSEL CLOSE</v>
          </cell>
          <cell r="O952">
            <v>0.20833333333333334</v>
          </cell>
          <cell r="P952" t="str">
            <v>VESSEL CLOSE</v>
          </cell>
        </row>
        <row r="953">
          <cell r="D953" t="str">
            <v>VACANT</v>
          </cell>
          <cell r="G953" t="str">
            <v>VACANT</v>
          </cell>
          <cell r="J953" t="str">
            <v>STAR ILIGAN</v>
          </cell>
          <cell r="M953" t="str">
            <v>STAR SOGOD</v>
          </cell>
          <cell r="P953" t="str">
            <v>QUEEN CAROLYN</v>
          </cell>
          <cell r="S953" t="str">
            <v>LADY OF DIVINE GRACE</v>
          </cell>
          <cell r="V953" t="str">
            <v>NAPOLI</v>
          </cell>
          <cell r="Y953" t="str">
            <v>VACANT</v>
          </cell>
          <cell r="AB953" t="str">
            <v>SALVACION VI</v>
          </cell>
          <cell r="AE953" t="str">
            <v>LADY OF ROSARY</v>
          </cell>
          <cell r="AH953" t="str">
            <v>EFG 7</v>
          </cell>
        </row>
        <row r="954">
          <cell r="C954">
            <v>0.29166666666666669</v>
          </cell>
          <cell r="D954" t="str">
            <v>WAITING VESSEL</v>
          </cell>
          <cell r="F954">
            <v>0.29166666666666669</v>
          </cell>
          <cell r="G954" t="str">
            <v>WAITING VESSEL</v>
          </cell>
          <cell r="I954">
            <v>0.29166666666666669</v>
          </cell>
          <cell r="J954" t="str">
            <v>VESSEL COMPLETE</v>
          </cell>
          <cell r="L954">
            <v>0.29166666666666669</v>
          </cell>
          <cell r="M954" t="str">
            <v>WAITING MATERIAL</v>
          </cell>
          <cell r="O954">
            <v>0.29166666666666669</v>
          </cell>
          <cell r="P954" t="str">
            <v>WAITING MATERIAL</v>
          </cell>
          <cell r="R954">
            <v>0.29166666666666669</v>
          </cell>
          <cell r="S954" t="str">
            <v>VESSEL CLOSE</v>
          </cell>
          <cell r="U954">
            <v>0.29166666666666669</v>
          </cell>
          <cell r="V954" t="str">
            <v>WAITING MATERIAL</v>
          </cell>
          <cell r="X954">
            <v>0.29166666666666669</v>
          </cell>
          <cell r="Y954" t="str">
            <v>WAITING  VESSEL</v>
          </cell>
          <cell r="AA954">
            <v>0.29166666666666669</v>
          </cell>
          <cell r="AB954" t="str">
            <v xml:space="preserve">VESSEL CLOSE </v>
          </cell>
          <cell r="AD954">
            <v>0.29166666666666669</v>
          </cell>
          <cell r="AE954" t="str">
            <v>VESSEL UNDER REPAIR</v>
          </cell>
          <cell r="AG954">
            <v>0.29166666666666669</v>
          </cell>
          <cell r="AH954" t="str">
            <v xml:space="preserve">VESSEL CLOSE </v>
          </cell>
        </row>
        <row r="955">
          <cell r="C955">
            <v>0.33333333333333331</v>
          </cell>
          <cell r="D955" t="str">
            <v>WAITING VESSEL</v>
          </cell>
          <cell r="F955">
            <v>0.33333333333333331</v>
          </cell>
          <cell r="G955" t="str">
            <v>WAITING VESSEL</v>
          </cell>
          <cell r="I955">
            <v>0.33333333333333331</v>
          </cell>
          <cell r="J955" t="str">
            <v>VESSEL COMPLETE</v>
          </cell>
          <cell r="L955">
            <v>0.33333333333333331</v>
          </cell>
          <cell r="M955" t="str">
            <v>VESSEL OPEN HATCH</v>
          </cell>
          <cell r="O955">
            <v>0.33333333333333331</v>
          </cell>
          <cell r="P955" t="str">
            <v>VESSEL OPEN HATCH</v>
          </cell>
          <cell r="R955">
            <v>0.33333333333333331</v>
          </cell>
          <cell r="S955" t="str">
            <v>VESSEL OPEN HATCH</v>
          </cell>
          <cell r="U955">
            <v>0.33333333333333331</v>
          </cell>
          <cell r="V955" t="str">
            <v>VESSEL OPEN HATCH</v>
          </cell>
          <cell r="X955">
            <v>0.33333333333333331</v>
          </cell>
          <cell r="Y955" t="str">
            <v>WAITING  VESSEL</v>
          </cell>
          <cell r="AA955">
            <v>0.32291666666666669</v>
          </cell>
          <cell r="AB955" t="str">
            <v>VESSEL OPEN HATCH</v>
          </cell>
          <cell r="AD955">
            <v>0.33333333333333331</v>
          </cell>
          <cell r="AE955" t="str">
            <v>VESSEL UNDER REPAIR</v>
          </cell>
          <cell r="AG955">
            <v>0.33333333333333331</v>
          </cell>
          <cell r="AH955" t="str">
            <v>OPEN HATCH</v>
          </cell>
        </row>
        <row r="956">
          <cell r="C956">
            <v>0.375</v>
          </cell>
          <cell r="D956" t="str">
            <v>WAITING VESSEL</v>
          </cell>
          <cell r="F956">
            <v>0.375</v>
          </cell>
          <cell r="G956" t="str">
            <v>WAITING VESSEL</v>
          </cell>
          <cell r="I956">
            <v>0.375</v>
          </cell>
          <cell r="J956" t="str">
            <v>VESSEL COMPLETE</v>
          </cell>
          <cell r="L956">
            <v>0.34027777777777779</v>
          </cell>
          <cell r="M956" t="str">
            <v>CONDUCT KY</v>
          </cell>
          <cell r="O956">
            <v>0.34027777777777779</v>
          </cell>
          <cell r="P956" t="str">
            <v>CONDUCT KY</v>
          </cell>
          <cell r="R956">
            <v>0.34375</v>
          </cell>
          <cell r="S956" t="str">
            <v>CONDUCT KY</v>
          </cell>
          <cell r="U956">
            <v>0.34375</v>
          </cell>
          <cell r="V956" t="str">
            <v>CONDUCT KY</v>
          </cell>
          <cell r="X956">
            <v>0.375</v>
          </cell>
          <cell r="Y956" t="str">
            <v>WAITING  VESSEL</v>
          </cell>
          <cell r="AA956">
            <v>0.33333333333333331</v>
          </cell>
          <cell r="AB956" t="str">
            <v>CONDUCT KY</v>
          </cell>
          <cell r="AD956">
            <v>0.375</v>
          </cell>
          <cell r="AE956" t="str">
            <v>VESSEL UNDER REPAIR</v>
          </cell>
          <cell r="AG956">
            <v>0.34027777777777779</v>
          </cell>
          <cell r="AH956" t="str">
            <v>CONDUCT KY</v>
          </cell>
        </row>
        <row r="957">
          <cell r="C957">
            <v>0.41666666666666669</v>
          </cell>
          <cell r="D957" t="str">
            <v>WAITING VESSEL</v>
          </cell>
          <cell r="F957">
            <v>0.41666666666666669</v>
          </cell>
          <cell r="G957" t="str">
            <v>WAITING VESSEL</v>
          </cell>
          <cell r="I957">
            <v>0.41666666666666669</v>
          </cell>
          <cell r="J957" t="str">
            <v>VESSEL COMPLETE</v>
          </cell>
          <cell r="L957">
            <v>0.35902777777777778</v>
          </cell>
          <cell r="M957" t="str">
            <v>CONTINUE LOADING SLING</v>
          </cell>
          <cell r="O957">
            <v>0.37222222222222223</v>
          </cell>
          <cell r="P957" t="str">
            <v xml:space="preserve">CONTINUE LOADING </v>
          </cell>
          <cell r="R957">
            <v>0.35138888888888886</v>
          </cell>
          <cell r="S957" t="str">
            <v>CONTINUE LOADING TONNER</v>
          </cell>
          <cell r="U957">
            <v>0.34791666666666665</v>
          </cell>
          <cell r="V957" t="str">
            <v>CONTINUE LOADING SLING</v>
          </cell>
          <cell r="X957">
            <v>0.41666666666666669</v>
          </cell>
          <cell r="Y957" t="str">
            <v>WAITING  VESSEL</v>
          </cell>
          <cell r="AA957">
            <v>0.34027777777777779</v>
          </cell>
          <cell r="AB957" t="str">
            <v>CONTINUE LOADING SLING</v>
          </cell>
          <cell r="AD957">
            <v>0.41666666666666669</v>
          </cell>
          <cell r="AE957" t="str">
            <v>VESSEL CRANE UNDER REPAIR</v>
          </cell>
          <cell r="AG957">
            <v>0.34375</v>
          </cell>
          <cell r="AH957" t="str">
            <v>TEMP STOP LOADING</v>
          </cell>
        </row>
        <row r="958">
          <cell r="F958" t="str">
            <v xml:space="preserve">  </v>
          </cell>
          <cell r="G958" t="str">
            <v xml:space="preserve">  </v>
          </cell>
          <cell r="L958">
            <v>0.3888888888888889</v>
          </cell>
          <cell r="M958" t="str">
            <v>UNABLE TO START</v>
          </cell>
          <cell r="O958">
            <v>0.39791666666666664</v>
          </cell>
          <cell r="P958" t="str">
            <v xml:space="preserve">ONGOING LOADING </v>
          </cell>
          <cell r="R958">
            <v>0.36388888888888887</v>
          </cell>
          <cell r="S958" t="str">
            <v>CONTINUE LOADING TONNER</v>
          </cell>
          <cell r="U958">
            <v>0.37083333333333335</v>
          </cell>
          <cell r="V958" t="str">
            <v>CONTINUE LOADING SLING</v>
          </cell>
          <cell r="AA958">
            <v>0.36805555555555558</v>
          </cell>
          <cell r="AB958" t="str">
            <v xml:space="preserve">CONTINUE LOADING SLING </v>
          </cell>
          <cell r="AD958">
            <v>0.79166666666666663</v>
          </cell>
          <cell r="AE958" t="str">
            <v>VESSEL CRANE UNDER REPAIR</v>
          </cell>
          <cell r="AG958">
            <v>0.375</v>
          </cell>
          <cell r="AH958" t="str">
            <v>TEMP STOP LOADING</v>
          </cell>
        </row>
        <row r="959">
          <cell r="F959" t="str">
            <v xml:space="preserve">  </v>
          </cell>
          <cell r="G959" t="str">
            <v xml:space="preserve">  </v>
          </cell>
          <cell r="I959" t="str">
            <v xml:space="preserve"> </v>
          </cell>
          <cell r="L959">
            <v>0.79166666666666663</v>
          </cell>
          <cell r="M959" t="str">
            <v>KY TOOLBOX</v>
          </cell>
          <cell r="O959">
            <v>0.40694444444444444</v>
          </cell>
          <cell r="P959" t="str">
            <v>WAITING MATERIAL</v>
          </cell>
          <cell r="R959">
            <v>0.40138888888888891</v>
          </cell>
          <cell r="S959" t="str">
            <v>CONTINUE LOADING SLING</v>
          </cell>
          <cell r="U959">
            <v>0.39583333333333331</v>
          </cell>
          <cell r="V959" t="str">
            <v xml:space="preserve">ONGOING LOADING </v>
          </cell>
          <cell r="AA959">
            <v>0.3923611111111111</v>
          </cell>
          <cell r="AB959" t="str">
            <v>CONTINUE LOADING SLING</v>
          </cell>
          <cell r="AG959">
            <v>0.41666666666666669</v>
          </cell>
          <cell r="AH959" t="str">
            <v>TEMP STOP LOADING</v>
          </cell>
        </row>
        <row r="960">
          <cell r="L960">
            <v>0.80555555555555558</v>
          </cell>
          <cell r="M960" t="str">
            <v>UNABLE TO RESUME</v>
          </cell>
          <cell r="O960">
            <v>0.56597222222222221</v>
          </cell>
          <cell r="P960" t="str">
            <v xml:space="preserve">RESUME LOADING </v>
          </cell>
          <cell r="R960">
            <v>0.41736111111111113</v>
          </cell>
          <cell r="S960" t="str">
            <v xml:space="preserve">ONGOING LOADING </v>
          </cell>
          <cell r="U960">
            <v>0.41736111111111113</v>
          </cell>
          <cell r="V960" t="str">
            <v xml:space="preserve">CONTINUE LOADING </v>
          </cell>
          <cell r="AA960">
            <v>0.40972222222222221</v>
          </cell>
          <cell r="AB960" t="str">
            <v>WAITING MATERIAL</v>
          </cell>
          <cell r="AG960">
            <v>0.79166666666666663</v>
          </cell>
          <cell r="AH960" t="str">
            <v>KY TOOLBOX</v>
          </cell>
        </row>
        <row r="961">
          <cell r="L961">
            <v>0.83402777777777781</v>
          </cell>
          <cell r="M961" t="str">
            <v>UNABLE TO RESUME</v>
          </cell>
          <cell r="O961">
            <v>0.57638888888888884</v>
          </cell>
          <cell r="P961" t="str">
            <v xml:space="preserve">ONGOING LOADING </v>
          </cell>
          <cell r="R961">
            <v>0.44097222222222221</v>
          </cell>
          <cell r="S961" t="str">
            <v>LOADING COMPLETE</v>
          </cell>
          <cell r="U961">
            <v>0.44097222222222221</v>
          </cell>
          <cell r="V961" t="str">
            <v>LOADING COMPLETE</v>
          </cell>
          <cell r="AA961">
            <v>0.4513888888888889</v>
          </cell>
          <cell r="AB961" t="str">
            <v>CONTINUE LOADING SLING</v>
          </cell>
          <cell r="AG961">
            <v>0.80902777777777779</v>
          </cell>
          <cell r="AH961" t="str">
            <v>UNABLE TO RESUME</v>
          </cell>
        </row>
        <row r="962">
          <cell r="L962">
            <v>0.89097222222222228</v>
          </cell>
          <cell r="M962" t="str">
            <v>UNABLE TO RESUME</v>
          </cell>
          <cell r="O962">
            <v>0.59236111111111112</v>
          </cell>
          <cell r="P962" t="str">
            <v xml:space="preserve">CONTINUE LOADING </v>
          </cell>
          <cell r="U962">
            <v>0.66666666666666663</v>
          </cell>
          <cell r="V962" t="str">
            <v xml:space="preserve">ADOLFO SR </v>
          </cell>
          <cell r="AA962">
            <v>0.46875</v>
          </cell>
          <cell r="AB962" t="str">
            <v>WAITING MATERIAL</v>
          </cell>
          <cell r="AG962">
            <v>0.95972222222222225</v>
          </cell>
          <cell r="AH962" t="str">
            <v>UNABLE TO RESUME</v>
          </cell>
        </row>
        <row r="963">
          <cell r="L963">
            <v>0.91736111111111107</v>
          </cell>
          <cell r="M963" t="str">
            <v>UNABLE TO RESUME</v>
          </cell>
          <cell r="O963">
            <v>0.61111111111111116</v>
          </cell>
          <cell r="P963" t="str">
            <v xml:space="preserve">ONGOING LOADING </v>
          </cell>
          <cell r="U963">
            <v>0.79166666666666663</v>
          </cell>
          <cell r="V963" t="str">
            <v>KY TOOLBOX</v>
          </cell>
          <cell r="AA963">
            <v>0.57638888888888884</v>
          </cell>
          <cell r="AB963" t="str">
            <v xml:space="preserve">RESUME LOADING </v>
          </cell>
          <cell r="AG963">
            <v>5.6944444444444443E-2</v>
          </cell>
          <cell r="AH963" t="str">
            <v>UNABLE TO RESUME</v>
          </cell>
        </row>
        <row r="964">
          <cell r="L964">
            <v>0.97361111111111109</v>
          </cell>
          <cell r="M964" t="str">
            <v>UNABLE TO RESUME</v>
          </cell>
          <cell r="O964">
            <v>0.79166666666666663</v>
          </cell>
          <cell r="P964" t="str">
            <v>KY TOOLBOX</v>
          </cell>
          <cell r="U964">
            <v>0.80486111111111114</v>
          </cell>
          <cell r="V964" t="str">
            <v>COMMENCE LOADING LOOSEBAG</v>
          </cell>
          <cell r="AA964">
            <v>0.59861111111111109</v>
          </cell>
          <cell r="AB964" t="str">
            <v xml:space="preserve">ONGOING LOADING </v>
          </cell>
          <cell r="AG964">
            <v>9.4444444444444442E-2</v>
          </cell>
          <cell r="AH964" t="str">
            <v>UNABLE TO RESUME</v>
          </cell>
        </row>
        <row r="965">
          <cell r="L965">
            <v>6.9444444444444447E-4</v>
          </cell>
          <cell r="M965" t="str">
            <v>UNABLE TO RESUME</v>
          </cell>
          <cell r="O965">
            <v>0.80902777777777779</v>
          </cell>
          <cell r="P965" t="str">
            <v xml:space="preserve">CONTINUE LOADING </v>
          </cell>
          <cell r="U965">
            <v>0.84722222222222221</v>
          </cell>
          <cell r="V965" t="str">
            <v>CONTINUE LOADING LOOSEBAG</v>
          </cell>
          <cell r="AA965">
            <v>0.64652777777777781</v>
          </cell>
          <cell r="AB965" t="str">
            <v xml:space="preserve">CONTINUE LOADING </v>
          </cell>
          <cell r="AG965">
            <v>0.12569444444444444</v>
          </cell>
          <cell r="AH965" t="str">
            <v>UNABLE TO RESUME</v>
          </cell>
        </row>
        <row r="966">
          <cell r="L966">
            <v>4.8611111111111112E-2</v>
          </cell>
          <cell r="M966" t="str">
            <v>UNABLE TO RESUME</v>
          </cell>
          <cell r="O966">
            <v>0.84027777777777779</v>
          </cell>
          <cell r="P966" t="str">
            <v xml:space="preserve">CONTINUE LOADING </v>
          </cell>
          <cell r="U966">
            <v>0.94097222222222221</v>
          </cell>
          <cell r="V966" t="str">
            <v>CONTINUE LOADING LOOSEBAG</v>
          </cell>
          <cell r="AA966">
            <v>0.66527777777777775</v>
          </cell>
          <cell r="AB966" t="str">
            <v xml:space="preserve">ONGOING LOADING </v>
          </cell>
          <cell r="AG966">
            <v>0.18055555555555555</v>
          </cell>
          <cell r="AH966" t="str">
            <v>UNABLE TO RESUME</v>
          </cell>
        </row>
        <row r="967">
          <cell r="L967">
            <v>9.3055555555555558E-2</v>
          </cell>
          <cell r="M967" t="str">
            <v>UNABLE TO RESUME</v>
          </cell>
          <cell r="O967">
            <v>0.88541666666666663</v>
          </cell>
          <cell r="P967" t="str">
            <v>CONTINUE LOADING</v>
          </cell>
          <cell r="U967">
            <v>0.96666666666666667</v>
          </cell>
          <cell r="V967" t="str">
            <v xml:space="preserve">WAITING DELIVERY </v>
          </cell>
          <cell r="AA967">
            <v>0.69930555555555551</v>
          </cell>
          <cell r="AB967" t="str">
            <v xml:space="preserve">CONTINUE LOADING </v>
          </cell>
          <cell r="AG967">
            <v>0.22916666666666666</v>
          </cell>
          <cell r="AH967" t="str">
            <v>UNABLE TO RESUME</v>
          </cell>
        </row>
        <row r="968">
          <cell r="L968">
            <v>0.13263888888888889</v>
          </cell>
          <cell r="M968" t="str">
            <v>UNABLE TO RESUME</v>
          </cell>
          <cell r="O968">
            <v>0.93055555555555558</v>
          </cell>
          <cell r="P968" t="str">
            <v xml:space="preserve">CONTINUE LOADING </v>
          </cell>
          <cell r="U968">
            <v>8.3333333333333332E-3</v>
          </cell>
          <cell r="V968" t="str">
            <v xml:space="preserve">WAITING DELIVERY </v>
          </cell>
          <cell r="AA968">
            <v>0.72083333333333333</v>
          </cell>
          <cell r="AB968" t="str">
            <v xml:space="preserve">ONGOING LOADING </v>
          </cell>
        </row>
        <row r="969">
          <cell r="L969">
            <v>0.19027777777777777</v>
          </cell>
          <cell r="M969" t="str">
            <v>UNABLE TO RESUME</v>
          </cell>
          <cell r="O969">
            <v>0.96527777777777779</v>
          </cell>
          <cell r="P969" t="str">
            <v>CONTINUE LOADING</v>
          </cell>
          <cell r="U969">
            <v>5.6944444444444443E-2</v>
          </cell>
          <cell r="V969" t="str">
            <v xml:space="preserve">WAITING DELIVERY </v>
          </cell>
          <cell r="AA969">
            <v>0.79166666666666663</v>
          </cell>
          <cell r="AB969" t="str">
            <v>KY TOOLBOX</v>
          </cell>
        </row>
        <row r="970">
          <cell r="L970">
            <v>0.22916666666666666</v>
          </cell>
          <cell r="M970" t="str">
            <v>UNABLE TO RESUME</v>
          </cell>
          <cell r="O970">
            <v>1.3888888888888889E-3</v>
          </cell>
          <cell r="P970" t="str">
            <v xml:space="preserve">CONTINUE LOADING </v>
          </cell>
          <cell r="U970">
            <v>9.166666666666666E-2</v>
          </cell>
          <cell r="V970" t="str">
            <v xml:space="preserve">WAITING DELIVERY </v>
          </cell>
          <cell r="AA970">
            <v>0.80555555555555558</v>
          </cell>
          <cell r="AB970" t="str">
            <v>WAITING DELIVERY</v>
          </cell>
        </row>
        <row r="971">
          <cell r="O971">
            <v>7.013888888888889E-2</v>
          </cell>
          <cell r="P971" t="str">
            <v>CONTINUE LOADING</v>
          </cell>
          <cell r="U971">
            <v>0.12638888888888888</v>
          </cell>
          <cell r="V971" t="str">
            <v xml:space="preserve">WAITING DELIVERY </v>
          </cell>
          <cell r="AA971">
            <v>0.95833333333333337</v>
          </cell>
          <cell r="AB971" t="str">
            <v>WAITING DELIVERY</v>
          </cell>
        </row>
        <row r="972">
          <cell r="O972">
            <v>0.10069444444444445</v>
          </cell>
          <cell r="P972" t="str">
            <v>CONTINUE LOADIN G</v>
          </cell>
          <cell r="U972">
            <v>0.1736111111111111</v>
          </cell>
          <cell r="V972" t="str">
            <v xml:space="preserve">WAITING DELIVERY </v>
          </cell>
          <cell r="AA972">
            <v>0.125</v>
          </cell>
          <cell r="AB972" t="str">
            <v xml:space="preserve">VESSEL CLOSE </v>
          </cell>
        </row>
        <row r="973">
          <cell r="O973">
            <v>0.16666666666666666</v>
          </cell>
          <cell r="P973" t="str">
            <v>COMPLETE LOADING</v>
          </cell>
          <cell r="U973">
            <v>0.22916666666666666</v>
          </cell>
          <cell r="V973" t="str">
            <v xml:space="preserve">WAITING DELIVERY </v>
          </cell>
          <cell r="AA973">
            <v>0.21180555555555555</v>
          </cell>
          <cell r="AB973" t="str">
            <v>RESUME LOADING</v>
          </cell>
        </row>
        <row r="974">
          <cell r="AA974">
            <v>0.2361111111111111</v>
          </cell>
          <cell r="AB974" t="str">
            <v>CONTINUE LOADING</v>
          </cell>
        </row>
        <row r="975">
          <cell r="AA975">
            <v>0.24305555555555555</v>
          </cell>
          <cell r="AB975" t="str">
            <v>COMPLETE LOADING</v>
          </cell>
        </row>
        <row r="976">
          <cell r="D976" t="str">
            <v>VACANT</v>
          </cell>
          <cell r="G976" t="str">
            <v>VACANT</v>
          </cell>
          <cell r="J976" t="str">
            <v>LADY UNO</v>
          </cell>
          <cell r="M976" t="str">
            <v>STAR SOGOD</v>
          </cell>
          <cell r="P976" t="str">
            <v>EFG 7</v>
          </cell>
          <cell r="S976" t="str">
            <v>VACANT</v>
          </cell>
          <cell r="V976" t="str">
            <v>ADOLFO SR.</v>
          </cell>
          <cell r="Y976" t="str">
            <v>EMERALD STAR</v>
          </cell>
          <cell r="AB976" t="str">
            <v>LADY OF ROSARY</v>
          </cell>
          <cell r="AE976" t="str">
            <v>STAR FREEDOM</v>
          </cell>
          <cell r="AH976" t="str">
            <v>VACANT</v>
          </cell>
        </row>
        <row r="977">
          <cell r="C977">
            <v>0.29166666666666669</v>
          </cell>
          <cell r="D977" t="str">
            <v>WAITING VESSEL</v>
          </cell>
          <cell r="F977">
            <v>0.29166666666666669</v>
          </cell>
          <cell r="G977" t="str">
            <v>WAITING VESSEL</v>
          </cell>
          <cell r="I977">
            <v>0.29166666666666669</v>
          </cell>
          <cell r="J977" t="str">
            <v>WAITING VESSEL</v>
          </cell>
          <cell r="L977">
            <v>0.29166666666666669</v>
          </cell>
          <cell r="M977" t="str">
            <v>UNABLE TO LOAD</v>
          </cell>
          <cell r="O977">
            <v>0.29166666666666669</v>
          </cell>
          <cell r="P977" t="str">
            <v xml:space="preserve">SHIFTING BERTH </v>
          </cell>
          <cell r="R977">
            <v>0.29166666666666669</v>
          </cell>
          <cell r="S977" t="str">
            <v>WAITING VESSEL</v>
          </cell>
          <cell r="U977">
            <v>0.29166666666666669</v>
          </cell>
          <cell r="V977" t="str">
            <v xml:space="preserve">VESSEL CLOSE </v>
          </cell>
          <cell r="X977">
            <v>0.29166666666666669</v>
          </cell>
          <cell r="Y977" t="str">
            <v>WAITING MATERIAL</v>
          </cell>
          <cell r="AA977">
            <v>0.29166666666666669</v>
          </cell>
          <cell r="AB977" t="str">
            <v>WAITING MATERIAL</v>
          </cell>
          <cell r="AD977">
            <v>0.29166666666666669</v>
          </cell>
          <cell r="AE977" t="str">
            <v>NO BOOKING</v>
          </cell>
          <cell r="AG977">
            <v>0.29166666666666669</v>
          </cell>
          <cell r="AH977" t="str">
            <v xml:space="preserve">VACANT </v>
          </cell>
        </row>
        <row r="978">
          <cell r="C978">
            <v>0.54166666666666663</v>
          </cell>
          <cell r="D978" t="str">
            <v>VACANT</v>
          </cell>
          <cell r="F978">
            <v>0.54166666666666663</v>
          </cell>
          <cell r="G978" t="str">
            <v>VACANT</v>
          </cell>
          <cell r="I978">
            <v>0.54166666666666663</v>
          </cell>
          <cell r="J978" t="str">
            <v>VACANT</v>
          </cell>
          <cell r="L978">
            <v>0.3298611111111111</v>
          </cell>
          <cell r="M978" t="str">
            <v>CONDUCT KY</v>
          </cell>
          <cell r="O978">
            <v>0.46111111111111114</v>
          </cell>
          <cell r="P978" t="str">
            <v xml:space="preserve">RESUME LOADING </v>
          </cell>
          <cell r="R978">
            <v>0.54166666666666663</v>
          </cell>
          <cell r="S978" t="str">
            <v>VACANT</v>
          </cell>
          <cell r="U978">
            <v>0.45833333333333331</v>
          </cell>
          <cell r="V978" t="str">
            <v xml:space="preserve">RESUME LOADING </v>
          </cell>
          <cell r="X978">
            <v>0.54166666666666663</v>
          </cell>
          <cell r="Y978" t="str">
            <v>WAITING FORKLIFT</v>
          </cell>
          <cell r="AA978">
            <v>0.44166666666666665</v>
          </cell>
          <cell r="AB978" t="str">
            <v xml:space="preserve">RESUME LOADING </v>
          </cell>
          <cell r="AD978">
            <v>0.75</v>
          </cell>
          <cell r="AE978" t="str">
            <v xml:space="preserve">WAITING FL ONBOARD </v>
          </cell>
        </row>
        <row r="979">
          <cell r="I979">
            <v>0.79166666666666663</v>
          </cell>
          <cell r="J979" t="str">
            <v>KY TOOLBOX</v>
          </cell>
          <cell r="L979">
            <v>0.34583333333333333</v>
          </cell>
          <cell r="M979" t="str">
            <v xml:space="preserve">RESUME LOADING </v>
          </cell>
          <cell r="O979">
            <v>0.47569444444444442</v>
          </cell>
          <cell r="P979" t="str">
            <v xml:space="preserve">CONTINUE LOADING </v>
          </cell>
          <cell r="U979">
            <v>0.5</v>
          </cell>
          <cell r="V979" t="str">
            <v>LUNCHBREAK</v>
          </cell>
          <cell r="X979">
            <v>0.71527777777777779</v>
          </cell>
          <cell r="Y979" t="str">
            <v xml:space="preserve">COMMENCE LOADING </v>
          </cell>
          <cell r="AA979">
            <v>0.5</v>
          </cell>
          <cell r="AB979" t="str">
            <v>LUNCHBREAK</v>
          </cell>
          <cell r="AD979">
            <v>0.79166666666666663</v>
          </cell>
          <cell r="AE979" t="str">
            <v>KY TOOLBOX</v>
          </cell>
        </row>
        <row r="980">
          <cell r="I980">
            <v>0.22916666666666666</v>
          </cell>
          <cell r="J980" t="str">
            <v>WAITING AVAILABLE FORKLIFT ONBOARD</v>
          </cell>
          <cell r="L980">
            <v>0.375</v>
          </cell>
          <cell r="M980" t="str">
            <v xml:space="preserve">ONGOING LOADING </v>
          </cell>
          <cell r="O980">
            <v>0.5</v>
          </cell>
          <cell r="P980" t="str">
            <v>LUNCHBREAK</v>
          </cell>
          <cell r="U980">
            <v>0.54166666666666663</v>
          </cell>
          <cell r="V980" t="str">
            <v xml:space="preserve">RESUME LOADING </v>
          </cell>
          <cell r="X980">
            <v>0.74305555555555558</v>
          </cell>
          <cell r="Y980" t="str">
            <v xml:space="preserve">CONTINUE LOADING </v>
          </cell>
          <cell r="AA980">
            <v>0.56458333333333333</v>
          </cell>
          <cell r="AB980" t="str">
            <v xml:space="preserve">RESUME LOADING </v>
          </cell>
          <cell r="AD980">
            <v>0.80902777777777779</v>
          </cell>
          <cell r="AE980" t="str">
            <v>ONGOING ONBARD FORKLIFT</v>
          </cell>
        </row>
        <row r="981">
          <cell r="L981">
            <v>0.38541666666666669</v>
          </cell>
          <cell r="M981" t="str">
            <v xml:space="preserve">CONTINUE LOADING </v>
          </cell>
          <cell r="O981">
            <v>0.56805555555555554</v>
          </cell>
          <cell r="P981" t="str">
            <v xml:space="preserve">RESUME LOADING </v>
          </cell>
          <cell r="U981">
            <v>0.62222222222222223</v>
          </cell>
          <cell r="V981" t="str">
            <v xml:space="preserve">CONTINUE LOADING </v>
          </cell>
          <cell r="X981">
            <v>0.75</v>
          </cell>
          <cell r="Y981" t="str">
            <v>VESSEL BREAK</v>
          </cell>
          <cell r="AA981">
            <v>0.58125000000000004</v>
          </cell>
          <cell r="AB981" t="str">
            <v xml:space="preserve">ONGOING LOADING </v>
          </cell>
          <cell r="AD981">
            <v>0.91527777777777775</v>
          </cell>
          <cell r="AE981" t="str">
            <v xml:space="preserve">COMMENCE LOADING </v>
          </cell>
        </row>
        <row r="982">
          <cell r="L982">
            <v>0.41388888888888886</v>
          </cell>
          <cell r="M982" t="str">
            <v xml:space="preserve">ONGOING LOADING </v>
          </cell>
          <cell r="O982">
            <v>0.58819444444444446</v>
          </cell>
          <cell r="P982" t="str">
            <v xml:space="preserve">ONGOING LOADING </v>
          </cell>
          <cell r="U982">
            <v>0.68263888888888891</v>
          </cell>
          <cell r="V982" t="str">
            <v xml:space="preserve">ONGOING LOADING </v>
          </cell>
          <cell r="X982">
            <v>0.79166666666666663</v>
          </cell>
          <cell r="Y982" t="str">
            <v>KY TOOLBOX</v>
          </cell>
          <cell r="AA982">
            <v>0.61388888888888893</v>
          </cell>
          <cell r="AB982" t="str">
            <v xml:space="preserve">ONGOING LOADING </v>
          </cell>
          <cell r="AD982">
            <v>0.92569444444444449</v>
          </cell>
          <cell r="AE982" t="str">
            <v>CONTINUE LOADING</v>
          </cell>
        </row>
        <row r="983">
          <cell r="L983">
            <v>0.43263888888888891</v>
          </cell>
          <cell r="M983" t="str">
            <v xml:space="preserve">CONTINUE LOADING </v>
          </cell>
          <cell r="O983">
            <v>0.60624999999999996</v>
          </cell>
          <cell r="P983" t="str">
            <v xml:space="preserve">CONTINUE LOADING </v>
          </cell>
          <cell r="U983">
            <v>0.75</v>
          </cell>
          <cell r="V983" t="str">
            <v>VESSEL BREAK</v>
          </cell>
          <cell r="X983">
            <v>0.80763888888888891</v>
          </cell>
          <cell r="Y983" t="str">
            <v xml:space="preserve">RESUME LOADING </v>
          </cell>
          <cell r="AA983">
            <v>0.63749999999999996</v>
          </cell>
          <cell r="AB983" t="str">
            <v xml:space="preserve">CONTINUE LOADING </v>
          </cell>
          <cell r="AD983">
            <v>0.95902777777777781</v>
          </cell>
          <cell r="AE983" t="str">
            <v>CONTINUE LOADING</v>
          </cell>
        </row>
        <row r="984">
          <cell r="L984">
            <v>0.45902777777777776</v>
          </cell>
          <cell r="M984" t="str">
            <v xml:space="preserve">CONTINUE LOADING </v>
          </cell>
          <cell r="O984">
            <v>0.63263888888888886</v>
          </cell>
          <cell r="P984" t="str">
            <v xml:space="preserve">ONGOING LOADING </v>
          </cell>
          <cell r="U984">
            <v>0.79166666666666663</v>
          </cell>
          <cell r="V984" t="str">
            <v>KY TOOLBOX</v>
          </cell>
          <cell r="X984">
            <v>0.86805555555555558</v>
          </cell>
          <cell r="Y984" t="str">
            <v xml:space="preserve">CONTINUE LOADING </v>
          </cell>
          <cell r="AA984">
            <v>0.67708333333333337</v>
          </cell>
          <cell r="AB984" t="str">
            <v xml:space="preserve">ONGOING LOADING </v>
          </cell>
          <cell r="AD984">
            <v>6.9444444444444447E-4</v>
          </cell>
          <cell r="AE984" t="str">
            <v xml:space="preserve">CONTINUE LOADING </v>
          </cell>
        </row>
        <row r="985">
          <cell r="L985">
            <v>0.46527777777777779</v>
          </cell>
          <cell r="M985" t="str">
            <v>WAITING LAPU LAPU</v>
          </cell>
          <cell r="O985">
            <v>0.70277777777777772</v>
          </cell>
          <cell r="P985" t="str">
            <v xml:space="preserve">CONTINUE LOADING </v>
          </cell>
          <cell r="U985">
            <v>0.81180555555555556</v>
          </cell>
          <cell r="V985" t="str">
            <v xml:space="preserve">RESUME LOADING </v>
          </cell>
          <cell r="X985">
            <v>0.88680555555555551</v>
          </cell>
          <cell r="Y985" t="str">
            <v xml:space="preserve">CONTINUE LOADING </v>
          </cell>
          <cell r="AA985">
            <v>0.71180555555555558</v>
          </cell>
          <cell r="AB985" t="str">
            <v>WAITING FL ONBOARD</v>
          </cell>
          <cell r="AD985">
            <v>6.9444444444444448E-2</v>
          </cell>
          <cell r="AE985" t="str">
            <v>CONTINUE LOADING</v>
          </cell>
        </row>
        <row r="986">
          <cell r="L986">
            <v>0.5</v>
          </cell>
          <cell r="M986" t="str">
            <v>LUCNHBREAK</v>
          </cell>
          <cell r="O986">
            <v>0.72291666666666665</v>
          </cell>
          <cell r="P986" t="str">
            <v xml:space="preserve">ONGOING LOADING </v>
          </cell>
          <cell r="U986">
            <v>0.83750000000000002</v>
          </cell>
          <cell r="V986" t="str">
            <v>CONTINUE LOADING</v>
          </cell>
          <cell r="X986">
            <v>0.9506944444444444</v>
          </cell>
          <cell r="Y986" t="str">
            <v>CONTINUE LOADING</v>
          </cell>
          <cell r="AA986">
            <v>0.79166666666666663</v>
          </cell>
          <cell r="AB986" t="str">
            <v>KY TOOLBOX</v>
          </cell>
          <cell r="AD986">
            <v>0.10416666666666667</v>
          </cell>
          <cell r="AE986" t="str">
            <v>CONTINUE LOADING</v>
          </cell>
        </row>
        <row r="987">
          <cell r="L987">
            <v>0.55486111111111114</v>
          </cell>
          <cell r="M987" t="str">
            <v xml:space="preserve">RESUME LOADING </v>
          </cell>
          <cell r="O987">
            <v>0.75</v>
          </cell>
          <cell r="P987" t="str">
            <v>VESSEL BREAK</v>
          </cell>
          <cell r="U987">
            <v>0.87986111111111109</v>
          </cell>
          <cell r="V987" t="str">
            <v>CONTINUE LOADING</v>
          </cell>
          <cell r="X987">
            <v>0.97361111111111109</v>
          </cell>
          <cell r="Y987" t="str">
            <v>WAITING FL ONBOARD</v>
          </cell>
          <cell r="AA987">
            <v>0.80555555555555558</v>
          </cell>
          <cell r="AB987" t="str">
            <v>WAITING FL ONBOARD</v>
          </cell>
          <cell r="AD987">
            <v>0.12847222222222221</v>
          </cell>
          <cell r="AE987" t="str">
            <v xml:space="preserve">CONTINUE LOADING </v>
          </cell>
        </row>
        <row r="988">
          <cell r="L988">
            <v>0.56944444444444442</v>
          </cell>
          <cell r="M988" t="str">
            <v>LOADING COMPLETE</v>
          </cell>
          <cell r="O988">
            <v>0.79166666666666663</v>
          </cell>
          <cell r="P988" t="str">
            <v>KY TOOLBOX</v>
          </cell>
          <cell r="U988">
            <v>0.91736111111111107</v>
          </cell>
          <cell r="V988" t="str">
            <v>COTINUE LOADING</v>
          </cell>
          <cell r="X988">
            <v>1.5277777777777777E-2</v>
          </cell>
          <cell r="Y988" t="str">
            <v>CONTINUE LOADING</v>
          </cell>
          <cell r="AA988">
            <v>0.84513888888888888</v>
          </cell>
          <cell r="AB988" t="str">
            <v>WAITING FL ONBOARD</v>
          </cell>
          <cell r="AD988">
            <v>0.1673611111111111</v>
          </cell>
          <cell r="AE988" t="str">
            <v xml:space="preserve">CONTINUE LOADING </v>
          </cell>
        </row>
        <row r="989">
          <cell r="L989">
            <v>0.65972222222222221</v>
          </cell>
          <cell r="M989" t="str">
            <v>VESSEL PULLOUT</v>
          </cell>
          <cell r="O989">
            <v>0.80902777777777779</v>
          </cell>
          <cell r="P989" t="str">
            <v>RESUME LOADING</v>
          </cell>
          <cell r="U989">
            <v>0.95833333333333337</v>
          </cell>
          <cell r="V989" t="str">
            <v>CONTINUE LOADING</v>
          </cell>
          <cell r="X989">
            <v>0.14583333333333334</v>
          </cell>
          <cell r="Y989" t="str">
            <v xml:space="preserve">CONTINUE LOADING </v>
          </cell>
          <cell r="AA989">
            <v>0.875</v>
          </cell>
          <cell r="AB989" t="str">
            <v>WAITING FL ONBOARD</v>
          </cell>
          <cell r="AD989">
            <v>0.22916666666666666</v>
          </cell>
          <cell r="AE989" t="str">
            <v>WAITING DELIVERY</v>
          </cell>
        </row>
        <row r="990">
          <cell r="O990">
            <v>0.85555555555555551</v>
          </cell>
          <cell r="P990" t="str">
            <v xml:space="preserve">CONTINUE LOADING </v>
          </cell>
          <cell r="U990">
            <v>9.8611111111111108E-2</v>
          </cell>
          <cell r="V990" t="str">
            <v>CONTINUE LOADING</v>
          </cell>
          <cell r="X990">
            <v>0.1736111111111111</v>
          </cell>
          <cell r="Y990" t="str">
            <v xml:space="preserve">CONTINUE LOADING </v>
          </cell>
          <cell r="AA990">
            <v>0.93958333333333333</v>
          </cell>
          <cell r="AB990" t="str">
            <v>WAITING FL ONBOARD</v>
          </cell>
        </row>
        <row r="991">
          <cell r="O991">
            <v>0.87777777777777777</v>
          </cell>
          <cell r="P991" t="str">
            <v xml:space="preserve">CONTINUE LOADING </v>
          </cell>
          <cell r="U991">
            <v>0.13541666666666666</v>
          </cell>
          <cell r="V991" t="str">
            <v xml:space="preserve">CONTINUE LOADING </v>
          </cell>
          <cell r="X991">
            <v>0.22361111111111112</v>
          </cell>
          <cell r="Y991" t="str">
            <v xml:space="preserve">CONTINUE LOADING </v>
          </cell>
          <cell r="AA991">
            <v>0.97847222222222219</v>
          </cell>
          <cell r="AB991" t="str">
            <v xml:space="preserve">RESUME LOADING </v>
          </cell>
        </row>
        <row r="992">
          <cell r="O992">
            <v>0.91666666666666663</v>
          </cell>
          <cell r="P992" t="str">
            <v xml:space="preserve">CONTINUE LOADING </v>
          </cell>
          <cell r="U992">
            <v>0.1986111111111111</v>
          </cell>
          <cell r="V992" t="str">
            <v>CONTINUE LOADING</v>
          </cell>
          <cell r="AA992">
            <v>9.8611111111111108E-2</v>
          </cell>
          <cell r="AB992" t="str">
            <v>CONTINUE LOADING</v>
          </cell>
        </row>
        <row r="993">
          <cell r="O993">
            <v>0.96527777777777779</v>
          </cell>
          <cell r="P993" t="str">
            <v>CONTINUE LOADING</v>
          </cell>
          <cell r="U993">
            <v>0.22708333333333333</v>
          </cell>
          <cell r="V993" t="str">
            <v>COTINUE LOADING</v>
          </cell>
          <cell r="AA993">
            <v>0.13263888888888889</v>
          </cell>
          <cell r="AB993" t="str">
            <v>CONTINUE LOADING</v>
          </cell>
        </row>
        <row r="994">
          <cell r="O994">
            <v>4.8611111111111112E-2</v>
          </cell>
          <cell r="P994" t="str">
            <v>CONTINUE LOADING</v>
          </cell>
          <cell r="AA994">
            <v>0.2</v>
          </cell>
          <cell r="AB994" t="str">
            <v xml:space="preserve">CONTINUE LOADING </v>
          </cell>
        </row>
        <row r="995">
          <cell r="O995">
            <v>0.11388888888888889</v>
          </cell>
          <cell r="P995" t="str">
            <v xml:space="preserve">CONTINUE LOADING </v>
          </cell>
          <cell r="AA995">
            <v>0.22916666666666666</v>
          </cell>
          <cell r="AB995" t="str">
            <v>FOR PULL OUT FORKLIFT ONBOARD</v>
          </cell>
        </row>
        <row r="996">
          <cell r="O996">
            <v>0.1361111111111111</v>
          </cell>
          <cell r="P996" t="str">
            <v xml:space="preserve">CONTINUE LOADING </v>
          </cell>
        </row>
        <row r="997">
          <cell r="O997">
            <v>0.1875</v>
          </cell>
          <cell r="P997" t="str">
            <v xml:space="preserve">CONTINUE LOADING </v>
          </cell>
        </row>
        <row r="998">
          <cell r="O998">
            <v>0.22916666666666666</v>
          </cell>
          <cell r="P998" t="str">
            <v xml:space="preserve">CONTINUE LOADING </v>
          </cell>
        </row>
        <row r="999">
          <cell r="D999" t="str">
            <v>VACANT</v>
          </cell>
          <cell r="G999" t="str">
            <v>VACANT</v>
          </cell>
          <cell r="J999" t="str">
            <v>LADY UNO</v>
          </cell>
          <cell r="M999" t="str">
            <v>LADY OF WISDOM</v>
          </cell>
          <cell r="P999" t="str">
            <v>EFG 7</v>
          </cell>
          <cell r="S999" t="str">
            <v>LADY OF REMEDY</v>
          </cell>
          <cell r="V999" t="str">
            <v>ADOLFO SR</v>
          </cell>
          <cell r="Y999" t="str">
            <v xml:space="preserve">EMERALD STAR </v>
          </cell>
          <cell r="AB999" t="str">
            <v>LADY OF ROSARY</v>
          </cell>
          <cell r="AE999" t="str">
            <v>STAR FREEDOM</v>
          </cell>
          <cell r="AH999" t="str">
            <v>VACANT</v>
          </cell>
        </row>
        <row r="1000">
          <cell r="C1000">
            <v>0.29166666666666669</v>
          </cell>
          <cell r="D1000" t="str">
            <v>VACANT</v>
          </cell>
          <cell r="F1000">
            <v>0.29166666666666669</v>
          </cell>
          <cell r="G1000" t="str">
            <v>VACANT</v>
          </cell>
          <cell r="I1000">
            <v>0.29166666666666669</v>
          </cell>
          <cell r="J1000" t="str">
            <v>KY TOOLBOX</v>
          </cell>
          <cell r="L1000">
            <v>0.50555555555555554</v>
          </cell>
          <cell r="M1000" t="str">
            <v>DOCKED &amp; SECURED</v>
          </cell>
          <cell r="O1000">
            <v>0.29166666666666669</v>
          </cell>
          <cell r="P1000" t="str">
            <v>KY TOOLBOX</v>
          </cell>
          <cell r="R1000">
            <v>0.58680555555555558</v>
          </cell>
          <cell r="S1000" t="str">
            <v>DOCKED &amp; SECURED</v>
          </cell>
          <cell r="U1000">
            <v>0.29166666666666669</v>
          </cell>
          <cell r="V1000" t="str">
            <v>KY TOOLBOX</v>
          </cell>
          <cell r="X1000">
            <v>0.29166666666666669</v>
          </cell>
          <cell r="Y1000" t="str">
            <v>KY TOOLBOX</v>
          </cell>
          <cell r="AA1000">
            <v>0.29166666666666669</v>
          </cell>
          <cell r="AB1000" t="str">
            <v>KY TOOLBOX</v>
          </cell>
          <cell r="AD1000">
            <v>0.29166666666666669</v>
          </cell>
          <cell r="AE1000" t="str">
            <v>KY TOOLBOX</v>
          </cell>
          <cell r="AG1000">
            <v>0.29166666666666669</v>
          </cell>
          <cell r="AH1000" t="str">
            <v>VACANT</v>
          </cell>
        </row>
        <row r="1001">
          <cell r="I1001">
            <v>0.33333333333333331</v>
          </cell>
          <cell r="J1001" t="str">
            <v>WAITING FORKLIFT ONBOARD</v>
          </cell>
          <cell r="O1001">
            <v>0.35208333333333336</v>
          </cell>
          <cell r="P1001" t="str">
            <v xml:space="preserve">RESUME LOADING </v>
          </cell>
          <cell r="U1001">
            <v>0.33333333333333331</v>
          </cell>
          <cell r="V1001" t="str">
            <v>WAITING MATERIAL</v>
          </cell>
          <cell r="X1001">
            <v>0.33333333333333331</v>
          </cell>
          <cell r="Y1001" t="str">
            <v>WAITING MATERIAL</v>
          </cell>
          <cell r="AA1001">
            <v>0.38055555555555554</v>
          </cell>
          <cell r="AB1001" t="str">
            <v>RESUME LOADING</v>
          </cell>
          <cell r="AD1001">
            <v>0.33333333333333331</v>
          </cell>
          <cell r="AE1001" t="str">
            <v>WAITING MATERIAL</v>
          </cell>
        </row>
        <row r="1002">
          <cell r="I1002">
            <v>0.35416666666666669</v>
          </cell>
          <cell r="J1002" t="str">
            <v>FL ONBOARD READY</v>
          </cell>
          <cell r="L1002">
            <v>0.79166666666666663</v>
          </cell>
          <cell r="M1002" t="str">
            <v>CLOSE HATCH</v>
          </cell>
          <cell r="O1002">
            <v>0.37361111111111112</v>
          </cell>
          <cell r="P1002" t="str">
            <v xml:space="preserve">ONGOING LOADING </v>
          </cell>
          <cell r="R1002">
            <v>0.79166666666666663</v>
          </cell>
          <cell r="S1002" t="str">
            <v>NO BOOKING</v>
          </cell>
          <cell r="U1002">
            <v>0.375</v>
          </cell>
          <cell r="V1002" t="str">
            <v>WAITING STEVEDORE</v>
          </cell>
          <cell r="X1002">
            <v>0.375</v>
          </cell>
          <cell r="Y1002" t="str">
            <v>WAITING STEVEDORE</v>
          </cell>
          <cell r="AA1002">
            <v>0.39930555555555558</v>
          </cell>
          <cell r="AB1002" t="str">
            <v xml:space="preserve">CONTINUE LOADING </v>
          </cell>
          <cell r="AD1002">
            <v>0.375</v>
          </cell>
          <cell r="AE1002" t="str">
            <v>WAITING STEVEDORE</v>
          </cell>
        </row>
        <row r="1003">
          <cell r="I1003">
            <v>0.375</v>
          </cell>
          <cell r="J1003" t="str">
            <v xml:space="preserve">COMMENCE LOADING </v>
          </cell>
          <cell r="L1003">
            <v>0.91666666666666663</v>
          </cell>
          <cell r="M1003" t="str">
            <v>WAITING STEVEDORE</v>
          </cell>
          <cell r="O1003">
            <v>0.41458333333333336</v>
          </cell>
          <cell r="P1003" t="str">
            <v xml:space="preserve">CONTINUE LOADING </v>
          </cell>
          <cell r="U1003">
            <v>0.79166666666666663</v>
          </cell>
          <cell r="V1003" t="str">
            <v xml:space="preserve">CLOSE HATCH </v>
          </cell>
          <cell r="X1003">
            <v>0.79166666666666663</v>
          </cell>
          <cell r="Y1003" t="str">
            <v>CLOSE HATCH</v>
          </cell>
          <cell r="AA1003">
            <v>0.43263888888888891</v>
          </cell>
          <cell r="AB1003" t="str">
            <v xml:space="preserve">ONGOING LOADING </v>
          </cell>
          <cell r="AD1003">
            <v>0.79166666666666663</v>
          </cell>
          <cell r="AE1003" t="str">
            <v>CLOSE HATCH</v>
          </cell>
        </row>
        <row r="1004">
          <cell r="I1004">
            <v>0.51388888888888884</v>
          </cell>
          <cell r="J1004" t="str">
            <v>CLOSE HATCH</v>
          </cell>
          <cell r="O1004">
            <v>0.44861111111111113</v>
          </cell>
          <cell r="P1004" t="str">
            <v xml:space="preserve">ONGOING LOADING </v>
          </cell>
          <cell r="U1004">
            <v>0.91666666666666663</v>
          </cell>
          <cell r="V1004" t="str">
            <v>WAITING STEVEDORE</v>
          </cell>
          <cell r="X1004">
            <v>0.91666666666666663</v>
          </cell>
          <cell r="Y1004" t="str">
            <v>WAITING STEVEDORE</v>
          </cell>
          <cell r="AA1004">
            <v>0.51388888888888884</v>
          </cell>
          <cell r="AB1004" t="str">
            <v>CLOSE HATCH</v>
          </cell>
          <cell r="AD1004">
            <v>0.89375000000000004</v>
          </cell>
          <cell r="AE1004" t="str">
            <v xml:space="preserve">RESUME LOADING </v>
          </cell>
        </row>
        <row r="1005">
          <cell r="I1005">
            <v>0.5625</v>
          </cell>
          <cell r="J1005" t="str">
            <v xml:space="preserve">RESUME LOADING </v>
          </cell>
          <cell r="O1005">
            <v>0.5</v>
          </cell>
          <cell r="P1005" t="str">
            <v>CLOSE HATCH</v>
          </cell>
          <cell r="X1005">
            <v>0.15347222222222223</v>
          </cell>
          <cell r="Y1005" t="str">
            <v xml:space="preserve">RESUME LOADING </v>
          </cell>
          <cell r="AA1005">
            <v>0.57291666666666663</v>
          </cell>
          <cell r="AB1005" t="str">
            <v>RESUME LOADING</v>
          </cell>
          <cell r="AD1005">
            <v>0.91041666666666665</v>
          </cell>
          <cell r="AE1005" t="str">
            <v xml:space="preserve">ONGOING LOADING </v>
          </cell>
        </row>
        <row r="1006">
          <cell r="I1006">
            <v>0.625</v>
          </cell>
          <cell r="J1006" t="str">
            <v>CLOSE HATCH</v>
          </cell>
          <cell r="O1006">
            <v>0.59097222222222223</v>
          </cell>
          <cell r="P1006" t="str">
            <v xml:space="preserve">RESUME LOADING </v>
          </cell>
          <cell r="X1006">
            <v>0.20277777777777778</v>
          </cell>
          <cell r="Y1006" t="str">
            <v xml:space="preserve">CONTINUE LOADING </v>
          </cell>
          <cell r="AA1006">
            <v>0.58680555555555558</v>
          </cell>
          <cell r="AB1006" t="str">
            <v xml:space="preserve">CONTINUE LOADING </v>
          </cell>
          <cell r="AD1006">
            <v>0.95347222222222228</v>
          </cell>
          <cell r="AE1006" t="str">
            <v xml:space="preserve">CONTINUE LOADING </v>
          </cell>
        </row>
        <row r="1007">
          <cell r="I1007">
            <v>0.79166666666666663</v>
          </cell>
          <cell r="J1007" t="str">
            <v>CLOSE HATCH</v>
          </cell>
          <cell r="O1007">
            <v>0.60416666666666663</v>
          </cell>
          <cell r="P1007" t="str">
            <v xml:space="preserve">ONGOING LOADING </v>
          </cell>
          <cell r="X1007">
            <v>0.22916666666666666</v>
          </cell>
          <cell r="Y1007" t="str">
            <v>CLOSE HATCH</v>
          </cell>
          <cell r="AA1007">
            <v>0.61458333333333337</v>
          </cell>
          <cell r="AB1007" t="str">
            <v xml:space="preserve">ONGOING LOADING </v>
          </cell>
          <cell r="AD1007">
            <v>0</v>
          </cell>
          <cell r="AE1007" t="str">
            <v>STEVEDORES BREAK</v>
          </cell>
        </row>
        <row r="1008">
          <cell r="I1008">
            <v>0.91666666666666663</v>
          </cell>
          <cell r="J1008" t="str">
            <v>WAITING STEVEDORE</v>
          </cell>
          <cell r="O1008">
            <v>0.625</v>
          </cell>
          <cell r="P1008" t="str">
            <v xml:space="preserve">CONTINUE LOADING </v>
          </cell>
          <cell r="AA1008">
            <v>0.63194444444444442</v>
          </cell>
          <cell r="AB1008" t="str">
            <v>CLOSE HATCH</v>
          </cell>
          <cell r="AD1008">
            <v>6.9444444444444448E-2</v>
          </cell>
          <cell r="AE1008" t="str">
            <v xml:space="preserve">RESUME LOADING </v>
          </cell>
        </row>
        <row r="1009">
          <cell r="O1009">
            <v>0.68402777777777779</v>
          </cell>
          <cell r="P1009" t="str">
            <v xml:space="preserve">ONGOING LOADING </v>
          </cell>
          <cell r="AA1009">
            <v>0.79166666666666663</v>
          </cell>
          <cell r="AB1009" t="str">
            <v>CLOSE HATCH</v>
          </cell>
          <cell r="AD1009">
            <v>9.0277777777777776E-2</v>
          </cell>
          <cell r="AE1009" t="str">
            <v xml:space="preserve">ONGOING LOADING </v>
          </cell>
        </row>
        <row r="1010">
          <cell r="O1010">
            <v>0.70833333333333337</v>
          </cell>
          <cell r="P1010" t="str">
            <v>CLOSE HATCH</v>
          </cell>
          <cell r="AA1010">
            <v>0.91666666666666663</v>
          </cell>
          <cell r="AB1010" t="str">
            <v>WAITING STEVEDORE</v>
          </cell>
          <cell r="AD1010">
            <v>0.14305555555555555</v>
          </cell>
          <cell r="AE1010" t="str">
            <v xml:space="preserve">CONTINUE LOADING </v>
          </cell>
        </row>
        <row r="1011">
          <cell r="O1011">
            <v>0.79166666666666663</v>
          </cell>
          <cell r="P1011" t="str">
            <v>CLOSE HATCH</v>
          </cell>
          <cell r="AD1011">
            <v>0.19027777777777777</v>
          </cell>
          <cell r="AE1011" t="str">
            <v xml:space="preserve">ONGOING LOADING </v>
          </cell>
        </row>
        <row r="1012">
          <cell r="O1012">
            <v>0.89652777777777781</v>
          </cell>
          <cell r="P1012" t="str">
            <v xml:space="preserve">RESUME LOADING </v>
          </cell>
          <cell r="AD1012">
            <v>0.22916666666666666</v>
          </cell>
          <cell r="AE1012" t="str">
            <v>CLOSE HATCH</v>
          </cell>
        </row>
        <row r="1013">
          <cell r="O1013">
            <v>0.93888888888888888</v>
          </cell>
          <cell r="P1013" t="str">
            <v xml:space="preserve">ONGOING LOADING </v>
          </cell>
        </row>
        <row r="1014">
          <cell r="O1014">
            <v>0.96527777777777779</v>
          </cell>
          <cell r="P1014" t="str">
            <v xml:space="preserve">CONTINUE LOADING </v>
          </cell>
        </row>
        <row r="1015">
          <cell r="O1015">
            <v>0.98333333333333328</v>
          </cell>
          <cell r="P1015" t="str">
            <v xml:space="preserve">ONGOING LOADING </v>
          </cell>
        </row>
        <row r="1016">
          <cell r="O1016">
            <v>0</v>
          </cell>
          <cell r="P1016" t="str">
            <v>STEVEDORES BREAK</v>
          </cell>
        </row>
        <row r="1017">
          <cell r="O1017">
            <v>6.3888888888888884E-2</v>
          </cell>
          <cell r="P1017" t="str">
            <v xml:space="preserve">RESUME LOADING </v>
          </cell>
        </row>
        <row r="1018">
          <cell r="O1018">
            <v>8.1250000000000003E-2</v>
          </cell>
          <cell r="P1018" t="str">
            <v xml:space="preserve">CONTINUE LOADING </v>
          </cell>
        </row>
        <row r="1019">
          <cell r="O1019">
            <v>9.4444444444444442E-2</v>
          </cell>
          <cell r="P1019" t="str">
            <v>WAITING MATERIAL</v>
          </cell>
        </row>
        <row r="1020">
          <cell r="D1020" t="str">
            <v>VACANT</v>
          </cell>
          <cell r="G1020" t="str">
            <v>VACANT</v>
          </cell>
          <cell r="J1020" t="str">
            <v>LADY UNO</v>
          </cell>
          <cell r="M1020" t="str">
            <v>LADY OF WISDOM</v>
          </cell>
          <cell r="P1020" t="str">
            <v>EFG 7</v>
          </cell>
          <cell r="S1020" t="str">
            <v>LADY OF REMEDY</v>
          </cell>
          <cell r="V1020" t="str">
            <v>ADOLFO SR</v>
          </cell>
          <cell r="Y1020" t="str">
            <v xml:space="preserve">EMERALD STAR </v>
          </cell>
          <cell r="AB1020" t="str">
            <v>LADY OF ROSARY</v>
          </cell>
          <cell r="AE1020" t="str">
            <v>STAR FREEDOM</v>
          </cell>
          <cell r="AH1020" t="str">
            <v>EASTERN CEBU</v>
          </cell>
        </row>
        <row r="1021">
          <cell r="C1021">
            <v>0.29166666666666669</v>
          </cell>
          <cell r="D1021" t="str">
            <v>VACANT</v>
          </cell>
          <cell r="F1021">
            <v>0.29166666666666669</v>
          </cell>
          <cell r="G1021" t="str">
            <v>VACANT</v>
          </cell>
          <cell r="I1021">
            <v>0.29166666666666669</v>
          </cell>
          <cell r="J1021" t="str">
            <v>KY TOOLBOX</v>
          </cell>
          <cell r="L1021">
            <v>0.29166666666666669</v>
          </cell>
          <cell r="M1021" t="str">
            <v>KY TOOLBOX</v>
          </cell>
          <cell r="O1021">
            <v>0.29166666666666669</v>
          </cell>
          <cell r="P1021" t="str">
            <v>KY TOOLBOX</v>
          </cell>
          <cell r="R1021">
            <v>0.29166666666666669</v>
          </cell>
          <cell r="S1021" t="str">
            <v>KY TOOLBOX</v>
          </cell>
          <cell r="U1021">
            <v>0.29166666666666669</v>
          </cell>
          <cell r="V1021" t="str">
            <v>KY TOOLBOX</v>
          </cell>
          <cell r="X1021">
            <v>0.29166666666666669</v>
          </cell>
          <cell r="Y1021" t="str">
            <v>KY TOOLBOX</v>
          </cell>
          <cell r="AA1021">
            <v>0.29166666666666669</v>
          </cell>
          <cell r="AB1021" t="str">
            <v>KY TOOLBOX</v>
          </cell>
          <cell r="AD1021">
            <v>0.29166666666666669</v>
          </cell>
          <cell r="AE1021" t="str">
            <v>KY TOOLBOX</v>
          </cell>
          <cell r="AG1021">
            <v>0.79166666666666663</v>
          </cell>
          <cell r="AH1021" t="str">
            <v>VESSEL CRANE INSPECTION</v>
          </cell>
        </row>
        <row r="1022">
          <cell r="C1022">
            <v>0.33333333333333331</v>
          </cell>
          <cell r="D1022" t="str">
            <v>VACANT</v>
          </cell>
          <cell r="F1022">
            <v>0.33333333333333331</v>
          </cell>
          <cell r="G1022" t="str">
            <v>VACANT</v>
          </cell>
          <cell r="I1022">
            <v>0.3125</v>
          </cell>
          <cell r="J1022" t="str">
            <v>ONGOING RESUME LOADING LOOSEBAG</v>
          </cell>
          <cell r="L1022">
            <v>0.3125</v>
          </cell>
          <cell r="M1022" t="str">
            <v>ONGOING RESUME LOADING</v>
          </cell>
          <cell r="O1022">
            <v>0.3125</v>
          </cell>
          <cell r="P1022" t="str">
            <v>WAITING  DELIVERY</v>
          </cell>
          <cell r="R1022">
            <v>0.3125</v>
          </cell>
          <cell r="S1022" t="str">
            <v>WAITING DELIVERY</v>
          </cell>
          <cell r="U1022">
            <v>0.3125</v>
          </cell>
          <cell r="V1022" t="str">
            <v>ONGOING RESUME LOADING</v>
          </cell>
          <cell r="X1022">
            <v>0.3125</v>
          </cell>
          <cell r="Y1022" t="str">
            <v xml:space="preserve">ONGOING RESUME LOADING </v>
          </cell>
          <cell r="AA1022">
            <v>0.3125</v>
          </cell>
          <cell r="AB1022" t="str">
            <v>ONGOING RESUME LOADING</v>
          </cell>
          <cell r="AD1022">
            <v>0.3125</v>
          </cell>
          <cell r="AE1022" t="str">
            <v>ONGOING RESUME LOADING</v>
          </cell>
        </row>
        <row r="1023">
          <cell r="C1023">
            <v>0.375</v>
          </cell>
          <cell r="D1023" t="str">
            <v>VACANT</v>
          </cell>
          <cell r="F1023">
            <v>0.375</v>
          </cell>
          <cell r="G1023" t="str">
            <v>VACANT</v>
          </cell>
          <cell r="I1023">
            <v>0.38194444444444442</v>
          </cell>
          <cell r="J1023" t="str">
            <v xml:space="preserve">CONTINUE LOADING </v>
          </cell>
          <cell r="L1023">
            <v>0.36458333333333331</v>
          </cell>
          <cell r="M1023" t="str">
            <v>CONTINUE LOADING</v>
          </cell>
          <cell r="O1023">
            <v>0.46597222222222223</v>
          </cell>
          <cell r="P1023" t="str">
            <v>RESUME LOADING</v>
          </cell>
          <cell r="R1023">
            <v>0.33333333333333331</v>
          </cell>
          <cell r="S1023" t="str">
            <v>WAITING MATERIAL</v>
          </cell>
          <cell r="U1023">
            <v>0.375</v>
          </cell>
          <cell r="V1023" t="str">
            <v xml:space="preserve">CONTINUE LOADING </v>
          </cell>
          <cell r="X1023">
            <v>0.36944444444444446</v>
          </cell>
          <cell r="Y1023" t="str">
            <v>CONTINUE LOADING</v>
          </cell>
          <cell r="AA1023">
            <v>0.38194444444444442</v>
          </cell>
          <cell r="AB1023" t="str">
            <v>CONTINUE LOADING</v>
          </cell>
          <cell r="AD1023">
            <v>0.40277777777777779</v>
          </cell>
          <cell r="AE1023" t="str">
            <v xml:space="preserve">CONTINUE LOADING </v>
          </cell>
        </row>
        <row r="1024">
          <cell r="C1024">
            <v>0.41666666666666669</v>
          </cell>
          <cell r="D1024" t="str">
            <v>VACANT</v>
          </cell>
          <cell r="F1024">
            <v>0.41666666666666669</v>
          </cell>
          <cell r="G1024" t="str">
            <v>VACANT</v>
          </cell>
          <cell r="I1024">
            <v>0.41666666666666669</v>
          </cell>
          <cell r="J1024" t="str">
            <v>WAITING MATERIAL</v>
          </cell>
          <cell r="L1024">
            <v>0.39513888888888887</v>
          </cell>
          <cell r="M1024" t="str">
            <v xml:space="preserve">CONTINUE LOADING </v>
          </cell>
          <cell r="O1024">
            <v>0.48402777777777778</v>
          </cell>
          <cell r="P1024" t="str">
            <v xml:space="preserve">CONTINUE LOADING </v>
          </cell>
          <cell r="R1024">
            <v>0.375</v>
          </cell>
          <cell r="S1024" t="str">
            <v>WAITING MATERIAL</v>
          </cell>
          <cell r="U1024">
            <v>0.44444444444444442</v>
          </cell>
          <cell r="V1024" t="str">
            <v xml:space="preserve">CONTINUE LOADING </v>
          </cell>
          <cell r="X1024">
            <v>0.41388888888888886</v>
          </cell>
          <cell r="Y1024" t="str">
            <v>CONTINUE LOADING</v>
          </cell>
          <cell r="AA1024">
            <v>0.4548611111111111</v>
          </cell>
          <cell r="AB1024" t="str">
            <v>CONTINUE LOADING</v>
          </cell>
          <cell r="AD1024">
            <v>0.45208333333333334</v>
          </cell>
          <cell r="AE1024" t="str">
            <v xml:space="preserve">CONTINUE LOADING </v>
          </cell>
        </row>
        <row r="1025">
          <cell r="C1025">
            <v>0.45833333333333331</v>
          </cell>
          <cell r="D1025" t="str">
            <v>VACANT</v>
          </cell>
          <cell r="F1025">
            <v>0.45833333333333331</v>
          </cell>
          <cell r="G1025" t="str">
            <v>VACANT</v>
          </cell>
          <cell r="I1025">
            <v>0.45833333333333331</v>
          </cell>
          <cell r="J1025" t="str">
            <v>WAITING MATERIAL</v>
          </cell>
          <cell r="L1025">
            <v>0.4548611111111111</v>
          </cell>
          <cell r="M1025" t="str">
            <v>CONTINUE LOADING</v>
          </cell>
          <cell r="O1025">
            <v>0.5</v>
          </cell>
          <cell r="P1025" t="str">
            <v>WAITING MATERIAL</v>
          </cell>
          <cell r="R1025">
            <v>0.41666666666666669</v>
          </cell>
          <cell r="S1025" t="str">
            <v>WAITING MATERIAL</v>
          </cell>
          <cell r="U1025">
            <v>0.45833333333333331</v>
          </cell>
          <cell r="V1025" t="str">
            <v>WAITING SHORECRANE</v>
          </cell>
          <cell r="X1025">
            <v>0.45277777777777778</v>
          </cell>
          <cell r="Y1025" t="str">
            <v>CONTINUE LOADING</v>
          </cell>
          <cell r="AA1025">
            <v>0.47013888888888888</v>
          </cell>
          <cell r="AB1025" t="str">
            <v>CONTINUE LOADING</v>
          </cell>
          <cell r="AD1025">
            <v>0.5625</v>
          </cell>
          <cell r="AE1025" t="str">
            <v>CONTINUE LOADING SLING</v>
          </cell>
        </row>
        <row r="1026">
          <cell r="C1026">
            <v>0.5</v>
          </cell>
          <cell r="D1026" t="str">
            <v>VACANT</v>
          </cell>
          <cell r="F1026">
            <v>0.5</v>
          </cell>
          <cell r="G1026" t="str">
            <v>VACANT</v>
          </cell>
          <cell r="I1026">
            <v>0.5</v>
          </cell>
          <cell r="J1026" t="str">
            <v>WAITING MATERIAL</v>
          </cell>
          <cell r="L1026">
            <v>0.56944444444444442</v>
          </cell>
          <cell r="M1026" t="str">
            <v>CONTINUE LOADING SLING</v>
          </cell>
          <cell r="O1026">
            <v>0.54166666666666663</v>
          </cell>
          <cell r="P1026" t="str">
            <v>WAITING MATERIAL</v>
          </cell>
          <cell r="R1026">
            <v>0.45833333333333331</v>
          </cell>
          <cell r="S1026" t="str">
            <v>WAITING MATERIAL</v>
          </cell>
          <cell r="U1026">
            <v>0.5</v>
          </cell>
          <cell r="V1026" t="str">
            <v>WAITING SHORECRANE</v>
          </cell>
          <cell r="X1026">
            <v>0.45833333333333331</v>
          </cell>
          <cell r="Y1026" t="str">
            <v>WAITING MATERIAL</v>
          </cell>
          <cell r="AA1026">
            <v>0.58680555555555558</v>
          </cell>
          <cell r="AB1026" t="str">
            <v>RESUME LOADING SLING</v>
          </cell>
          <cell r="AD1026">
            <v>0.58472222222222225</v>
          </cell>
          <cell r="AE1026" t="str">
            <v>CONTINUE LOADING SLING</v>
          </cell>
        </row>
        <row r="1027">
          <cell r="C1027">
            <v>0.54166666666666663</v>
          </cell>
          <cell r="D1027" t="str">
            <v>VACANT</v>
          </cell>
          <cell r="F1027">
            <v>0.54166666666666663</v>
          </cell>
          <cell r="G1027" t="str">
            <v>VACANT</v>
          </cell>
          <cell r="I1027">
            <v>0.54166666666666663</v>
          </cell>
          <cell r="J1027" t="str">
            <v>WAITING MATERIAL</v>
          </cell>
          <cell r="L1027">
            <v>0.61111111111111116</v>
          </cell>
          <cell r="M1027" t="str">
            <v>CONTINUE LOADING SLING</v>
          </cell>
          <cell r="O1027">
            <v>0.5756944444444444</v>
          </cell>
          <cell r="P1027" t="str">
            <v>RESUME LOADING SLING</v>
          </cell>
          <cell r="R1027">
            <v>0.5</v>
          </cell>
          <cell r="S1027" t="str">
            <v>WAITING MATERIAL</v>
          </cell>
          <cell r="U1027">
            <v>0.54166666666666663</v>
          </cell>
          <cell r="V1027" t="str">
            <v>WAITING SHORECRANE</v>
          </cell>
          <cell r="X1027">
            <v>0.5</v>
          </cell>
          <cell r="Y1027" t="str">
            <v>WAITING MATERIAL</v>
          </cell>
          <cell r="AA1027">
            <v>0.66319444444444442</v>
          </cell>
          <cell r="AB1027" t="str">
            <v>VESSEL CLOSE</v>
          </cell>
          <cell r="AD1027">
            <v>0.60833333333333328</v>
          </cell>
          <cell r="AE1027" t="str">
            <v>CONTINUE LOADING SLING</v>
          </cell>
        </row>
        <row r="1028">
          <cell r="C1028">
            <v>0.58333333333333337</v>
          </cell>
          <cell r="D1028" t="str">
            <v>VACANT</v>
          </cell>
          <cell r="F1028">
            <v>0.58333333333333337</v>
          </cell>
          <cell r="G1028" t="str">
            <v>VACANT</v>
          </cell>
          <cell r="I1028">
            <v>0.58333333333333337</v>
          </cell>
          <cell r="J1028" t="str">
            <v>WAITING MATERIAL</v>
          </cell>
          <cell r="O1028">
            <v>0.59930555555555554</v>
          </cell>
          <cell r="P1028" t="str">
            <v>CONTINUE LOADING SLING</v>
          </cell>
          <cell r="R1028">
            <v>0.54166666666666663</v>
          </cell>
          <cell r="S1028" t="str">
            <v>WAITING MATERIAL</v>
          </cell>
          <cell r="U1028">
            <v>0.58333333333333337</v>
          </cell>
          <cell r="V1028" t="str">
            <v>WAITING SHORECRANE</v>
          </cell>
          <cell r="X1028">
            <v>0.54166666666666663</v>
          </cell>
          <cell r="Y1028" t="str">
            <v>WAITING MATERIAL</v>
          </cell>
          <cell r="AA1028">
            <v>0.66666666666666663</v>
          </cell>
          <cell r="AB1028" t="str">
            <v>VESSEL CLOSE</v>
          </cell>
          <cell r="AD1028">
            <v>0.64930555555555558</v>
          </cell>
          <cell r="AE1028" t="str">
            <v>CONTINUE LOADING SLING</v>
          </cell>
        </row>
        <row r="1029">
          <cell r="C1029">
            <v>0.625</v>
          </cell>
          <cell r="D1029" t="str">
            <v>VACANT</v>
          </cell>
          <cell r="F1029">
            <v>0.625</v>
          </cell>
          <cell r="G1029" t="str">
            <v>VACANT</v>
          </cell>
          <cell r="I1029">
            <v>0.625</v>
          </cell>
          <cell r="J1029" t="str">
            <v>WAITING MATERIAL</v>
          </cell>
          <cell r="O1029">
            <v>0.625</v>
          </cell>
          <cell r="P1029" t="str">
            <v>CONTINUE LOADING SLING</v>
          </cell>
          <cell r="R1029">
            <v>0.60277777777777775</v>
          </cell>
          <cell r="S1029" t="str">
            <v>RESUME LOADING SLING</v>
          </cell>
          <cell r="U1029">
            <v>0.62222222222222223</v>
          </cell>
          <cell r="V1029" t="str">
            <v xml:space="preserve">RESUME LOADING SLING </v>
          </cell>
          <cell r="X1029">
            <v>0.63541666666666663</v>
          </cell>
          <cell r="Y1029" t="str">
            <v>RESUME LOADING SLING</v>
          </cell>
          <cell r="AA1029">
            <v>0.70833333333333337</v>
          </cell>
          <cell r="AB1029" t="str">
            <v>VESSEL CLOSE</v>
          </cell>
          <cell r="AD1029">
            <v>0.69305555555555554</v>
          </cell>
          <cell r="AE1029" t="str">
            <v>CONTINUE LOADING SLING</v>
          </cell>
        </row>
        <row r="1030">
          <cell r="C1030">
            <v>1600</v>
          </cell>
          <cell r="D1030" t="str">
            <v>VACANT</v>
          </cell>
          <cell r="F1030">
            <v>0.66666666666666663</v>
          </cell>
          <cell r="G1030" t="str">
            <v>VACANT</v>
          </cell>
          <cell r="I1030">
            <v>0.66319444444444442</v>
          </cell>
          <cell r="J1030" t="str">
            <v>VESSEL CLOSE</v>
          </cell>
          <cell r="L1030">
            <v>0.66319444444444442</v>
          </cell>
          <cell r="M1030" t="str">
            <v>VESSEL CLOSE</v>
          </cell>
          <cell r="O1030">
            <v>0.66319444444444442</v>
          </cell>
          <cell r="P1030" t="str">
            <v>VESSEL CLOSE</v>
          </cell>
          <cell r="R1030">
            <v>0.625</v>
          </cell>
          <cell r="S1030" t="str">
            <v>CONTINUE LOADING SLING</v>
          </cell>
          <cell r="U1030">
            <v>0.6430555555555556</v>
          </cell>
          <cell r="V1030" t="str">
            <v>CONTINUE LOADING SLING</v>
          </cell>
          <cell r="X1030">
            <v>0.7</v>
          </cell>
          <cell r="Y1030" t="str">
            <v>CONTINUE LOADING SLING</v>
          </cell>
          <cell r="AA1030">
            <v>0.79166666666666663</v>
          </cell>
          <cell r="AB1030" t="str">
            <v>KY TOOLBOX</v>
          </cell>
          <cell r="AD1030">
            <v>0.71527777777777779</v>
          </cell>
          <cell r="AE1030" t="str">
            <v>CONTINUE LOADING SLING</v>
          </cell>
        </row>
        <row r="1031">
          <cell r="I1031">
            <v>0.79166666666666663</v>
          </cell>
          <cell r="J1031" t="str">
            <v>WAITING MATERIAL</v>
          </cell>
          <cell r="L1031">
            <v>0.79166666666666663</v>
          </cell>
          <cell r="M1031" t="str">
            <v xml:space="preserve">WAITING FL ONBOARD </v>
          </cell>
          <cell r="O1031">
            <v>0.79166666666666663</v>
          </cell>
          <cell r="P1031" t="str">
            <v>WAITING MATERIAL</v>
          </cell>
          <cell r="R1031">
            <v>0.66319444444444442</v>
          </cell>
          <cell r="S1031" t="str">
            <v>VESSEL CLOSE</v>
          </cell>
          <cell r="U1031">
            <v>0.70486111111111116</v>
          </cell>
          <cell r="V1031" t="str">
            <v>CONTINUE LOADING SLING</v>
          </cell>
          <cell r="X1031">
            <v>0.79166666666666663</v>
          </cell>
          <cell r="Y1031" t="str">
            <v>WAITING MATERIAL</v>
          </cell>
          <cell r="AA1031">
            <v>0.8354166666666667</v>
          </cell>
          <cell r="AB1031" t="str">
            <v xml:space="preserve">RESUME LOADING </v>
          </cell>
          <cell r="AD1031">
            <v>0.79166666666666663</v>
          </cell>
          <cell r="AE1031" t="str">
            <v>KY TOOLBOX</v>
          </cell>
        </row>
        <row r="1032">
          <cell r="L1032">
            <v>0.875</v>
          </cell>
          <cell r="M1032" t="str">
            <v>ONBOARD FL READY</v>
          </cell>
          <cell r="O1032">
            <v>0.84513888888888888</v>
          </cell>
          <cell r="P1032" t="str">
            <v xml:space="preserve">RESUME LOADING </v>
          </cell>
          <cell r="R1032">
            <v>0.79166666666666663</v>
          </cell>
          <cell r="S1032" t="str">
            <v>KY TOOLBOX</v>
          </cell>
          <cell r="U1032">
            <v>0.79166666666666663</v>
          </cell>
          <cell r="V1032" t="str">
            <v>KY TOOLBOX</v>
          </cell>
          <cell r="X1032">
            <v>0.86319444444444449</v>
          </cell>
          <cell r="Y1032" t="str">
            <v xml:space="preserve">RESUME LOADING </v>
          </cell>
          <cell r="AA1032">
            <v>0.85069444444444442</v>
          </cell>
          <cell r="AB1032" t="str">
            <v xml:space="preserve">ONGOING LOADING </v>
          </cell>
          <cell r="AD1032">
            <v>0.81597222222222221</v>
          </cell>
          <cell r="AE1032" t="str">
            <v xml:space="preserve">RESUME LOADING </v>
          </cell>
        </row>
        <row r="1033">
          <cell r="L1033">
            <v>0.9</v>
          </cell>
          <cell r="M1033" t="str">
            <v xml:space="preserve">RESUME LOADING </v>
          </cell>
          <cell r="O1033">
            <v>0.96597222222222223</v>
          </cell>
          <cell r="P1033" t="str">
            <v xml:space="preserve">CONTINUE LOADING </v>
          </cell>
          <cell r="R1033">
            <v>0.84444444444444444</v>
          </cell>
          <cell r="S1033" t="str">
            <v xml:space="preserve">RESUME LOADING </v>
          </cell>
          <cell r="U1033">
            <v>0.82499999999999996</v>
          </cell>
          <cell r="V1033" t="str">
            <v xml:space="preserve">RESUME LOADING </v>
          </cell>
          <cell r="X1033">
            <v>0.97499999999999998</v>
          </cell>
          <cell r="Y1033" t="str">
            <v xml:space="preserve">CONTINUE LOADING </v>
          </cell>
          <cell r="AA1033">
            <v>0.87222222222222223</v>
          </cell>
          <cell r="AB1033" t="str">
            <v xml:space="preserve">CONTINUE LOADING </v>
          </cell>
          <cell r="AD1033">
            <v>0.83333333333333337</v>
          </cell>
          <cell r="AE1033" t="str">
            <v xml:space="preserve">CONTINUE LOADING </v>
          </cell>
        </row>
        <row r="1034">
          <cell r="L1034">
            <v>0.91805555555555551</v>
          </cell>
          <cell r="M1034" t="str">
            <v xml:space="preserve">ONGOING LOADING </v>
          </cell>
          <cell r="O1034">
            <v>0</v>
          </cell>
          <cell r="P1034" t="str">
            <v>STEVEDORES BREAK</v>
          </cell>
          <cell r="R1034">
            <v>0.89027777777777772</v>
          </cell>
          <cell r="S1034" t="str">
            <v xml:space="preserve">ONGOING LOADING </v>
          </cell>
          <cell r="U1034">
            <v>0.88124999999999998</v>
          </cell>
          <cell r="V1034" t="str">
            <v xml:space="preserve">ONGOING LOADING </v>
          </cell>
          <cell r="X1034">
            <v>0</v>
          </cell>
          <cell r="Y1034" t="str">
            <v>STEVEDORES BREAK</v>
          </cell>
          <cell r="AA1034">
            <v>0.88194444444444442</v>
          </cell>
          <cell r="AB1034" t="str">
            <v>LOADING COMPLETE</v>
          </cell>
          <cell r="AD1034">
            <v>0.84930555555555554</v>
          </cell>
          <cell r="AE1034" t="str">
            <v>LOADING COMPLETE</v>
          </cell>
        </row>
        <row r="1035">
          <cell r="L1035">
            <v>0.94097222222222221</v>
          </cell>
          <cell r="M1035" t="str">
            <v xml:space="preserve">CONTINUE LOADING </v>
          </cell>
          <cell r="O1035">
            <v>7.8472222222222221E-2</v>
          </cell>
          <cell r="P1035" t="str">
            <v xml:space="preserve">RESUME LOADING </v>
          </cell>
          <cell r="R1035">
            <v>0.99791666666666667</v>
          </cell>
          <cell r="S1035" t="str">
            <v xml:space="preserve">CONTINUE LOADING </v>
          </cell>
          <cell r="U1035">
            <v>0.94305555555555554</v>
          </cell>
          <cell r="V1035" t="str">
            <v>CONTINUE LOADING SLING</v>
          </cell>
          <cell r="X1035">
            <v>4.1666666666666664E-2</v>
          </cell>
          <cell r="Y1035" t="str">
            <v>WAITING MATERIAL</v>
          </cell>
        </row>
        <row r="1036">
          <cell r="L1036">
            <v>0.95763888888888893</v>
          </cell>
          <cell r="M1036" t="str">
            <v xml:space="preserve">ONGOING LOADING </v>
          </cell>
          <cell r="O1036">
            <v>0.14930555555555555</v>
          </cell>
          <cell r="P1036" t="str">
            <v xml:space="preserve">CONTINUE LOADING </v>
          </cell>
          <cell r="R1036">
            <v>1.3888888888888888E-2</v>
          </cell>
          <cell r="S1036" t="str">
            <v>STEVEDORES BREAK</v>
          </cell>
          <cell r="U1036">
            <v>0.97777777777777775</v>
          </cell>
          <cell r="V1036" t="str">
            <v>ONGOING LOADING</v>
          </cell>
          <cell r="X1036">
            <v>0.21527777777777779</v>
          </cell>
          <cell r="Y1036" t="str">
            <v xml:space="preserve">RESUME LOADING </v>
          </cell>
        </row>
        <row r="1037">
          <cell r="L1037">
            <v>0</v>
          </cell>
          <cell r="M1037" t="str">
            <v>STEVEDORES BREAK</v>
          </cell>
          <cell r="O1037">
            <v>0.21388888888888888</v>
          </cell>
          <cell r="P1037" t="str">
            <v xml:space="preserve">ONGOING LOADING </v>
          </cell>
          <cell r="R1037">
            <v>7.0833333333333331E-2</v>
          </cell>
          <cell r="S1037" t="str">
            <v xml:space="preserve">RESUME LOADING </v>
          </cell>
          <cell r="U1037">
            <v>0</v>
          </cell>
          <cell r="V1037" t="str">
            <v>STEVEDORES BREAK</v>
          </cell>
          <cell r="X1037">
            <v>0.25</v>
          </cell>
          <cell r="Y1037" t="str">
            <v>WAITING MATERIAL</v>
          </cell>
        </row>
        <row r="1038">
          <cell r="L1038">
            <v>8.3333333333333329E-2</v>
          </cell>
          <cell r="M1038" t="str">
            <v xml:space="preserve">RESUME LOADING </v>
          </cell>
          <cell r="O1038">
            <v>0.25</v>
          </cell>
          <cell r="P1038" t="str">
            <v>WAITING MATERIAL</v>
          </cell>
          <cell r="R1038">
            <v>9.375E-2</v>
          </cell>
          <cell r="S1038" t="str">
            <v xml:space="preserve">ONGOING LOADING </v>
          </cell>
          <cell r="U1038">
            <v>8.8888888888888892E-2</v>
          </cell>
          <cell r="V1038" t="str">
            <v xml:space="preserve">CONTINUE LOADING </v>
          </cell>
        </row>
        <row r="1039">
          <cell r="L1039">
            <v>0.10069444444444445</v>
          </cell>
          <cell r="M1039" t="str">
            <v xml:space="preserve">ONGOING LOADING </v>
          </cell>
          <cell r="R1039">
            <v>0.11458333333333333</v>
          </cell>
          <cell r="S1039" t="str">
            <v xml:space="preserve">CONTINUE LOADING </v>
          </cell>
          <cell r="U1039">
            <v>0.10416666666666667</v>
          </cell>
          <cell r="V1039" t="str">
            <v xml:space="preserve">ONGOING LOADING </v>
          </cell>
        </row>
        <row r="1040">
          <cell r="L1040">
            <v>0.13402777777777777</v>
          </cell>
          <cell r="M1040" t="str">
            <v xml:space="preserve">CONTINUE LOADING </v>
          </cell>
          <cell r="R1040">
            <v>0.13680555555555557</v>
          </cell>
          <cell r="S1040" t="str">
            <v xml:space="preserve">ONGOING LOADING </v>
          </cell>
          <cell r="U1040">
            <v>0.13263888888888889</v>
          </cell>
          <cell r="V1040" t="str">
            <v xml:space="preserve">CONTINUE LOADING </v>
          </cell>
        </row>
        <row r="1041">
          <cell r="L1041">
            <v>0.17777777777777778</v>
          </cell>
          <cell r="M1041" t="str">
            <v xml:space="preserve">ONGOING LOADING </v>
          </cell>
          <cell r="R1041">
            <v>0.16250000000000001</v>
          </cell>
          <cell r="S1041" t="str">
            <v xml:space="preserve">CONTINUE LOADING </v>
          </cell>
          <cell r="U1041">
            <v>0.14722222222222223</v>
          </cell>
          <cell r="V1041" t="str">
            <v xml:space="preserve">ONGOING LOADING </v>
          </cell>
        </row>
        <row r="1042">
          <cell r="L1042">
            <v>0.2</v>
          </cell>
          <cell r="M1042" t="str">
            <v xml:space="preserve">CONTINUE LOADING </v>
          </cell>
          <cell r="R1042">
            <v>0.18263888888888888</v>
          </cell>
          <cell r="S1042" t="str">
            <v xml:space="preserve">ONGOING LOADING </v>
          </cell>
          <cell r="U1042">
            <v>0.1736111111111111</v>
          </cell>
          <cell r="V1042" t="str">
            <v xml:space="preserve">CONTINUE LOADING </v>
          </cell>
        </row>
        <row r="1043">
          <cell r="L1043">
            <v>0.25</v>
          </cell>
          <cell r="M1043" t="str">
            <v>VESSEL BREAK</v>
          </cell>
          <cell r="R1043">
            <v>0.21736111111111112</v>
          </cell>
          <cell r="S1043" t="str">
            <v xml:space="preserve">CONTINUE LOADING </v>
          </cell>
          <cell r="U1043">
            <v>0.1875</v>
          </cell>
          <cell r="V1043" t="str">
            <v xml:space="preserve">ONGOING LOADING </v>
          </cell>
        </row>
        <row r="1044">
          <cell r="U1044">
            <v>0.22430555555555556</v>
          </cell>
          <cell r="V1044" t="str">
            <v xml:space="preserve">CONTINUE LOADING </v>
          </cell>
        </row>
        <row r="1045">
          <cell r="U1045">
            <v>0.2326388888888889</v>
          </cell>
          <cell r="V1045" t="str">
            <v xml:space="preserve">ONGOING LOADING </v>
          </cell>
        </row>
        <row r="1046">
          <cell r="U1046">
            <v>0.2361111111111111</v>
          </cell>
          <cell r="V1046" t="str">
            <v xml:space="preserve">CONTINUE LOADING </v>
          </cell>
        </row>
        <row r="1047">
          <cell r="U1047">
            <v>0.23819444444444443</v>
          </cell>
          <cell r="V1047" t="str">
            <v>LOADING COMPLETE</v>
          </cell>
        </row>
        <row r="1048">
          <cell r="D1048" t="str">
            <v>VACANT</v>
          </cell>
          <cell r="G1048" t="str">
            <v>VACANT</v>
          </cell>
          <cell r="J1048" t="str">
            <v>LADY UNO</v>
          </cell>
          <cell r="M1048" t="str">
            <v>LADY OF WISDOM</v>
          </cell>
          <cell r="P1048" t="str">
            <v>EFG 7</v>
          </cell>
          <cell r="S1048" t="str">
            <v>LADY OF REMEDY</v>
          </cell>
          <cell r="V1048" t="str">
            <v>VACANT</v>
          </cell>
          <cell r="Y1048" t="str">
            <v xml:space="preserve">EMERALD STAR </v>
          </cell>
          <cell r="AB1048" t="str">
            <v>EASTERN CEBU</v>
          </cell>
          <cell r="AE1048" t="str">
            <v>VACANT</v>
          </cell>
          <cell r="AH1048" t="str">
            <v>VACANT</v>
          </cell>
        </row>
        <row r="1049">
          <cell r="C1049">
            <v>0.29166666666666669</v>
          </cell>
          <cell r="D1049" t="str">
            <v>WAITING VESSEL</v>
          </cell>
          <cell r="F1049">
            <v>0.29166666666666669</v>
          </cell>
          <cell r="G1049" t="str">
            <v>WAITING VESSEL</v>
          </cell>
          <cell r="I1049">
            <v>0.31944444444444442</v>
          </cell>
          <cell r="J1049" t="str">
            <v>CONDUCT KY</v>
          </cell>
          <cell r="L1049">
            <v>0.3215277777777778</v>
          </cell>
          <cell r="M1049" t="str">
            <v>CONDUCT KY</v>
          </cell>
          <cell r="O1049">
            <v>0.29166666666666669</v>
          </cell>
          <cell r="P1049" t="str">
            <v>WAITING MATERIAL</v>
          </cell>
          <cell r="R1049">
            <v>0.3263888888888889</v>
          </cell>
          <cell r="S1049" t="str">
            <v>CONDUCT KY</v>
          </cell>
          <cell r="U1049">
            <v>0.29166666666666669</v>
          </cell>
          <cell r="V1049" t="str">
            <v>WAITING VESSEL</v>
          </cell>
          <cell r="X1049">
            <v>0.29166666666666669</v>
          </cell>
          <cell r="Y1049" t="str">
            <v>WAITING MATERIAL</v>
          </cell>
          <cell r="AA1049">
            <v>0.29166666666666669</v>
          </cell>
          <cell r="AB1049" t="str">
            <v>FOR INSPECTION</v>
          </cell>
          <cell r="AD1049">
            <v>0.29166666666666669</v>
          </cell>
          <cell r="AE1049" t="str">
            <v>WAITING VESSEL</v>
          </cell>
          <cell r="AG1049">
            <v>0.29166666666666669</v>
          </cell>
          <cell r="AH1049" t="str">
            <v>WAITING VESSEL</v>
          </cell>
        </row>
        <row r="1050">
          <cell r="C1050">
            <v>0.33333333333333331</v>
          </cell>
          <cell r="D1050" t="str">
            <v>WAITING VESSEL</v>
          </cell>
          <cell r="F1050">
            <v>0.33333333333333331</v>
          </cell>
          <cell r="G1050" t="str">
            <v>WAITING VESSEL</v>
          </cell>
          <cell r="I1050">
            <v>0.39583333333333331</v>
          </cell>
          <cell r="J1050" t="str">
            <v>CONTINUE LOADING SLING</v>
          </cell>
          <cell r="L1050">
            <v>0.33402777777777776</v>
          </cell>
          <cell r="M1050" t="str">
            <v>CONTINUE LOADING SLING</v>
          </cell>
          <cell r="O1050">
            <v>0.33333333333333331</v>
          </cell>
          <cell r="P1050" t="str">
            <v>WAITING MATERIAL</v>
          </cell>
          <cell r="R1050">
            <v>0.33680555555555558</v>
          </cell>
          <cell r="S1050" t="str">
            <v>CONTINUE LOADING SLING</v>
          </cell>
          <cell r="U1050">
            <v>0.33333333333333331</v>
          </cell>
          <cell r="V1050" t="str">
            <v>WAITING VESSEL</v>
          </cell>
          <cell r="X1050">
            <v>0.33333333333333331</v>
          </cell>
          <cell r="Y1050" t="str">
            <v>WAITING VESSEL</v>
          </cell>
          <cell r="AA1050">
            <v>0.33333333333333331</v>
          </cell>
          <cell r="AB1050" t="str">
            <v>UNABLE TO COMMENCE</v>
          </cell>
          <cell r="AD1050">
            <v>0.33333333333333331</v>
          </cell>
          <cell r="AE1050" t="str">
            <v>WAITING VESSEL</v>
          </cell>
          <cell r="AG1050">
            <v>0.33333333333333331</v>
          </cell>
          <cell r="AH1050" t="str">
            <v>WAITING VESSEL</v>
          </cell>
        </row>
        <row r="1051">
          <cell r="C1051">
            <v>0.375</v>
          </cell>
          <cell r="D1051" t="str">
            <v>WAITING VESSEL</v>
          </cell>
          <cell r="F1051">
            <v>0.375</v>
          </cell>
          <cell r="G1051" t="str">
            <v>WAITING VESSEL</v>
          </cell>
          <cell r="I1051">
            <v>0.40625</v>
          </cell>
          <cell r="J1051" t="str">
            <v>WAITING LAPU LAPU TRUCKING</v>
          </cell>
          <cell r="L1051">
            <v>0.34722222222222221</v>
          </cell>
          <cell r="M1051" t="str">
            <v>CONTINUE LOADING SLING</v>
          </cell>
          <cell r="O1051">
            <v>0.375</v>
          </cell>
          <cell r="P1051" t="str">
            <v>WAITING MATERIAL</v>
          </cell>
          <cell r="R1051">
            <v>0.34930555555555554</v>
          </cell>
          <cell r="S1051" t="str">
            <v>CONTINUE LOADING SLING</v>
          </cell>
          <cell r="U1051">
            <v>0.375</v>
          </cell>
          <cell r="V1051" t="str">
            <v>WAITING VESSEL</v>
          </cell>
          <cell r="X1051">
            <v>0.375</v>
          </cell>
          <cell r="Y1051" t="str">
            <v>WAITING VESSEL</v>
          </cell>
          <cell r="AA1051">
            <v>0.375</v>
          </cell>
          <cell r="AB1051" t="str">
            <v>UNABLE TO COMMENCE</v>
          </cell>
          <cell r="AD1051">
            <v>0.375</v>
          </cell>
          <cell r="AE1051" t="str">
            <v>WAITING VESSEL</v>
          </cell>
          <cell r="AG1051">
            <v>0.375</v>
          </cell>
          <cell r="AH1051" t="str">
            <v>WAITING VESSEL</v>
          </cell>
        </row>
        <row r="1052">
          <cell r="C1052">
            <v>0.41666666666666669</v>
          </cell>
          <cell r="D1052" t="str">
            <v>WAITING VESSEL</v>
          </cell>
          <cell r="F1052">
            <v>0.41666666666666669</v>
          </cell>
          <cell r="G1052" t="str">
            <v>WAITING VESSEL</v>
          </cell>
          <cell r="I1052">
            <v>0.41666666666666669</v>
          </cell>
          <cell r="J1052" t="str">
            <v>WAITING LAPU LAPU TRUCKING</v>
          </cell>
          <cell r="L1052">
            <v>0.3659722222222222</v>
          </cell>
          <cell r="M1052" t="str">
            <v>CONTINUE LOADING SLING</v>
          </cell>
          <cell r="O1052">
            <v>0.41666666666666669</v>
          </cell>
          <cell r="P1052" t="str">
            <v>WAITING MATERIAL</v>
          </cell>
          <cell r="R1052">
            <v>0.37986111111111109</v>
          </cell>
          <cell r="S1052" t="str">
            <v>CONTINUE LOADING SLING</v>
          </cell>
          <cell r="U1052">
            <v>0.41666666666666669</v>
          </cell>
          <cell r="V1052" t="str">
            <v>WAITING VESSEL</v>
          </cell>
          <cell r="X1052">
            <v>0.41666666666666669</v>
          </cell>
          <cell r="Y1052" t="str">
            <v>WAITING VESSEL</v>
          </cell>
          <cell r="AA1052">
            <v>0.41666666666666669</v>
          </cell>
          <cell r="AB1052" t="str">
            <v>UNABLE TO COMMENCE</v>
          </cell>
          <cell r="AD1052">
            <v>0.41666666666666669</v>
          </cell>
          <cell r="AE1052" t="str">
            <v>WAITING VESSEL</v>
          </cell>
          <cell r="AG1052">
            <v>0.41666666666666669</v>
          </cell>
          <cell r="AH1052" t="str">
            <v>WAITING VESSEL</v>
          </cell>
        </row>
        <row r="1053">
          <cell r="C1053">
            <v>0.45833333333333331</v>
          </cell>
          <cell r="D1053" t="str">
            <v>WAITING VESSEL</v>
          </cell>
          <cell r="F1053">
            <v>0.45833333333333331</v>
          </cell>
          <cell r="G1053" t="str">
            <v>WAITING VESSEL</v>
          </cell>
          <cell r="I1053">
            <v>0.45833333333333331</v>
          </cell>
          <cell r="J1053" t="str">
            <v xml:space="preserve">VESSEL CLOSE </v>
          </cell>
          <cell r="L1053">
            <v>0.38819444444444445</v>
          </cell>
          <cell r="M1053" t="str">
            <v>CONTINUE LOADING SLING</v>
          </cell>
          <cell r="O1053">
            <v>0.45833333333333331</v>
          </cell>
          <cell r="P1053" t="str">
            <v xml:space="preserve">VESSEL CLOSE </v>
          </cell>
          <cell r="R1053">
            <v>0.40069444444444446</v>
          </cell>
          <cell r="S1053" t="str">
            <v>CONTINUE LOADING  SLING</v>
          </cell>
          <cell r="U1053">
            <v>0.45833333333333331</v>
          </cell>
          <cell r="V1053" t="str">
            <v>WAITING VESSEL</v>
          </cell>
          <cell r="X1053">
            <v>0.45833333333333331</v>
          </cell>
          <cell r="Y1053" t="str">
            <v>WAITING VESSEL</v>
          </cell>
          <cell r="AA1053">
            <v>0.42708333333333331</v>
          </cell>
          <cell r="AB1053" t="str">
            <v>RESUME LOADING TONNER</v>
          </cell>
          <cell r="AD1053">
            <v>0.45833333333333331</v>
          </cell>
          <cell r="AE1053" t="str">
            <v>WAITING VESSEL</v>
          </cell>
          <cell r="AG1053">
            <v>0.45833333333333331</v>
          </cell>
          <cell r="AH1053" t="str">
            <v>WAITING VESSEL</v>
          </cell>
        </row>
        <row r="1054">
          <cell r="C1054">
            <v>0.5</v>
          </cell>
          <cell r="D1054" t="str">
            <v>WAITING VESSEL</v>
          </cell>
          <cell r="F1054">
            <v>0.5</v>
          </cell>
          <cell r="G1054" t="str">
            <v>WAITING VESSEL</v>
          </cell>
          <cell r="I1054">
            <v>0.5</v>
          </cell>
          <cell r="J1054" t="str">
            <v>RAIN</v>
          </cell>
          <cell r="L1054">
            <v>0.40833333333333333</v>
          </cell>
          <cell r="M1054" t="str">
            <v>CONTINUE LOADING SLING</v>
          </cell>
          <cell r="O1054">
            <v>0.5</v>
          </cell>
          <cell r="P1054" t="str">
            <v>RAIN</v>
          </cell>
          <cell r="R1054">
            <v>0.43402777777777779</v>
          </cell>
          <cell r="S1054" t="str">
            <v>CONTINUE LOADING SLING</v>
          </cell>
          <cell r="U1054">
            <v>0.5</v>
          </cell>
          <cell r="V1054" t="str">
            <v>WAITING VESSEL</v>
          </cell>
          <cell r="X1054">
            <v>0.46527777777777779</v>
          </cell>
          <cell r="Y1054" t="str">
            <v>RESUME LOADING SLING</v>
          </cell>
          <cell r="AA1054">
            <v>0.45833333333333331</v>
          </cell>
          <cell r="AB1054" t="str">
            <v>WAITING LAPU LAPU TRUCKING</v>
          </cell>
          <cell r="AD1054">
            <v>0.5</v>
          </cell>
          <cell r="AE1054" t="str">
            <v>WAITING VESSEL</v>
          </cell>
          <cell r="AG1054">
            <v>0.5</v>
          </cell>
          <cell r="AH1054" t="str">
            <v>WAITING VESSEL</v>
          </cell>
        </row>
        <row r="1055">
          <cell r="C1055">
            <v>0.54166666666666663</v>
          </cell>
          <cell r="D1055" t="str">
            <v>WAITING VESSEL</v>
          </cell>
          <cell r="F1055">
            <v>0.54166666666666663</v>
          </cell>
          <cell r="G1055" t="str">
            <v>WAITING VESSEL</v>
          </cell>
          <cell r="I1055">
            <v>0.54166666666666663</v>
          </cell>
          <cell r="J1055" t="str">
            <v>RAIN</v>
          </cell>
          <cell r="L1055">
            <v>0.42986111111111114</v>
          </cell>
          <cell r="M1055" t="str">
            <v>CONTINUE LOADING SLING</v>
          </cell>
          <cell r="O1055">
            <v>0.54166666666666663</v>
          </cell>
          <cell r="P1055" t="str">
            <v>RAIN</v>
          </cell>
          <cell r="R1055">
            <v>0.45833333333333331</v>
          </cell>
          <cell r="S1055" t="str">
            <v xml:space="preserve">VESSEL CLOSE </v>
          </cell>
          <cell r="U1055">
            <v>0.54166666666666663</v>
          </cell>
          <cell r="V1055" t="str">
            <v>WAITING VESSEL</v>
          </cell>
          <cell r="X1055">
            <v>0.4826388888888889</v>
          </cell>
          <cell r="Y1055" t="str">
            <v>WAITING MATERIAL</v>
          </cell>
          <cell r="AA1055">
            <v>0.45833333333333331</v>
          </cell>
          <cell r="AB1055" t="str">
            <v xml:space="preserve">VESSEL CLOSE </v>
          </cell>
          <cell r="AD1055">
            <v>0.54166666666666663</v>
          </cell>
          <cell r="AE1055" t="str">
            <v>WAITING VESSEL</v>
          </cell>
          <cell r="AG1055">
            <v>0.54166666666666663</v>
          </cell>
          <cell r="AH1055" t="str">
            <v>WAITING VESSEL</v>
          </cell>
        </row>
        <row r="1056">
          <cell r="C1056">
            <v>0.58333333333333337</v>
          </cell>
          <cell r="D1056" t="str">
            <v>WAITING VESSEL</v>
          </cell>
          <cell r="F1056">
            <v>0.58333333333333337</v>
          </cell>
          <cell r="G1056" t="str">
            <v>WAITING VESSEL</v>
          </cell>
          <cell r="I1056">
            <v>0.58333333333333337</v>
          </cell>
          <cell r="J1056" t="str">
            <v>RAIN</v>
          </cell>
          <cell r="L1056">
            <v>0.44305555555555554</v>
          </cell>
          <cell r="M1056" t="str">
            <v>CONTINUE LOADING SLING</v>
          </cell>
          <cell r="O1056">
            <v>0.58333333333333337</v>
          </cell>
          <cell r="P1056" t="str">
            <v>RAIN</v>
          </cell>
          <cell r="R1056">
            <v>0.5</v>
          </cell>
          <cell r="S1056" t="str">
            <v>RAIN</v>
          </cell>
          <cell r="U1056">
            <v>0.58333333333333337</v>
          </cell>
          <cell r="V1056" t="str">
            <v>WAITING VESSEL</v>
          </cell>
          <cell r="X1056">
            <v>0.49305555555555558</v>
          </cell>
          <cell r="Y1056" t="str">
            <v>VESSEL CLOSE</v>
          </cell>
          <cell r="AA1056">
            <v>0.5</v>
          </cell>
          <cell r="AB1056" t="str">
            <v>RAIN</v>
          </cell>
          <cell r="AD1056">
            <v>0.58333333333333337</v>
          </cell>
          <cell r="AE1056" t="str">
            <v>WAITING VESSEL</v>
          </cell>
          <cell r="AG1056">
            <v>0.58333333333333337</v>
          </cell>
          <cell r="AH1056" t="str">
            <v>WAITING VESSEL</v>
          </cell>
        </row>
        <row r="1057">
          <cell r="C1057">
            <v>0.625</v>
          </cell>
          <cell r="D1057" t="str">
            <v>WAITING VESSEL</v>
          </cell>
          <cell r="F1057">
            <v>0.625</v>
          </cell>
          <cell r="G1057" t="str">
            <v>WAITING VESSEL</v>
          </cell>
          <cell r="I1057">
            <v>0.625</v>
          </cell>
          <cell r="J1057" t="str">
            <v>RAIN</v>
          </cell>
          <cell r="L1057">
            <v>0.45833333333333331</v>
          </cell>
          <cell r="M1057" t="str">
            <v xml:space="preserve">VESSEL CLOSE </v>
          </cell>
          <cell r="O1057">
            <v>0.625</v>
          </cell>
          <cell r="P1057" t="str">
            <v>RAIN</v>
          </cell>
          <cell r="R1057">
            <v>0.54166666666666663</v>
          </cell>
          <cell r="S1057" t="str">
            <v>RAIN</v>
          </cell>
          <cell r="U1057">
            <v>0.625</v>
          </cell>
          <cell r="V1057" t="str">
            <v>WAITING VESSEL</v>
          </cell>
          <cell r="X1057">
            <v>0.5</v>
          </cell>
          <cell r="Y1057" t="str">
            <v>RAIN</v>
          </cell>
          <cell r="AA1057">
            <v>0.54166666666666663</v>
          </cell>
          <cell r="AB1057" t="str">
            <v>RAIN</v>
          </cell>
          <cell r="AD1057">
            <v>0.625</v>
          </cell>
          <cell r="AE1057" t="str">
            <v>WAITING VESSEL</v>
          </cell>
          <cell r="AG1057">
            <v>0.625</v>
          </cell>
          <cell r="AH1057" t="str">
            <v>WAITING VESSEL</v>
          </cell>
        </row>
        <row r="1058">
          <cell r="C1058">
            <v>0.66666666666666663</v>
          </cell>
          <cell r="D1058" t="str">
            <v>WAITING VESSEL</v>
          </cell>
          <cell r="F1058">
            <v>0.66666666666666663</v>
          </cell>
          <cell r="G1058" t="str">
            <v>WAITING VESSEL</v>
          </cell>
          <cell r="I1058">
            <v>0.66666666666666663</v>
          </cell>
          <cell r="J1058" t="str">
            <v>RAIN</v>
          </cell>
          <cell r="L1058">
            <v>0.5</v>
          </cell>
          <cell r="M1058" t="str">
            <v>RAIN</v>
          </cell>
          <cell r="O1058">
            <v>0.66666666666666663</v>
          </cell>
          <cell r="P1058" t="str">
            <v>RAIN</v>
          </cell>
          <cell r="R1058">
            <v>0.58333333333333337</v>
          </cell>
          <cell r="S1058" t="str">
            <v>RAIN</v>
          </cell>
          <cell r="U1058">
            <v>0.66666666666666663</v>
          </cell>
          <cell r="V1058" t="str">
            <v>WAITING VESSEL</v>
          </cell>
          <cell r="X1058">
            <v>0.54166666666666663</v>
          </cell>
          <cell r="Y1058" t="str">
            <v>RAIN</v>
          </cell>
          <cell r="AA1058">
            <v>0.58333333333333337</v>
          </cell>
          <cell r="AB1058" t="str">
            <v>RAIN</v>
          </cell>
          <cell r="AD1058">
            <v>0.66666666666666663</v>
          </cell>
          <cell r="AE1058" t="str">
            <v>WAITING VESSEL</v>
          </cell>
          <cell r="AG1058">
            <v>0.66666666666666663</v>
          </cell>
          <cell r="AH1058" t="str">
            <v>WAITING VESSEL</v>
          </cell>
        </row>
        <row r="1059">
          <cell r="C1059">
            <v>0.70833333333333337</v>
          </cell>
          <cell r="D1059" t="str">
            <v>WAITING VESSEL</v>
          </cell>
          <cell r="F1059">
            <v>0.70833333333333337</v>
          </cell>
          <cell r="G1059" t="str">
            <v>WAITING VESSEL</v>
          </cell>
          <cell r="I1059">
            <v>0.69097222222222221</v>
          </cell>
          <cell r="J1059" t="str">
            <v>RESUME LOADING SLING</v>
          </cell>
          <cell r="L1059">
            <v>0.54166666666666663</v>
          </cell>
          <cell r="M1059" t="str">
            <v>RAIN</v>
          </cell>
          <cell r="O1059">
            <v>0.69791666666666663</v>
          </cell>
          <cell r="P1059" t="str">
            <v>RESUME LOADING</v>
          </cell>
          <cell r="R1059">
            <v>0.625</v>
          </cell>
          <cell r="S1059" t="str">
            <v>RAIN</v>
          </cell>
          <cell r="U1059">
            <v>0.70833333333333337</v>
          </cell>
          <cell r="V1059" t="str">
            <v>WAITING VESSEL</v>
          </cell>
          <cell r="X1059">
            <v>0.58333333333333337</v>
          </cell>
          <cell r="Y1059" t="str">
            <v>RAIN</v>
          </cell>
          <cell r="AA1059">
            <v>0.625</v>
          </cell>
          <cell r="AB1059" t="str">
            <v>RAIN</v>
          </cell>
          <cell r="AD1059">
            <v>0.70833333333333337</v>
          </cell>
          <cell r="AE1059" t="str">
            <v>WAITING VESSEL</v>
          </cell>
          <cell r="AG1059">
            <v>0.70833333333333337</v>
          </cell>
          <cell r="AH1059" t="str">
            <v>WAITING VESSEL</v>
          </cell>
        </row>
        <row r="1060">
          <cell r="C1060">
            <v>0.75</v>
          </cell>
          <cell r="D1060" t="str">
            <v>WAITING VESSEL</v>
          </cell>
          <cell r="F1060">
            <v>0.75</v>
          </cell>
          <cell r="G1060" t="str">
            <v>WAITING VESSEL</v>
          </cell>
          <cell r="I1060">
            <v>0.79166666666666663</v>
          </cell>
          <cell r="J1060" t="str">
            <v>CLOSE HATCH</v>
          </cell>
          <cell r="L1060">
            <v>0.79166666666666663</v>
          </cell>
          <cell r="M1060" t="str">
            <v>CLOSE HATCH</v>
          </cell>
          <cell r="O1060">
            <v>0.71527777777777779</v>
          </cell>
          <cell r="P1060" t="str">
            <v>CONTINUE LOADING SLING</v>
          </cell>
          <cell r="R1060">
            <v>0.66666666666666663</v>
          </cell>
          <cell r="S1060" t="str">
            <v>RAIN</v>
          </cell>
          <cell r="U1060">
            <v>0.75</v>
          </cell>
          <cell r="V1060" t="str">
            <v>WAITING VESSEL</v>
          </cell>
          <cell r="X1060">
            <v>0.625</v>
          </cell>
          <cell r="Y1060" t="str">
            <v>RAIN</v>
          </cell>
          <cell r="AA1060">
            <v>0.66666666666666663</v>
          </cell>
          <cell r="AB1060" t="str">
            <v>RAIN</v>
          </cell>
          <cell r="AD1060">
            <v>0.75</v>
          </cell>
          <cell r="AE1060" t="str">
            <v>WAITING VESSEL</v>
          </cell>
          <cell r="AG1060">
            <v>0.75</v>
          </cell>
          <cell r="AH1060" t="str">
            <v>WAITING VESSEL</v>
          </cell>
        </row>
        <row r="1061">
          <cell r="C1061">
            <v>0.79166666666666663</v>
          </cell>
          <cell r="D1061" t="str">
            <v>VACANT</v>
          </cell>
          <cell r="F1061">
            <v>0.79166666666666663</v>
          </cell>
          <cell r="G1061" t="str">
            <v>VACANT</v>
          </cell>
          <cell r="I1061">
            <v>0.95138888888888884</v>
          </cell>
          <cell r="J1061" t="str">
            <v xml:space="preserve">RESUME LOADING </v>
          </cell>
          <cell r="L1061">
            <v>0.97222222222222221</v>
          </cell>
          <cell r="M1061" t="str">
            <v xml:space="preserve">RESUME LOADING </v>
          </cell>
          <cell r="O1061">
            <v>0.79166666666666663</v>
          </cell>
          <cell r="P1061" t="str">
            <v>CLOSE HATCH</v>
          </cell>
          <cell r="R1061">
            <v>0.79166666666666663</v>
          </cell>
          <cell r="S1061" t="str">
            <v>CLOSE HATCH</v>
          </cell>
          <cell r="U1061">
            <v>0.79166666666666663</v>
          </cell>
          <cell r="V1061" t="str">
            <v>VACANT</v>
          </cell>
          <cell r="X1061">
            <v>0.66666666666666663</v>
          </cell>
          <cell r="Y1061" t="str">
            <v>RAIN</v>
          </cell>
          <cell r="AA1061">
            <v>0.6875</v>
          </cell>
          <cell r="AB1061" t="str">
            <v>RESUME LOADING TONNER</v>
          </cell>
          <cell r="AD1061">
            <v>0.79166666666666663</v>
          </cell>
          <cell r="AE1061" t="str">
            <v>VACANT</v>
          </cell>
          <cell r="AG1061">
            <v>0.79166666666666663</v>
          </cell>
          <cell r="AH1061" t="str">
            <v>VACANT</v>
          </cell>
        </row>
        <row r="1062">
          <cell r="I1062">
            <v>0.9770833333333333</v>
          </cell>
          <cell r="J1062" t="str">
            <v xml:space="preserve">ONGOING LOADING </v>
          </cell>
          <cell r="L1062">
            <v>0.98263888888888884</v>
          </cell>
          <cell r="M1062" t="str">
            <v xml:space="preserve">ONGOING LOADING </v>
          </cell>
          <cell r="O1062">
            <v>0.9458333333333333</v>
          </cell>
          <cell r="P1062" t="str">
            <v xml:space="preserve">RESUME LOADING </v>
          </cell>
          <cell r="R1062">
            <v>0.97986111111111107</v>
          </cell>
          <cell r="S1062" t="str">
            <v xml:space="preserve">RESUME LOADING </v>
          </cell>
          <cell r="X1062">
            <v>0.69027777777777777</v>
          </cell>
          <cell r="Y1062" t="str">
            <v>RESUME LOADING LAST TRUCK</v>
          </cell>
          <cell r="AA1062">
            <v>0.70625000000000004</v>
          </cell>
          <cell r="AB1062" t="str">
            <v>CONTINUE LOADING TONNER</v>
          </cell>
        </row>
        <row r="1063">
          <cell r="I1063">
            <v>1.0416666666666666E-2</v>
          </cell>
          <cell r="J1063" t="str">
            <v xml:space="preserve">CONTINUE LOADING </v>
          </cell>
          <cell r="L1063">
            <v>0</v>
          </cell>
          <cell r="M1063" t="str">
            <v>WAITING MATERIAL</v>
          </cell>
          <cell r="O1063">
            <v>2.0833333333333333E-3</v>
          </cell>
          <cell r="P1063" t="str">
            <v xml:space="preserve">ONGOING LOADING </v>
          </cell>
          <cell r="R1063">
            <v>1.5277777777777777E-2</v>
          </cell>
          <cell r="S1063" t="str">
            <v xml:space="preserve">ONGOING LOADING </v>
          </cell>
          <cell r="X1063">
            <v>0.69722222222222219</v>
          </cell>
          <cell r="Y1063" t="str">
            <v>VESSEL COMPLETE</v>
          </cell>
          <cell r="AA1063">
            <v>0.72569444444444442</v>
          </cell>
          <cell r="AB1063" t="str">
            <v>CONTINUE LOADING TONNER</v>
          </cell>
        </row>
        <row r="1064">
          <cell r="I1064">
            <v>3.888888888888889E-2</v>
          </cell>
          <cell r="J1064" t="str">
            <v xml:space="preserve">ONGOING LOADING </v>
          </cell>
          <cell r="L1064">
            <v>2.6388888888888889E-2</v>
          </cell>
          <cell r="M1064" t="str">
            <v xml:space="preserve">RESUME LOADING </v>
          </cell>
          <cell r="O1064">
            <v>3.3333333333333333E-2</v>
          </cell>
          <cell r="P1064" t="str">
            <v xml:space="preserve">CONTINUE LOADING </v>
          </cell>
          <cell r="R1064">
            <v>3.888888888888889E-2</v>
          </cell>
          <cell r="S1064" t="str">
            <v xml:space="preserve">CONTINUE LOADING </v>
          </cell>
          <cell r="AA1064">
            <v>0.79166666666666663</v>
          </cell>
          <cell r="AB1064" t="str">
            <v>CLOSE HATCH</v>
          </cell>
        </row>
        <row r="1065">
          <cell r="I1065">
            <v>6.25E-2</v>
          </cell>
          <cell r="J1065" t="str">
            <v>WAITING MATERIAL</v>
          </cell>
          <cell r="L1065">
            <v>5.9027777777777776E-2</v>
          </cell>
          <cell r="M1065" t="str">
            <v xml:space="preserve">ONGOING LOADING </v>
          </cell>
          <cell r="O1065">
            <v>5.6250000000000001E-2</v>
          </cell>
          <cell r="P1065" t="str">
            <v>LOADING COMPLETE</v>
          </cell>
          <cell r="R1065">
            <v>5.6944444444444443E-2</v>
          </cell>
          <cell r="S1065" t="str">
            <v xml:space="preserve">ONGOING LOADING </v>
          </cell>
          <cell r="AA1065">
            <v>0.93958333333333333</v>
          </cell>
          <cell r="AB1065" t="str">
            <v xml:space="preserve">RESUME LOADING </v>
          </cell>
        </row>
        <row r="1066">
          <cell r="I1066">
            <v>8.3333333333333329E-2</v>
          </cell>
          <cell r="J1066" t="str">
            <v>WAITING MATERIAL</v>
          </cell>
          <cell r="L1066">
            <v>0.14305555555555555</v>
          </cell>
          <cell r="M1066" t="str">
            <v xml:space="preserve">CONTINUE LOADING </v>
          </cell>
          <cell r="R1066">
            <v>8.0555555555555561E-2</v>
          </cell>
          <cell r="S1066" t="str">
            <v xml:space="preserve">CONTINUE LOADING </v>
          </cell>
          <cell r="AA1066">
            <v>0.96736111111111112</v>
          </cell>
          <cell r="AB1066" t="str">
            <v xml:space="preserve">ONGOING LOADING </v>
          </cell>
        </row>
        <row r="1067">
          <cell r="I1067">
            <v>0.17569444444444443</v>
          </cell>
          <cell r="J1067" t="str">
            <v xml:space="preserve">RESUME LOADING </v>
          </cell>
          <cell r="L1067">
            <v>0.16944444444444445</v>
          </cell>
          <cell r="M1067" t="str">
            <v xml:space="preserve">ONGOING LOADING </v>
          </cell>
          <cell r="R1067">
            <v>9.5138888888888884E-2</v>
          </cell>
          <cell r="S1067" t="str">
            <v xml:space="preserve">ONGOING LOADING </v>
          </cell>
          <cell r="AA1067">
            <v>0</v>
          </cell>
          <cell r="AB1067" t="str">
            <v xml:space="preserve">FORKLIFT ONBOARD </v>
          </cell>
        </row>
        <row r="1068">
          <cell r="I1068">
            <v>0.1875</v>
          </cell>
          <cell r="J1068" t="str">
            <v>WAITING MATERIAL</v>
          </cell>
          <cell r="L1068">
            <v>0.18541666666666667</v>
          </cell>
          <cell r="M1068" t="str">
            <v>WAITING MATERIAL</v>
          </cell>
          <cell r="R1068">
            <v>0.12222222222222222</v>
          </cell>
          <cell r="S1068" t="str">
            <v xml:space="preserve">CONTINUE LOADING </v>
          </cell>
          <cell r="AA1068">
            <v>2.5000000000000001E-2</v>
          </cell>
          <cell r="AB1068" t="str">
            <v xml:space="preserve">RESUME LOADING </v>
          </cell>
        </row>
        <row r="1069">
          <cell r="R1069">
            <v>0.12847222222222221</v>
          </cell>
          <cell r="S1069" t="str">
            <v>LOADING COMPLETE</v>
          </cell>
          <cell r="AA1069">
            <v>7.4305555555555555E-2</v>
          </cell>
          <cell r="AB1069" t="str">
            <v xml:space="preserve">ONGOING LOADING </v>
          </cell>
        </row>
        <row r="1070">
          <cell r="C1070" t="str">
            <v xml:space="preserve"> </v>
          </cell>
          <cell r="AA1070">
            <v>0.12847222222222221</v>
          </cell>
          <cell r="AB1070" t="str">
            <v xml:space="preserve">CONTINUE LOADING </v>
          </cell>
        </row>
        <row r="1071">
          <cell r="AA1071">
            <v>0.16111111111111112</v>
          </cell>
          <cell r="AB1071" t="str">
            <v xml:space="preserve">ONGOING LOADING </v>
          </cell>
        </row>
        <row r="1072">
          <cell r="AA1072">
            <v>0.18402777777777779</v>
          </cell>
          <cell r="AB1072" t="str">
            <v xml:space="preserve">CONTINUE LOADING </v>
          </cell>
        </row>
        <row r="1073">
          <cell r="AA1073">
            <v>0.22916666666666666</v>
          </cell>
          <cell r="AB1073" t="str">
            <v>FOR FORKLIFT PULLOUT</v>
          </cell>
        </row>
        <row r="1074">
          <cell r="D1074" t="str">
            <v>VACANT</v>
          </cell>
          <cell r="G1074" t="str">
            <v>VACANT</v>
          </cell>
          <cell r="J1074" t="str">
            <v>LADY UNO</v>
          </cell>
          <cell r="M1074" t="str">
            <v>LADY OF WISDOM</v>
          </cell>
          <cell r="P1074" t="str">
            <v>VACANT</v>
          </cell>
          <cell r="S1074" t="str">
            <v>VACANT</v>
          </cell>
          <cell r="V1074" t="str">
            <v>VACANT</v>
          </cell>
          <cell r="Y1074" t="str">
            <v>VACANT</v>
          </cell>
          <cell r="AB1074" t="str">
            <v>EASTERN CEBU</v>
          </cell>
          <cell r="AE1074" t="str">
            <v>LADY ARMOR</v>
          </cell>
          <cell r="AH1074" t="str">
            <v>VACANT</v>
          </cell>
        </row>
        <row r="1075">
          <cell r="C1075">
            <v>0.29166666666666669</v>
          </cell>
          <cell r="D1075" t="str">
            <v>WAITING VESSEL</v>
          </cell>
          <cell r="F1075">
            <v>0.29166666666666669</v>
          </cell>
          <cell r="G1075" t="str">
            <v>WAITING VESSEL</v>
          </cell>
          <cell r="I1075">
            <v>0.31944444444444442</v>
          </cell>
          <cell r="J1075" t="str">
            <v>CONDUCT KY</v>
          </cell>
          <cell r="L1075">
            <v>0.29166666666666669</v>
          </cell>
          <cell r="M1075" t="str">
            <v>WAITING MATERIAL</v>
          </cell>
          <cell r="O1075">
            <v>0.29166666666666669</v>
          </cell>
          <cell r="P1075" t="str">
            <v>WAITING VESSEL</v>
          </cell>
          <cell r="R1075">
            <v>0.29166666666666669</v>
          </cell>
          <cell r="S1075" t="str">
            <v>WAITING VESSEL</v>
          </cell>
          <cell r="U1075">
            <v>0.29166666666666669</v>
          </cell>
          <cell r="V1075" t="str">
            <v>WAITING VESSEL</v>
          </cell>
          <cell r="X1075">
            <v>0.29166666666666669</v>
          </cell>
          <cell r="Y1075" t="str">
            <v>WAITING VESSEL</v>
          </cell>
          <cell r="AA1075">
            <v>0.32291666666666669</v>
          </cell>
          <cell r="AB1075" t="str">
            <v>CONDUCT KY</v>
          </cell>
          <cell r="AD1075">
            <v>0.29166666666666669</v>
          </cell>
          <cell r="AE1075" t="str">
            <v>WAITING VESSEL</v>
          </cell>
          <cell r="AG1075">
            <v>0.29166666666666669</v>
          </cell>
          <cell r="AH1075" t="str">
            <v>WAITING VESSEL</v>
          </cell>
        </row>
        <row r="1076">
          <cell r="C1076">
            <v>0.33333333333333331</v>
          </cell>
          <cell r="D1076" t="str">
            <v>WAITING VESSEL</v>
          </cell>
          <cell r="F1076">
            <v>0.33333333333333331</v>
          </cell>
          <cell r="G1076" t="str">
            <v>WAITING VESSEL</v>
          </cell>
          <cell r="I1076">
            <v>0.34513888888888888</v>
          </cell>
          <cell r="J1076" t="str">
            <v>CONTINUE LOADING SLING</v>
          </cell>
          <cell r="L1076">
            <v>0.33333333333333331</v>
          </cell>
          <cell r="M1076" t="str">
            <v>WAITING MATERIAL</v>
          </cell>
          <cell r="O1076">
            <v>0.33333333333333331</v>
          </cell>
          <cell r="P1076" t="str">
            <v>WAITING VESSEL</v>
          </cell>
          <cell r="R1076">
            <v>0.33333333333333331</v>
          </cell>
          <cell r="S1076" t="str">
            <v>WAITING VESSEL</v>
          </cell>
          <cell r="U1076">
            <v>0.33333333333333331</v>
          </cell>
          <cell r="V1076" t="str">
            <v>WAITING VESSEL</v>
          </cell>
          <cell r="X1076">
            <v>0.33333333333333331</v>
          </cell>
          <cell r="Y1076" t="str">
            <v>WAITING VESSEL</v>
          </cell>
          <cell r="AA1076">
            <v>0.33333333333333331</v>
          </cell>
          <cell r="AB1076" t="str">
            <v>CONTINUE LOADING TONNER</v>
          </cell>
          <cell r="AD1076">
            <v>0.33333333333333331</v>
          </cell>
          <cell r="AE1076" t="str">
            <v>WAITING VESSEL</v>
          </cell>
          <cell r="AG1076">
            <v>0.33333333333333331</v>
          </cell>
          <cell r="AH1076" t="str">
            <v>WAITING VESSEL</v>
          </cell>
        </row>
        <row r="1077">
          <cell r="C1077">
            <v>0.375</v>
          </cell>
          <cell r="D1077" t="str">
            <v>WAITING VESSEL</v>
          </cell>
          <cell r="F1077">
            <v>0.375</v>
          </cell>
          <cell r="G1077" t="str">
            <v>WAITING VESSEL</v>
          </cell>
          <cell r="I1077">
            <v>0.375</v>
          </cell>
          <cell r="J1077" t="str">
            <v>LOADING LOOSEBAG T1</v>
          </cell>
          <cell r="L1077">
            <v>0.375</v>
          </cell>
          <cell r="M1077" t="str">
            <v>WAITING MATERIAL</v>
          </cell>
          <cell r="O1077">
            <v>0.375</v>
          </cell>
          <cell r="P1077" t="str">
            <v>WAITING VESSEL</v>
          </cell>
          <cell r="R1077">
            <v>0.375</v>
          </cell>
          <cell r="S1077" t="str">
            <v>WAITING VESSEL</v>
          </cell>
          <cell r="U1077">
            <v>0.375</v>
          </cell>
          <cell r="V1077" t="str">
            <v>WAITING VESSEL</v>
          </cell>
          <cell r="X1077">
            <v>0.375</v>
          </cell>
          <cell r="Y1077" t="str">
            <v>WAITING VESSEL</v>
          </cell>
          <cell r="AA1077">
            <v>0.36875000000000002</v>
          </cell>
          <cell r="AB1077" t="str">
            <v>CONTINUE LOADING TONNER</v>
          </cell>
          <cell r="AD1077">
            <v>0.375</v>
          </cell>
          <cell r="AE1077" t="str">
            <v>WAITING VESSEL</v>
          </cell>
          <cell r="AG1077">
            <v>0.375</v>
          </cell>
          <cell r="AH1077" t="str">
            <v>WAITING VESSEL</v>
          </cell>
        </row>
        <row r="1078">
          <cell r="C1078">
            <v>0.41666666666666669</v>
          </cell>
          <cell r="D1078" t="str">
            <v>WAITING VESSEL</v>
          </cell>
          <cell r="F1078">
            <v>0.41666666666666669</v>
          </cell>
          <cell r="G1078" t="str">
            <v>WAITING VESSEL</v>
          </cell>
          <cell r="I1078">
            <v>0.44236111111111109</v>
          </cell>
          <cell r="J1078" t="str">
            <v>LOADING SLING T1</v>
          </cell>
          <cell r="L1078">
            <v>0.41666666666666669</v>
          </cell>
          <cell r="M1078" t="str">
            <v>WAITING MATERIAL</v>
          </cell>
          <cell r="O1078">
            <v>0.41666666666666669</v>
          </cell>
          <cell r="P1078" t="str">
            <v>WAITING VESSEL</v>
          </cell>
          <cell r="R1078">
            <v>0.41666666666666669</v>
          </cell>
          <cell r="S1078" t="str">
            <v>WAITING VESSEL</v>
          </cell>
          <cell r="U1078">
            <v>0.41666666666666669</v>
          </cell>
          <cell r="V1078" t="str">
            <v>WAITING VESSEL</v>
          </cell>
          <cell r="X1078">
            <v>0.41666666666666669</v>
          </cell>
          <cell r="Y1078" t="str">
            <v>WAITING VESSEL</v>
          </cell>
          <cell r="AA1078">
            <v>0.40416666666666667</v>
          </cell>
          <cell r="AB1078" t="str">
            <v>CONTINUE LOADING TONNER</v>
          </cell>
          <cell r="AD1078">
            <v>0.41666666666666669</v>
          </cell>
          <cell r="AE1078" t="str">
            <v>WAITING VESSEL</v>
          </cell>
          <cell r="AG1078">
            <v>0.41666666666666669</v>
          </cell>
          <cell r="AH1078" t="str">
            <v>WAITING VESSEL</v>
          </cell>
        </row>
        <row r="1079">
          <cell r="C1079">
            <v>0.45833333333333331</v>
          </cell>
          <cell r="D1079" t="str">
            <v>WAITING VESSEL</v>
          </cell>
          <cell r="F1079">
            <v>0.45833333333333331</v>
          </cell>
          <cell r="G1079" t="str">
            <v>WAITING VESSEL</v>
          </cell>
          <cell r="I1079">
            <v>0.46527777777777779</v>
          </cell>
          <cell r="J1079" t="str">
            <v>LOADING SLING T1</v>
          </cell>
          <cell r="L1079">
            <v>0.4375</v>
          </cell>
          <cell r="M1079" t="str">
            <v>RESUME LOADING SLING TS</v>
          </cell>
          <cell r="O1079">
            <v>0.45833333333333331</v>
          </cell>
          <cell r="P1079" t="str">
            <v>WAITING VESSEL</v>
          </cell>
          <cell r="R1079">
            <v>0.45833333333333331</v>
          </cell>
          <cell r="S1079" t="str">
            <v>WAITING VESSEL</v>
          </cell>
          <cell r="U1079">
            <v>0.45833333333333331</v>
          </cell>
          <cell r="V1079" t="str">
            <v>WAITING VESSEL</v>
          </cell>
          <cell r="X1079">
            <v>0.45833333333333331</v>
          </cell>
          <cell r="Y1079" t="str">
            <v>WAITING VESSEL</v>
          </cell>
          <cell r="AA1079">
            <v>0.42777777777777776</v>
          </cell>
          <cell r="AB1079" t="str">
            <v>CONTINUE LOADING TONNER</v>
          </cell>
          <cell r="AD1079">
            <v>0.45833333333333331</v>
          </cell>
          <cell r="AE1079" t="str">
            <v>WAITING VESSEL</v>
          </cell>
          <cell r="AG1079">
            <v>0.45833333333333331</v>
          </cell>
          <cell r="AH1079" t="str">
            <v>WAITING VESSEL</v>
          </cell>
        </row>
        <row r="1080">
          <cell r="C1080">
            <v>0.5</v>
          </cell>
          <cell r="D1080" t="str">
            <v>WAITING VESSEL</v>
          </cell>
          <cell r="F1080">
            <v>0.5</v>
          </cell>
          <cell r="G1080" t="str">
            <v>WAITING VESSEL</v>
          </cell>
          <cell r="I1080">
            <v>0.55555555555555558</v>
          </cell>
          <cell r="J1080" t="str">
            <v xml:space="preserve">RESUME LOADING </v>
          </cell>
          <cell r="L1080">
            <v>0.5541666666666667</v>
          </cell>
          <cell r="M1080" t="str">
            <v>RESUME LOADING</v>
          </cell>
          <cell r="O1080">
            <v>0.5</v>
          </cell>
          <cell r="P1080" t="str">
            <v>WAITING VESSEL</v>
          </cell>
          <cell r="R1080">
            <v>0.5</v>
          </cell>
          <cell r="S1080" t="str">
            <v>WAITING VESSEL</v>
          </cell>
          <cell r="U1080">
            <v>0.5</v>
          </cell>
          <cell r="V1080" t="str">
            <v>WAITING VESSEL</v>
          </cell>
          <cell r="X1080">
            <v>0.5</v>
          </cell>
          <cell r="Y1080" t="str">
            <v>WAITING VESSEL</v>
          </cell>
          <cell r="AA1080">
            <v>0.45416666666666666</v>
          </cell>
          <cell r="AB1080" t="str">
            <v>LOADING TONNER T1</v>
          </cell>
          <cell r="AD1080">
            <v>0.5</v>
          </cell>
          <cell r="AE1080" t="str">
            <v>WAITING VESSEL</v>
          </cell>
          <cell r="AG1080">
            <v>0.5</v>
          </cell>
          <cell r="AH1080" t="str">
            <v>WAITING VESSEL</v>
          </cell>
        </row>
        <row r="1081">
          <cell r="C1081">
            <v>0.54166666666666663</v>
          </cell>
          <cell r="D1081" t="str">
            <v>WAITING VESSEL</v>
          </cell>
          <cell r="F1081">
            <v>0.54166666666666663</v>
          </cell>
          <cell r="G1081" t="str">
            <v>WAITING VESSEL</v>
          </cell>
          <cell r="I1081">
            <v>0.6</v>
          </cell>
          <cell r="J1081" t="str">
            <v xml:space="preserve">CONTINUE LOADING </v>
          </cell>
          <cell r="L1081">
            <v>0.55972222222222223</v>
          </cell>
          <cell r="M1081" t="str">
            <v>CONTINUE LOADING</v>
          </cell>
          <cell r="O1081">
            <v>0.54166666666666663</v>
          </cell>
          <cell r="P1081" t="str">
            <v>WAITING VESSEL</v>
          </cell>
          <cell r="R1081">
            <v>0.54166666666666663</v>
          </cell>
          <cell r="S1081" t="str">
            <v>WAITING VESSEL</v>
          </cell>
          <cell r="U1081">
            <v>0.54166666666666663</v>
          </cell>
          <cell r="V1081" t="str">
            <v>WAITING VESSEL</v>
          </cell>
          <cell r="X1081">
            <v>0.54166666666666663</v>
          </cell>
          <cell r="Y1081" t="str">
            <v>WAITING VESSEL</v>
          </cell>
          <cell r="AA1081">
            <v>0.55555555555555558</v>
          </cell>
          <cell r="AB1081" t="str">
            <v xml:space="preserve">RESUME LOADING </v>
          </cell>
          <cell r="AD1081">
            <v>0.54166666666666663</v>
          </cell>
          <cell r="AE1081" t="str">
            <v>WAITING VESSEL</v>
          </cell>
          <cell r="AG1081">
            <v>0.54166666666666663</v>
          </cell>
          <cell r="AH1081" t="str">
            <v>WAITING VESSEL</v>
          </cell>
        </row>
        <row r="1082">
          <cell r="C1082">
            <v>0.79166666666666663</v>
          </cell>
          <cell r="D1082" t="str">
            <v>VACANT</v>
          </cell>
          <cell r="F1082">
            <v>0.79166666666666663</v>
          </cell>
          <cell r="G1082" t="str">
            <v>VACANT</v>
          </cell>
          <cell r="I1082">
            <v>0.64861111111111114</v>
          </cell>
          <cell r="J1082" t="str">
            <v xml:space="preserve">CONTINUE LOADING </v>
          </cell>
          <cell r="L1082">
            <v>0.59375</v>
          </cell>
          <cell r="M1082" t="str">
            <v xml:space="preserve">COMPLETE LOADING </v>
          </cell>
          <cell r="O1082">
            <v>0.79166666666666663</v>
          </cell>
          <cell r="P1082" t="str">
            <v>VACANT</v>
          </cell>
          <cell r="R1082">
            <v>0.79166666666666663</v>
          </cell>
          <cell r="S1082" t="str">
            <v>VACANT</v>
          </cell>
          <cell r="U1082">
            <v>0.79166666666666663</v>
          </cell>
          <cell r="V1082" t="str">
            <v>VACANT</v>
          </cell>
          <cell r="X1082">
            <v>0.79166666666666663</v>
          </cell>
          <cell r="Y1082" t="str">
            <v>VACANT</v>
          </cell>
          <cell r="AA1082">
            <v>0.5756944444444444</v>
          </cell>
          <cell r="AB1082" t="str">
            <v>CONTINUE LOADING</v>
          </cell>
          <cell r="AD1082">
            <v>0.72916666666666663</v>
          </cell>
          <cell r="AE1082" t="str">
            <v>NEW VESSEL</v>
          </cell>
          <cell r="AG1082">
            <v>0.79166666666666663</v>
          </cell>
          <cell r="AH1082" t="str">
            <v>VACANT</v>
          </cell>
        </row>
        <row r="1083">
          <cell r="I1083">
            <v>0.69305555555555554</v>
          </cell>
          <cell r="J1083" t="str">
            <v xml:space="preserve">CONTINUE LOADING </v>
          </cell>
          <cell r="L1083">
            <v>0.79166666666666663</v>
          </cell>
          <cell r="M1083" t="str">
            <v>VACANT</v>
          </cell>
          <cell r="AA1083">
            <v>0.58680555555555558</v>
          </cell>
          <cell r="AB1083" t="str">
            <v>CONTINUE LOADING</v>
          </cell>
          <cell r="AD1083">
            <v>0.79166666666666663</v>
          </cell>
          <cell r="AE1083" t="str">
            <v>KY TOOLBOX</v>
          </cell>
        </row>
        <row r="1084">
          <cell r="I1084">
            <v>0.70902777777777781</v>
          </cell>
          <cell r="J1084" t="str">
            <v>CONTINUE LOADING</v>
          </cell>
          <cell r="AA1084">
            <v>0.62986111111111109</v>
          </cell>
          <cell r="AB1084" t="str">
            <v>CONTINUE LOADING</v>
          </cell>
          <cell r="AD1084">
            <v>0.84722222222222221</v>
          </cell>
          <cell r="AE1084" t="str">
            <v xml:space="preserve">COMMENCE LOADING </v>
          </cell>
        </row>
        <row r="1085">
          <cell r="I1085">
            <v>0.79166666666666663</v>
          </cell>
          <cell r="J1085" t="str">
            <v>KY TOOLBOX</v>
          </cell>
          <cell r="AA1085">
            <v>0.66666666666666663</v>
          </cell>
          <cell r="AB1085" t="str">
            <v xml:space="preserve">CONTINUE LOADING </v>
          </cell>
          <cell r="AD1085">
            <v>0.85763888888888884</v>
          </cell>
          <cell r="AE1085" t="str">
            <v xml:space="preserve">ONGOING LOADING </v>
          </cell>
        </row>
        <row r="1086">
          <cell r="I1086">
            <v>0.83194444444444449</v>
          </cell>
          <cell r="J1086" t="str">
            <v xml:space="preserve">RESUME LOADING </v>
          </cell>
          <cell r="AA1086">
            <v>0.71875</v>
          </cell>
          <cell r="AB1086" t="str">
            <v xml:space="preserve">CONTINUE LOADING </v>
          </cell>
          <cell r="AD1086">
            <v>0.88194444444444442</v>
          </cell>
          <cell r="AE1086" t="str">
            <v xml:space="preserve">CONTINUE LOADING </v>
          </cell>
        </row>
        <row r="1087">
          <cell r="I1087">
            <v>0.8833333333333333</v>
          </cell>
          <cell r="J1087" t="str">
            <v xml:space="preserve">ONGOING LOADING </v>
          </cell>
          <cell r="AA1087">
            <v>0.79166666666666663</v>
          </cell>
          <cell r="AB1087" t="str">
            <v>KY TOOLBOX</v>
          </cell>
          <cell r="AD1087">
            <v>0.90277777777777779</v>
          </cell>
          <cell r="AE1087" t="str">
            <v xml:space="preserve">ONGOING LOADING </v>
          </cell>
        </row>
        <row r="1088">
          <cell r="I1088">
            <v>0.91666666666666663</v>
          </cell>
          <cell r="J1088" t="str">
            <v xml:space="preserve">CONTINUE LOADING </v>
          </cell>
          <cell r="AA1088">
            <v>0.83680555555555558</v>
          </cell>
          <cell r="AB1088" t="str">
            <v xml:space="preserve">RESUME LOADING </v>
          </cell>
          <cell r="AD1088">
            <v>0.94444444444444442</v>
          </cell>
          <cell r="AE1088" t="str">
            <v xml:space="preserve">CONTINUE LOADING </v>
          </cell>
        </row>
        <row r="1089">
          <cell r="I1089">
            <v>0.94097222222222221</v>
          </cell>
          <cell r="J1089" t="str">
            <v xml:space="preserve">ONGOING LOADING </v>
          </cell>
          <cell r="AA1089">
            <v>0.85416666666666663</v>
          </cell>
          <cell r="AB1089" t="str">
            <v xml:space="preserve">ONGOING LOADING </v>
          </cell>
          <cell r="AD1089">
            <v>0.98263888888888884</v>
          </cell>
          <cell r="AE1089" t="str">
            <v xml:space="preserve">ONGOING LOADING </v>
          </cell>
        </row>
        <row r="1090">
          <cell r="I1090">
            <v>0.95902777777777781</v>
          </cell>
          <cell r="J1090" t="str">
            <v xml:space="preserve">CONTINUE LOADING </v>
          </cell>
          <cell r="AA1090">
            <v>0.8881944444444444</v>
          </cell>
          <cell r="AB1090" t="str">
            <v xml:space="preserve">CONTINUE LOADING </v>
          </cell>
          <cell r="AD1090">
            <v>0</v>
          </cell>
          <cell r="AE1090" t="str">
            <v xml:space="preserve">CONTINUE LOADING </v>
          </cell>
        </row>
        <row r="1091">
          <cell r="I1091">
            <v>0.97638888888888886</v>
          </cell>
          <cell r="J1091" t="str">
            <v xml:space="preserve">ONGOING LOADING </v>
          </cell>
          <cell r="AA1091">
            <v>0.91180555555555554</v>
          </cell>
          <cell r="AB1091" t="str">
            <v xml:space="preserve">ONGOING LOADING </v>
          </cell>
          <cell r="AD1091">
            <v>2.7777777777777776E-2</v>
          </cell>
          <cell r="AE1091" t="str">
            <v xml:space="preserve">ONGOING LOADING </v>
          </cell>
        </row>
        <row r="1092">
          <cell r="I1092">
            <v>0.99652777777777779</v>
          </cell>
          <cell r="J1092" t="str">
            <v xml:space="preserve">CONTINUE LOADING </v>
          </cell>
          <cell r="AA1092">
            <v>0.94791666666666663</v>
          </cell>
          <cell r="AB1092" t="str">
            <v xml:space="preserve">CONTINUE LOADING </v>
          </cell>
          <cell r="AD1092">
            <v>4.8611111111111112E-2</v>
          </cell>
          <cell r="AE1092" t="str">
            <v xml:space="preserve">CONTINUE LOADING </v>
          </cell>
        </row>
        <row r="1093">
          <cell r="I1093">
            <v>1.2500000000000001E-2</v>
          </cell>
          <cell r="J1093" t="str">
            <v xml:space="preserve">ONGOING LOADING </v>
          </cell>
          <cell r="AA1093">
            <v>0.96111111111111114</v>
          </cell>
          <cell r="AB1093" t="str">
            <v>LOADING COMPLETE</v>
          </cell>
          <cell r="AD1093">
            <v>0.10416666666666667</v>
          </cell>
          <cell r="AE1093" t="str">
            <v>CLOSE HATCH</v>
          </cell>
        </row>
        <row r="1094">
          <cell r="I1094">
            <v>3.125E-2</v>
          </cell>
          <cell r="J1094" t="str">
            <v xml:space="preserve">CONTINUE LOADING </v>
          </cell>
        </row>
        <row r="1095">
          <cell r="I1095">
            <v>5.2777777777777778E-2</v>
          </cell>
          <cell r="J1095" t="str">
            <v xml:space="preserve">ONGOING LOADING </v>
          </cell>
        </row>
        <row r="1096">
          <cell r="I1096">
            <v>6.5277777777777782E-2</v>
          </cell>
          <cell r="J1096" t="str">
            <v xml:space="preserve">CONTINUE LOADING </v>
          </cell>
        </row>
        <row r="1097">
          <cell r="I1097">
            <v>7.7083333333333337E-2</v>
          </cell>
          <cell r="J1097" t="str">
            <v>LOADING COMPLETE</v>
          </cell>
        </row>
        <row r="1098">
          <cell r="D1098" t="str">
            <v>VACANT</v>
          </cell>
          <cell r="G1098" t="str">
            <v>VACANT</v>
          </cell>
          <cell r="J1098" t="str">
            <v>VACANT</v>
          </cell>
          <cell r="M1098" t="str">
            <v>VACANT</v>
          </cell>
          <cell r="P1098" t="str">
            <v>VACANT</v>
          </cell>
          <cell r="S1098" t="str">
            <v>VACANT</v>
          </cell>
          <cell r="V1098" t="str">
            <v>LADY OF PEACE</v>
          </cell>
          <cell r="Y1098" t="str">
            <v>VACANT</v>
          </cell>
          <cell r="AB1098" t="str">
            <v>VACANT</v>
          </cell>
          <cell r="AE1098" t="str">
            <v>VACANT</v>
          </cell>
          <cell r="AH1098" t="str">
            <v>VACANT</v>
          </cell>
        </row>
        <row r="1099">
          <cell r="C1099">
            <v>0.29166666666666669</v>
          </cell>
          <cell r="D1099" t="str">
            <v>WAITING VESSEL</v>
          </cell>
          <cell r="F1099">
            <v>0.29166666666666669</v>
          </cell>
          <cell r="G1099" t="str">
            <v>WAITING VESSEL</v>
          </cell>
          <cell r="I1099">
            <v>0.29166666666666669</v>
          </cell>
          <cell r="J1099" t="str">
            <v>VESSEL COMPLETE</v>
          </cell>
          <cell r="L1099">
            <v>0.29166666666666669</v>
          </cell>
          <cell r="M1099" t="str">
            <v>WAITING VESSEL</v>
          </cell>
          <cell r="O1099">
            <v>0.29166666666666669</v>
          </cell>
          <cell r="P1099" t="str">
            <v>WAITING VESSEL</v>
          </cell>
          <cell r="R1099">
            <v>0.29166666666666669</v>
          </cell>
          <cell r="S1099" t="str">
            <v>WAITING VESSEL</v>
          </cell>
          <cell r="U1099">
            <v>0.29166666666666669</v>
          </cell>
          <cell r="V1099" t="str">
            <v>NEWLY SECURED</v>
          </cell>
          <cell r="X1099">
            <v>0.29166666666666669</v>
          </cell>
          <cell r="Y1099" t="str">
            <v>WAITING VESSEL</v>
          </cell>
          <cell r="AA1099">
            <v>0.29166666666666669</v>
          </cell>
          <cell r="AB1099" t="str">
            <v>WAITING VESSEL</v>
          </cell>
          <cell r="AD1099">
            <v>0.29166666666666669</v>
          </cell>
          <cell r="AE1099" t="str">
            <v>KY TOOLBOX</v>
          </cell>
          <cell r="AG1099">
            <v>0.29166666666666669</v>
          </cell>
          <cell r="AH1099" t="str">
            <v>WAITING VESSEL</v>
          </cell>
        </row>
        <row r="1100">
          <cell r="C1100">
            <v>0.33333333333333331</v>
          </cell>
          <cell r="D1100" t="str">
            <v>WAITING VESSEL</v>
          </cell>
          <cell r="F1100">
            <v>0.33333333333333331</v>
          </cell>
          <cell r="G1100" t="str">
            <v>WAITING VESSEL</v>
          </cell>
          <cell r="L1100">
            <v>0.33333333333333331</v>
          </cell>
          <cell r="M1100" t="str">
            <v>WAITING VESSEL</v>
          </cell>
          <cell r="O1100">
            <v>0.33333333333333331</v>
          </cell>
          <cell r="P1100" t="str">
            <v>WAITING VESSEL</v>
          </cell>
          <cell r="R1100">
            <v>0.33333333333333331</v>
          </cell>
          <cell r="S1100" t="str">
            <v>WAITING VESSEL</v>
          </cell>
          <cell r="U1100">
            <v>0.57499999999999996</v>
          </cell>
          <cell r="V1100" t="str">
            <v xml:space="preserve">COMMENCE LOADING </v>
          </cell>
          <cell r="X1100">
            <v>0.33333333333333331</v>
          </cell>
          <cell r="Y1100" t="str">
            <v>WAITING VESSEL</v>
          </cell>
          <cell r="AA1100">
            <v>0.33333333333333331</v>
          </cell>
          <cell r="AB1100" t="str">
            <v>WAITING VESSEL</v>
          </cell>
          <cell r="AD1100">
            <v>0.31597222222222221</v>
          </cell>
          <cell r="AE1100" t="str">
            <v xml:space="preserve">CONTINUE LOADING </v>
          </cell>
          <cell r="AG1100">
            <v>0.33333333333333331</v>
          </cell>
          <cell r="AH1100" t="str">
            <v>WAITING VESSEL</v>
          </cell>
        </row>
        <row r="1101">
          <cell r="C1101">
            <v>0.375</v>
          </cell>
          <cell r="D1101" t="str">
            <v>WAITING VESSEL</v>
          </cell>
          <cell r="F1101">
            <v>0.375</v>
          </cell>
          <cell r="G1101" t="str">
            <v>WAITING VESSEL</v>
          </cell>
          <cell r="I1101">
            <v>0.79166666666666663</v>
          </cell>
          <cell r="J1101" t="str">
            <v>VACANT</v>
          </cell>
          <cell r="L1101">
            <v>0.375</v>
          </cell>
          <cell r="M1101" t="str">
            <v>WAITING VESSEL</v>
          </cell>
          <cell r="O1101">
            <v>0.375</v>
          </cell>
          <cell r="P1101" t="str">
            <v>WAITING VESSEL</v>
          </cell>
          <cell r="R1101">
            <v>0.375</v>
          </cell>
          <cell r="S1101" t="str">
            <v>WAITING VESSEL</v>
          </cell>
          <cell r="U1101">
            <v>0.59513888888888888</v>
          </cell>
          <cell r="V1101" t="str">
            <v>LOADINGSLING T1</v>
          </cell>
          <cell r="X1101">
            <v>0.375</v>
          </cell>
          <cell r="Y1101" t="str">
            <v>WAITING VESSEL</v>
          </cell>
          <cell r="AA1101">
            <v>0.375</v>
          </cell>
          <cell r="AB1101" t="str">
            <v>WAITING VESSEL</v>
          </cell>
          <cell r="AD1101">
            <v>0.35416666666666669</v>
          </cell>
          <cell r="AE1101" t="str">
            <v xml:space="preserve">CONTINUE LOADING </v>
          </cell>
          <cell r="AG1101">
            <v>0.375</v>
          </cell>
          <cell r="AH1101" t="str">
            <v>WAITING VESSEL</v>
          </cell>
        </row>
        <row r="1102">
          <cell r="C1102">
            <v>0.41666666666666669</v>
          </cell>
          <cell r="D1102" t="str">
            <v>WAITING VESSEL</v>
          </cell>
          <cell r="F1102">
            <v>0.41666666666666669</v>
          </cell>
          <cell r="G1102" t="str">
            <v>WAITING VESSEL</v>
          </cell>
          <cell r="L1102">
            <v>0.41666666666666669</v>
          </cell>
          <cell r="M1102" t="str">
            <v>WAITING VESSEL</v>
          </cell>
          <cell r="O1102">
            <v>0.41666666666666669</v>
          </cell>
          <cell r="P1102" t="str">
            <v>WAITING VESSEL</v>
          </cell>
          <cell r="R1102">
            <v>0.41666666666666669</v>
          </cell>
          <cell r="S1102" t="str">
            <v>WAITING VESSEL</v>
          </cell>
          <cell r="U1102">
            <v>0.61111111111111116</v>
          </cell>
          <cell r="V1102" t="str">
            <v>VESSEL CLOSE</v>
          </cell>
          <cell r="X1102">
            <v>0.41666666666666669</v>
          </cell>
          <cell r="Y1102" t="str">
            <v>WAITING VESSEL</v>
          </cell>
          <cell r="AA1102">
            <v>0.41666666666666669</v>
          </cell>
          <cell r="AB1102" t="str">
            <v>WAITING VESSEL</v>
          </cell>
          <cell r="AD1102">
            <v>0.3611111111111111</v>
          </cell>
          <cell r="AE1102" t="str">
            <v>LOADING SLING</v>
          </cell>
          <cell r="AG1102">
            <v>0.41666666666666669</v>
          </cell>
          <cell r="AH1102" t="str">
            <v>WAITING VESSEL</v>
          </cell>
        </row>
        <row r="1103">
          <cell r="C1103">
            <v>0.45833333333333331</v>
          </cell>
          <cell r="D1103" t="str">
            <v>WAITING VESSEL</v>
          </cell>
          <cell r="F1103">
            <v>0.45833333333333331</v>
          </cell>
          <cell r="G1103" t="str">
            <v>WAITING VESSEL</v>
          </cell>
          <cell r="L1103">
            <v>0.45833333333333331</v>
          </cell>
          <cell r="M1103" t="str">
            <v>WAITING VESSEL</v>
          </cell>
          <cell r="O1103">
            <v>0.45833333333333331</v>
          </cell>
          <cell r="P1103" t="str">
            <v>WAITING VESSEL</v>
          </cell>
          <cell r="R1103">
            <v>0.45833333333333331</v>
          </cell>
          <cell r="S1103" t="str">
            <v>WAITING VESSEL</v>
          </cell>
          <cell r="U1103">
            <v>0.625</v>
          </cell>
          <cell r="V1103" t="str">
            <v>VESSEL CLOSE</v>
          </cell>
          <cell r="X1103">
            <v>0.45833333333333331</v>
          </cell>
          <cell r="Y1103" t="str">
            <v>WAITING VESSEL</v>
          </cell>
          <cell r="AA1103">
            <v>0.45833333333333331</v>
          </cell>
          <cell r="AB1103" t="str">
            <v>WAITING VESSEL</v>
          </cell>
          <cell r="AD1103">
            <v>0.40972222222222221</v>
          </cell>
          <cell r="AE1103" t="str">
            <v>LOADING SLING</v>
          </cell>
          <cell r="AG1103">
            <v>0.45833333333333331</v>
          </cell>
          <cell r="AH1103" t="str">
            <v>WAITING VESSEL</v>
          </cell>
        </row>
        <row r="1104">
          <cell r="C1104">
            <v>0.5</v>
          </cell>
          <cell r="D1104" t="str">
            <v>WAITING VESSEL</v>
          </cell>
          <cell r="F1104">
            <v>0.5</v>
          </cell>
          <cell r="G1104" t="str">
            <v>WAITING VESSEL</v>
          </cell>
          <cell r="L1104">
            <v>0.5</v>
          </cell>
          <cell r="M1104" t="str">
            <v>WAITING VESSEL</v>
          </cell>
          <cell r="O1104">
            <v>0.5</v>
          </cell>
          <cell r="P1104" t="str">
            <v>WAITING VESSEL</v>
          </cell>
          <cell r="R1104">
            <v>0.5</v>
          </cell>
          <cell r="S1104" t="str">
            <v>WAITING VESSEL</v>
          </cell>
          <cell r="U1104">
            <v>0.66666666666666663</v>
          </cell>
          <cell r="V1104" t="str">
            <v>VESSEL CLOSE</v>
          </cell>
          <cell r="X1104">
            <v>0.5</v>
          </cell>
          <cell r="Y1104" t="str">
            <v>WAITING VESSEL</v>
          </cell>
          <cell r="AA1104">
            <v>0.5</v>
          </cell>
          <cell r="AB1104" t="str">
            <v>WAITING VESSEL</v>
          </cell>
          <cell r="AD1104">
            <v>0.4375</v>
          </cell>
          <cell r="AE1104" t="str">
            <v>LOADING SLING</v>
          </cell>
          <cell r="AG1104">
            <v>0.5</v>
          </cell>
          <cell r="AH1104" t="str">
            <v>WAITING VESSEL</v>
          </cell>
        </row>
        <row r="1105">
          <cell r="C1105">
            <v>0.54166666666666663</v>
          </cell>
          <cell r="D1105" t="str">
            <v>WAITING VESSEL</v>
          </cell>
          <cell r="F1105">
            <v>0.54166666666666663</v>
          </cell>
          <cell r="G1105" t="str">
            <v>WAITING VESSEL</v>
          </cell>
          <cell r="L1105">
            <v>0.54166666666666663</v>
          </cell>
          <cell r="M1105" t="str">
            <v>WAITING VESSEL</v>
          </cell>
          <cell r="O1105">
            <v>0.54166666666666663</v>
          </cell>
          <cell r="P1105" t="str">
            <v>WAITING VESSEL</v>
          </cell>
          <cell r="R1105">
            <v>0.54166666666666663</v>
          </cell>
          <cell r="S1105" t="str">
            <v>WAITING VESSEL</v>
          </cell>
          <cell r="U1105">
            <v>0.70833333333333337</v>
          </cell>
          <cell r="V1105" t="str">
            <v>VESSEL CLOSE</v>
          </cell>
          <cell r="X1105">
            <v>0.54166666666666663</v>
          </cell>
          <cell r="Y1105" t="str">
            <v>WAITING VESSEL</v>
          </cell>
          <cell r="AA1105">
            <v>0.54166666666666663</v>
          </cell>
          <cell r="AB1105" t="str">
            <v>WAITING VESSEL</v>
          </cell>
          <cell r="AD1105">
            <v>0.44791666666666669</v>
          </cell>
          <cell r="AE1105" t="str">
            <v>LOADING SLING</v>
          </cell>
          <cell r="AG1105">
            <v>0.54166666666666663</v>
          </cell>
          <cell r="AH1105" t="str">
            <v>WAITING VESSEL</v>
          </cell>
        </row>
        <row r="1106">
          <cell r="C1106">
            <v>0.58333333333333337</v>
          </cell>
          <cell r="D1106" t="str">
            <v>WAITING VESSEL</v>
          </cell>
          <cell r="F1106">
            <v>0.58333333333333337</v>
          </cell>
          <cell r="G1106" t="str">
            <v>WAITING VESSEL</v>
          </cell>
          <cell r="L1106">
            <v>0.58333333333333337</v>
          </cell>
          <cell r="M1106" t="str">
            <v>WAITING VESSEL</v>
          </cell>
          <cell r="O1106">
            <v>0.58333333333333337</v>
          </cell>
          <cell r="P1106" t="str">
            <v>WAITING VESSEL</v>
          </cell>
          <cell r="R1106">
            <v>0.58333333333333337</v>
          </cell>
          <cell r="S1106" t="str">
            <v>WAITING VESSEL</v>
          </cell>
          <cell r="U1106">
            <v>0.79166666666666663</v>
          </cell>
          <cell r="V1106" t="str">
            <v xml:space="preserve">CLOSE HATCH </v>
          </cell>
          <cell r="X1106">
            <v>0.58333333333333337</v>
          </cell>
          <cell r="Y1106" t="str">
            <v>WAITING VESSEL</v>
          </cell>
          <cell r="AA1106">
            <v>0.58333333333333337</v>
          </cell>
          <cell r="AB1106" t="str">
            <v>WAITING VESSEL</v>
          </cell>
          <cell r="AD1106">
            <v>0.46875</v>
          </cell>
          <cell r="AE1106" t="str">
            <v>LOADING SLING</v>
          </cell>
          <cell r="AG1106">
            <v>0.58333333333333337</v>
          </cell>
          <cell r="AH1106" t="str">
            <v>WAITING VESSEL</v>
          </cell>
        </row>
        <row r="1107">
          <cell r="C1107">
            <v>0.625</v>
          </cell>
          <cell r="D1107" t="str">
            <v>WAITING VESSEL</v>
          </cell>
          <cell r="F1107">
            <v>0.625</v>
          </cell>
          <cell r="G1107" t="str">
            <v>WAITING VESSEL</v>
          </cell>
          <cell r="L1107">
            <v>0.625</v>
          </cell>
          <cell r="M1107" t="str">
            <v>WAITING VESSEL</v>
          </cell>
          <cell r="O1107">
            <v>0.625</v>
          </cell>
          <cell r="P1107" t="str">
            <v>WAITING VESSEL</v>
          </cell>
          <cell r="R1107">
            <v>0.625</v>
          </cell>
          <cell r="S1107" t="str">
            <v>WAITING VESSEL</v>
          </cell>
          <cell r="U1107">
            <v>0.88055555555555554</v>
          </cell>
          <cell r="V1107" t="str">
            <v xml:space="preserve">RESUME LOADING </v>
          </cell>
          <cell r="X1107">
            <v>0.625</v>
          </cell>
          <cell r="Y1107" t="str">
            <v>WAITING VESSEL</v>
          </cell>
          <cell r="AA1107">
            <v>0.625</v>
          </cell>
          <cell r="AB1107" t="str">
            <v>WAITING VESSEL</v>
          </cell>
          <cell r="AD1107">
            <v>0.47916666666666669</v>
          </cell>
          <cell r="AE1107" t="str">
            <v>VESSEL COMPLETE</v>
          </cell>
          <cell r="AG1107">
            <v>0.625</v>
          </cell>
          <cell r="AH1107" t="str">
            <v>WAITING VESSEL</v>
          </cell>
        </row>
        <row r="1108">
          <cell r="C1108">
            <v>0.66666666666666663</v>
          </cell>
          <cell r="D1108" t="str">
            <v>WAITING VESSEL</v>
          </cell>
          <cell r="F1108">
            <v>0.66666666666666663</v>
          </cell>
          <cell r="G1108" t="str">
            <v>WAITING VESSEL</v>
          </cell>
          <cell r="L1108">
            <v>0.66666666666666663</v>
          </cell>
          <cell r="M1108" t="str">
            <v>WAITING VESSEL</v>
          </cell>
          <cell r="O1108">
            <v>0.66666666666666663</v>
          </cell>
          <cell r="P1108" t="str">
            <v>WAITING VESSEL</v>
          </cell>
          <cell r="R1108">
            <v>0.66666666666666663</v>
          </cell>
          <cell r="S1108" t="str">
            <v>WAITING VESSEL</v>
          </cell>
          <cell r="U1108">
            <v>0.89583333333333337</v>
          </cell>
          <cell r="V1108" t="str">
            <v xml:space="preserve">ONGOING LOADING </v>
          </cell>
          <cell r="X1108">
            <v>0.66666666666666663</v>
          </cell>
          <cell r="Y1108" t="str">
            <v>WAITING VESSEL</v>
          </cell>
          <cell r="AA1108">
            <v>0.66666666666666663</v>
          </cell>
          <cell r="AB1108" t="str">
            <v>WAITING VESSEL</v>
          </cell>
          <cell r="AG1108">
            <v>0.66666666666666663</v>
          </cell>
          <cell r="AH1108" t="str">
            <v>WAITING VESSEL</v>
          </cell>
        </row>
        <row r="1109">
          <cell r="C1109">
            <v>0.70833333333333337</v>
          </cell>
          <cell r="D1109" t="str">
            <v>WAITING VESSEL</v>
          </cell>
          <cell r="F1109">
            <v>0.70833333333333337</v>
          </cell>
          <cell r="G1109" t="str">
            <v>WAITING VESSEL</v>
          </cell>
          <cell r="L1109">
            <v>0.70833333333333337</v>
          </cell>
          <cell r="M1109" t="str">
            <v>WAITING VESSEL</v>
          </cell>
          <cell r="O1109">
            <v>0.70833333333333337</v>
          </cell>
          <cell r="P1109" t="str">
            <v>WAITING VESSEL</v>
          </cell>
          <cell r="R1109">
            <v>0.70833333333333337</v>
          </cell>
          <cell r="S1109" t="str">
            <v>WAITING VESSEL</v>
          </cell>
          <cell r="U1109">
            <v>0.91527777777777775</v>
          </cell>
          <cell r="V1109" t="str">
            <v>CONTINUE LOADING</v>
          </cell>
          <cell r="X1109">
            <v>0.70833333333333337</v>
          </cell>
          <cell r="Y1109" t="str">
            <v>WAITING VESSEL</v>
          </cell>
          <cell r="AA1109">
            <v>0.70833333333333337</v>
          </cell>
          <cell r="AB1109" t="str">
            <v>WAITING VESSEL</v>
          </cell>
          <cell r="AG1109">
            <v>0.70833333333333337</v>
          </cell>
          <cell r="AH1109" t="str">
            <v>WAITING VESSEL</v>
          </cell>
        </row>
        <row r="1110">
          <cell r="C1110">
            <v>0.79166666666666663</v>
          </cell>
          <cell r="D1110" t="str">
            <v>VACANT</v>
          </cell>
          <cell r="F1110">
            <v>0.79166666666666663</v>
          </cell>
          <cell r="G1110" t="str">
            <v>VACANT</v>
          </cell>
          <cell r="L1110">
            <v>0.79166666666666663</v>
          </cell>
          <cell r="M1110" t="str">
            <v>VACANT</v>
          </cell>
          <cell r="O1110">
            <v>0.79166666666666663</v>
          </cell>
          <cell r="P1110" t="str">
            <v>VACANT</v>
          </cell>
          <cell r="R1110">
            <v>0.79166666666666663</v>
          </cell>
          <cell r="S1110" t="str">
            <v>VACANT</v>
          </cell>
          <cell r="U1110">
            <v>0.93472222222222223</v>
          </cell>
          <cell r="V1110" t="str">
            <v xml:space="preserve">ONGOING LOADING </v>
          </cell>
          <cell r="X1110">
            <v>0.79166666666666663</v>
          </cell>
          <cell r="Y1110" t="str">
            <v>VACANT</v>
          </cell>
          <cell r="AA1110">
            <v>0.79166666666666663</v>
          </cell>
          <cell r="AB1110" t="str">
            <v>VACANT</v>
          </cell>
          <cell r="AG1110">
            <v>0.79166666666666663</v>
          </cell>
          <cell r="AH1110" t="str">
            <v>VACANT</v>
          </cell>
        </row>
        <row r="1111">
          <cell r="U1111">
            <v>0.94374999999999998</v>
          </cell>
          <cell r="V1111" t="str">
            <v xml:space="preserve">CONTINUE LOADING </v>
          </cell>
        </row>
        <row r="1112">
          <cell r="U1112">
            <v>0.96180555555555558</v>
          </cell>
          <cell r="V1112" t="str">
            <v xml:space="preserve">ONGOING LOADING </v>
          </cell>
        </row>
        <row r="1113">
          <cell r="U1113">
            <v>4.7222222222222221E-2</v>
          </cell>
          <cell r="V1113" t="str">
            <v xml:space="preserve">CONTINUE LOADING </v>
          </cell>
        </row>
        <row r="1114">
          <cell r="U1114">
            <v>7.1527777777777773E-2</v>
          </cell>
          <cell r="V1114" t="str">
            <v xml:space="preserve">ONGOING LOADING </v>
          </cell>
        </row>
        <row r="1115">
          <cell r="U1115">
            <v>0.10416666666666667</v>
          </cell>
          <cell r="V1115" t="str">
            <v xml:space="preserve">CLOSE HATCH </v>
          </cell>
        </row>
        <row r="1116">
          <cell r="D1116" t="str">
            <v>INFINITY 8</v>
          </cell>
          <cell r="G1116" t="str">
            <v>VACANT</v>
          </cell>
          <cell r="J1116" t="str">
            <v>VACANT</v>
          </cell>
          <cell r="M1116" t="str">
            <v>VACANT</v>
          </cell>
          <cell r="P1116" t="str">
            <v>QUEEN CAROLYN</v>
          </cell>
          <cell r="S1116" t="str">
            <v>AGNES LILYGENE</v>
          </cell>
          <cell r="V1116" t="str">
            <v>LADY OF PEACE</v>
          </cell>
          <cell r="Y1116" t="str">
            <v>EFG 5</v>
          </cell>
          <cell r="AB1116" t="str">
            <v>STAR ILIGAN</v>
          </cell>
          <cell r="AE1116" t="str">
            <v>VACANT</v>
          </cell>
          <cell r="AH1116" t="str">
            <v>VACANT</v>
          </cell>
        </row>
        <row r="1117">
          <cell r="C1117">
            <v>0.29166666666666669</v>
          </cell>
          <cell r="D1117" t="str">
            <v>WAITING VESSEL</v>
          </cell>
          <cell r="F1117">
            <v>0.29166666666666669</v>
          </cell>
          <cell r="G1117" t="str">
            <v>WAITING VESSEL</v>
          </cell>
          <cell r="I1117">
            <v>0.29166666666666669</v>
          </cell>
          <cell r="J1117" t="str">
            <v>WAITING VESSEL</v>
          </cell>
          <cell r="L1117">
            <v>0.29166666666666669</v>
          </cell>
          <cell r="M1117" t="str">
            <v>WAITING VESSEL</v>
          </cell>
          <cell r="O1117">
            <v>0.29166666666666669</v>
          </cell>
          <cell r="P1117" t="str">
            <v>WAITING VESSEL</v>
          </cell>
          <cell r="R1117">
            <v>0.29166666666666669</v>
          </cell>
          <cell r="S1117" t="str">
            <v>WAITING VESSEL</v>
          </cell>
          <cell r="U1117">
            <v>0.32291666666666669</v>
          </cell>
          <cell r="V1117" t="str">
            <v>CONDUCT KY</v>
          </cell>
          <cell r="X1117">
            <v>0.29166666666666669</v>
          </cell>
          <cell r="Y1117" t="str">
            <v>WAITING VESSEL</v>
          </cell>
          <cell r="AA1117">
            <v>0.29166666666666669</v>
          </cell>
          <cell r="AB1117" t="str">
            <v>NEW VESSEL</v>
          </cell>
          <cell r="AD1117">
            <v>0.29166666666666669</v>
          </cell>
          <cell r="AE1117" t="str">
            <v>WAITING VESSEL</v>
          </cell>
          <cell r="AG1117">
            <v>0.29166666666666669</v>
          </cell>
          <cell r="AH1117" t="str">
            <v>WAITING VESSEL</v>
          </cell>
        </row>
        <row r="1118">
          <cell r="C1118">
            <v>0.45833333333333331</v>
          </cell>
          <cell r="D1118" t="str">
            <v>NEW VESSEL</v>
          </cell>
          <cell r="F1118">
            <v>0.33333333333333331</v>
          </cell>
          <cell r="G1118" t="str">
            <v>WAITING VESSEL</v>
          </cell>
          <cell r="I1118">
            <v>0.33333333333333331</v>
          </cell>
          <cell r="J1118" t="str">
            <v>WAITING VESSEL</v>
          </cell>
          <cell r="L1118">
            <v>0.33333333333333331</v>
          </cell>
          <cell r="M1118" t="str">
            <v>WAITING VESSEL</v>
          </cell>
          <cell r="O1118">
            <v>0.33333333333333331</v>
          </cell>
          <cell r="P1118" t="str">
            <v>WAITING VESSEL</v>
          </cell>
          <cell r="R1118">
            <v>0.33333333333333331</v>
          </cell>
          <cell r="S1118" t="str">
            <v>WAITING VESSEL</v>
          </cell>
          <cell r="U1118">
            <v>0.33611111111111114</v>
          </cell>
          <cell r="V1118" t="str">
            <v>START LOADING SLING TI</v>
          </cell>
          <cell r="X1118">
            <v>0.33333333333333331</v>
          </cell>
          <cell r="Y1118" t="str">
            <v>WAITING VESSEL</v>
          </cell>
          <cell r="AA1118">
            <v>0.45833333333333331</v>
          </cell>
          <cell r="AB1118" t="str">
            <v xml:space="preserve">VESSEL CLOSE </v>
          </cell>
          <cell r="AD1118">
            <v>0.33333333333333331</v>
          </cell>
          <cell r="AE1118" t="str">
            <v>WAITING VESSEL</v>
          </cell>
          <cell r="AG1118">
            <v>0.33333333333333331</v>
          </cell>
          <cell r="AH1118" t="str">
            <v>WAITING VESSEL</v>
          </cell>
        </row>
        <row r="1119">
          <cell r="C1119">
            <v>0.54166666666666663</v>
          </cell>
          <cell r="D1119" t="str">
            <v xml:space="preserve">VESSEL CLOSE </v>
          </cell>
          <cell r="F1119">
            <v>0.375</v>
          </cell>
          <cell r="G1119" t="str">
            <v>WAITING VESSEL</v>
          </cell>
          <cell r="I1119">
            <v>0.375</v>
          </cell>
          <cell r="J1119" t="str">
            <v>WAITING VESSEL</v>
          </cell>
          <cell r="L1119">
            <v>0.375</v>
          </cell>
          <cell r="M1119" t="str">
            <v>WAITING VESSEL</v>
          </cell>
          <cell r="O1119">
            <v>0.375</v>
          </cell>
          <cell r="P1119" t="str">
            <v>WAITING VESSEL</v>
          </cell>
          <cell r="R1119">
            <v>0.375</v>
          </cell>
          <cell r="S1119" t="str">
            <v>WAITING VESSEL</v>
          </cell>
          <cell r="U1119">
            <v>0.35486111111111113</v>
          </cell>
          <cell r="V1119" t="str">
            <v>CONTINUE LOADING SLING</v>
          </cell>
          <cell r="X1119">
            <v>0.375</v>
          </cell>
          <cell r="Y1119" t="str">
            <v>WAITING VESSEL</v>
          </cell>
          <cell r="AA1119">
            <v>0.54166666666666663</v>
          </cell>
          <cell r="AB1119" t="str">
            <v xml:space="preserve">VESSEL CLOSE </v>
          </cell>
          <cell r="AD1119">
            <v>0.375</v>
          </cell>
          <cell r="AE1119" t="str">
            <v>WAITING VESSEL</v>
          </cell>
          <cell r="AG1119">
            <v>0.375</v>
          </cell>
          <cell r="AH1119" t="str">
            <v>WAITING VESSEL</v>
          </cell>
        </row>
        <row r="1120">
          <cell r="C1120">
            <v>0.58333333333333337</v>
          </cell>
          <cell r="D1120" t="str">
            <v xml:space="preserve">VESSEL CLOSE </v>
          </cell>
          <cell r="F1120">
            <v>0.41666666666666669</v>
          </cell>
          <cell r="G1120" t="str">
            <v>WAITING VESSEL</v>
          </cell>
          <cell r="I1120">
            <v>0.41666666666666669</v>
          </cell>
          <cell r="J1120" t="str">
            <v>WAITING VESSEL</v>
          </cell>
          <cell r="L1120">
            <v>0.41666666666666669</v>
          </cell>
          <cell r="M1120" t="str">
            <v>WAITING VESSEL</v>
          </cell>
          <cell r="O1120">
            <v>0.41666666666666669</v>
          </cell>
          <cell r="P1120" t="str">
            <v>WAITING VESSEL</v>
          </cell>
          <cell r="R1120">
            <v>0.41666666666666669</v>
          </cell>
          <cell r="S1120" t="str">
            <v>WAITING VESSEL</v>
          </cell>
          <cell r="U1120">
            <v>0.37152777777777779</v>
          </cell>
          <cell r="V1120" t="str">
            <v>CONTINUE LOADING</v>
          </cell>
          <cell r="X1120">
            <v>0.41666666666666669</v>
          </cell>
          <cell r="Y1120" t="str">
            <v>WAITING VESSEL</v>
          </cell>
          <cell r="AA1120">
            <v>0.58333333333333337</v>
          </cell>
          <cell r="AB1120" t="str">
            <v xml:space="preserve">VESSEL CLOSE </v>
          </cell>
          <cell r="AD1120">
            <v>0.41666666666666669</v>
          </cell>
          <cell r="AE1120" t="str">
            <v>WAITING VESSEL</v>
          </cell>
          <cell r="AG1120">
            <v>0.41666666666666669</v>
          </cell>
          <cell r="AH1120" t="str">
            <v>WAITING VESSEL</v>
          </cell>
        </row>
        <row r="1121">
          <cell r="C1121">
            <v>0.625</v>
          </cell>
          <cell r="D1121" t="str">
            <v xml:space="preserve">VESSEL CLOSE </v>
          </cell>
          <cell r="F1121">
            <v>0.45833333333333331</v>
          </cell>
          <cell r="G1121" t="str">
            <v>WAITING VESSEL</v>
          </cell>
          <cell r="I1121">
            <v>0.45833333333333331</v>
          </cell>
          <cell r="J1121" t="str">
            <v>WAITING VESSEL</v>
          </cell>
          <cell r="L1121">
            <v>0.45833333333333331</v>
          </cell>
          <cell r="M1121" t="str">
            <v>WAITING VESSEL</v>
          </cell>
          <cell r="O1121">
            <v>0.45833333333333331</v>
          </cell>
          <cell r="P1121" t="str">
            <v>WAITING VESSEL</v>
          </cell>
          <cell r="R1121">
            <v>0.45833333333333331</v>
          </cell>
          <cell r="S1121" t="str">
            <v>WAITING VESSEL</v>
          </cell>
          <cell r="U1121">
            <v>0.38541666666666669</v>
          </cell>
          <cell r="V1121" t="str">
            <v>VESSEL CLOSE</v>
          </cell>
          <cell r="X1121">
            <v>0.45833333333333331</v>
          </cell>
          <cell r="Y1121" t="str">
            <v>WAITING VESSEL</v>
          </cell>
          <cell r="AA1121">
            <v>0.625</v>
          </cell>
          <cell r="AB1121" t="str">
            <v xml:space="preserve">VESSEL CLOSE </v>
          </cell>
          <cell r="AD1121">
            <v>0.45833333333333331</v>
          </cell>
          <cell r="AE1121" t="str">
            <v>WAITING VESSEL</v>
          </cell>
          <cell r="AG1121">
            <v>0.45833333333333331</v>
          </cell>
          <cell r="AH1121" t="str">
            <v>WAITING VESSEL</v>
          </cell>
        </row>
        <row r="1122">
          <cell r="C1122">
            <v>0.79166666666666663</v>
          </cell>
          <cell r="D1122" t="str">
            <v>CLOSE HATCH</v>
          </cell>
          <cell r="F1122">
            <v>0.5</v>
          </cell>
          <cell r="G1122" t="str">
            <v>WAITING VESSEL</v>
          </cell>
          <cell r="I1122">
            <v>0.5</v>
          </cell>
          <cell r="J1122" t="str">
            <v>WAITING VESSEL</v>
          </cell>
          <cell r="L1122">
            <v>0.5</v>
          </cell>
          <cell r="M1122" t="str">
            <v>WAITING VESSEL</v>
          </cell>
          <cell r="O1122">
            <v>0.5</v>
          </cell>
          <cell r="P1122" t="str">
            <v>WAITING VESSEL</v>
          </cell>
          <cell r="R1122">
            <v>0.5625</v>
          </cell>
          <cell r="S1122" t="str">
            <v xml:space="preserve">NEW VESSEL </v>
          </cell>
          <cell r="U1122">
            <v>0.41666666666666669</v>
          </cell>
          <cell r="V1122" t="str">
            <v>VESSEL CLOSE</v>
          </cell>
          <cell r="X1122">
            <v>0.47916666666666669</v>
          </cell>
          <cell r="Y1122" t="str">
            <v>NEW VESSEL</v>
          </cell>
          <cell r="AA1122">
            <v>0.79166666666666663</v>
          </cell>
          <cell r="AB1122" t="str">
            <v>CLOSE HATCH</v>
          </cell>
          <cell r="AD1122">
            <v>0.5</v>
          </cell>
          <cell r="AE1122" t="str">
            <v>WAITING VESSEL</v>
          </cell>
          <cell r="AG1122">
            <v>0.5</v>
          </cell>
          <cell r="AH1122" t="str">
            <v>WAITING VESSEL</v>
          </cell>
        </row>
        <row r="1123">
          <cell r="C1123">
            <v>0.16666666666666666</v>
          </cell>
          <cell r="D1123" t="str">
            <v>REFUSE TO OPEN HATCH</v>
          </cell>
          <cell r="F1123">
            <v>0.54166666666666663</v>
          </cell>
          <cell r="G1123" t="str">
            <v>WAITING VESSEL</v>
          </cell>
          <cell r="I1123">
            <v>0.54166666666666663</v>
          </cell>
          <cell r="J1123" t="str">
            <v>WAITING VESSEL</v>
          </cell>
          <cell r="L1123">
            <v>0.54166666666666663</v>
          </cell>
          <cell r="M1123" t="str">
            <v>WAITING VESSEL</v>
          </cell>
          <cell r="O1123">
            <v>0.54166666666666663</v>
          </cell>
          <cell r="P1123" t="str">
            <v>WAITING VESSEL</v>
          </cell>
          <cell r="R1123">
            <v>0.58333333333333337</v>
          </cell>
          <cell r="S1123" t="str">
            <v xml:space="preserve">VESSEL CLOSE </v>
          </cell>
          <cell r="U1123">
            <v>0.45833333333333331</v>
          </cell>
          <cell r="V1123" t="str">
            <v>VESSEL CLOSE</v>
          </cell>
          <cell r="X1123">
            <v>0.5</v>
          </cell>
          <cell r="Y1123" t="str">
            <v xml:space="preserve">VESSEL CLOSE </v>
          </cell>
          <cell r="AA1123">
            <v>0.16666666666666666</v>
          </cell>
          <cell r="AB1123" t="str">
            <v>OPENING HATCHES</v>
          </cell>
          <cell r="AD1123">
            <v>0.54166666666666663</v>
          </cell>
          <cell r="AE1123" t="str">
            <v>WAITING VESSEL</v>
          </cell>
          <cell r="AG1123">
            <v>0.54166666666666663</v>
          </cell>
          <cell r="AH1123" t="str">
            <v>WAITING VESSEL</v>
          </cell>
        </row>
        <row r="1124">
          <cell r="F1124">
            <v>0.58333333333333337</v>
          </cell>
          <cell r="G1124" t="str">
            <v>WAITING VESSEL</v>
          </cell>
          <cell r="I1124">
            <v>0.58333333333333337</v>
          </cell>
          <cell r="J1124" t="str">
            <v>WAITING VESSEL</v>
          </cell>
          <cell r="L1124">
            <v>0.58333333333333337</v>
          </cell>
          <cell r="M1124" t="str">
            <v>WAITING VESSEL</v>
          </cell>
          <cell r="O1124">
            <v>0.58333333333333337</v>
          </cell>
          <cell r="P1124" t="str">
            <v>WAITING VESSEL</v>
          </cell>
          <cell r="R1124">
            <v>0.625</v>
          </cell>
          <cell r="S1124" t="str">
            <v xml:space="preserve">VESSEL CLOSE </v>
          </cell>
          <cell r="U1124">
            <v>0.54166666666666663</v>
          </cell>
          <cell r="V1124" t="str">
            <v xml:space="preserve">VESSEL CLOSE </v>
          </cell>
          <cell r="X1124">
            <v>0.54166666666666663</v>
          </cell>
          <cell r="Y1124" t="str">
            <v xml:space="preserve">VESSEL CLOSE </v>
          </cell>
          <cell r="AA1124">
            <v>0.1875</v>
          </cell>
          <cell r="AB1124" t="str">
            <v xml:space="preserve">FORKLIFT ONBOARD </v>
          </cell>
          <cell r="AD1124">
            <v>0.58333333333333337</v>
          </cell>
          <cell r="AE1124" t="str">
            <v>WAITING VESSEL</v>
          </cell>
          <cell r="AG1124">
            <v>0.58333333333333337</v>
          </cell>
          <cell r="AH1124" t="str">
            <v>WAITING VESSEL</v>
          </cell>
        </row>
        <row r="1125">
          <cell r="F1125">
            <v>0.625</v>
          </cell>
          <cell r="G1125" t="str">
            <v>WAITING VESSEL</v>
          </cell>
          <cell r="I1125">
            <v>0.625</v>
          </cell>
          <cell r="J1125" t="str">
            <v>WAITING VESSEL</v>
          </cell>
          <cell r="L1125">
            <v>0.625</v>
          </cell>
          <cell r="M1125" t="str">
            <v>WAITING VESSEL</v>
          </cell>
          <cell r="O1125">
            <v>0.625</v>
          </cell>
          <cell r="P1125" t="str">
            <v>WAITING VESSEL</v>
          </cell>
          <cell r="R1125">
            <v>0.79166666666666663</v>
          </cell>
          <cell r="S1125" t="str">
            <v>CLOSE HATCH</v>
          </cell>
          <cell r="U1125">
            <v>0.58333333333333337</v>
          </cell>
          <cell r="V1125" t="str">
            <v xml:space="preserve">VESSEL CLOSE </v>
          </cell>
          <cell r="X1125">
            <v>0.58333333333333337</v>
          </cell>
          <cell r="Y1125" t="str">
            <v xml:space="preserve">VESSEL CLOSE </v>
          </cell>
          <cell r="AA1125">
            <v>0.19583333333333333</v>
          </cell>
          <cell r="AB1125" t="str">
            <v xml:space="preserve">COMMENCE LOADING </v>
          </cell>
          <cell r="AD1125">
            <v>0.625</v>
          </cell>
          <cell r="AE1125" t="str">
            <v>WAITING VESSEL</v>
          </cell>
          <cell r="AG1125">
            <v>0.625</v>
          </cell>
          <cell r="AH1125" t="str">
            <v>WAITING VESSEL</v>
          </cell>
        </row>
        <row r="1126">
          <cell r="F1126">
            <v>0.79166666666666663</v>
          </cell>
          <cell r="G1126" t="str">
            <v>VACANT</v>
          </cell>
          <cell r="I1126">
            <v>0.79166666666666663</v>
          </cell>
          <cell r="J1126" t="str">
            <v>VACANT</v>
          </cell>
          <cell r="L1126">
            <v>0.79166666666666663</v>
          </cell>
          <cell r="M1126" t="str">
            <v>VACANT</v>
          </cell>
          <cell r="O1126">
            <v>0.66666666666666663</v>
          </cell>
          <cell r="P1126" t="str">
            <v>FOR DOCKING</v>
          </cell>
          <cell r="R1126">
            <v>0.16666666666666666</v>
          </cell>
          <cell r="S1126" t="str">
            <v>OPENING HATCHES</v>
          </cell>
          <cell r="U1126">
            <v>0.625</v>
          </cell>
          <cell r="V1126" t="str">
            <v xml:space="preserve">VESSEL CLOSE </v>
          </cell>
          <cell r="X1126">
            <v>0.625</v>
          </cell>
          <cell r="Y1126" t="str">
            <v xml:space="preserve">VESSEL CLOSE </v>
          </cell>
          <cell r="AA1126">
            <v>0.20833333333333334</v>
          </cell>
          <cell r="AB1126" t="str">
            <v>WAITING GEO</v>
          </cell>
          <cell r="AD1126">
            <v>0.79166666666666663</v>
          </cell>
          <cell r="AE1126" t="str">
            <v>VACANT</v>
          </cell>
          <cell r="AG1126">
            <v>0.79166666666666663</v>
          </cell>
          <cell r="AH1126" t="str">
            <v>VACANT</v>
          </cell>
        </row>
        <row r="1127">
          <cell r="O1127">
            <v>0.6875</v>
          </cell>
          <cell r="P1127" t="str">
            <v>DOCKED &amp; SECURED</v>
          </cell>
          <cell r="R1127">
            <v>0.18611111111111112</v>
          </cell>
          <cell r="S1127" t="str">
            <v xml:space="preserve">COMMENCE LOADING </v>
          </cell>
          <cell r="U1127">
            <v>0.79166666666666663</v>
          </cell>
          <cell r="V1127" t="str">
            <v xml:space="preserve">CLOSE HATCH </v>
          </cell>
          <cell r="X1127">
            <v>0.79166666666666663</v>
          </cell>
          <cell r="Y1127" t="str">
            <v>CLOSE HATCH</v>
          </cell>
        </row>
        <row r="1128">
          <cell r="O1128">
            <v>0.29166666666666669</v>
          </cell>
          <cell r="P1128" t="str">
            <v>STANDBY</v>
          </cell>
          <cell r="R1128">
            <v>0.2013888888888889</v>
          </cell>
          <cell r="S1128" t="str">
            <v xml:space="preserve">ONGOING LOADING </v>
          </cell>
          <cell r="U1128">
            <v>0.16666666666666666</v>
          </cell>
          <cell r="V1128" t="str">
            <v>OPENING HATCHES</v>
          </cell>
          <cell r="X1128">
            <v>0.16666666666666666</v>
          </cell>
          <cell r="Y1128" t="str">
            <v>OPENING HATCHES</v>
          </cell>
        </row>
        <row r="1129">
          <cell r="R1129">
            <v>0.21319444444444444</v>
          </cell>
          <cell r="S1129" t="str">
            <v xml:space="preserve">CONTINUE LOADING </v>
          </cell>
          <cell r="U1129">
            <v>0.18055555555555555</v>
          </cell>
          <cell r="V1129" t="str">
            <v xml:space="preserve">RESUME LOADING </v>
          </cell>
          <cell r="X1129">
            <v>0.1736111111111111</v>
          </cell>
          <cell r="Y1129" t="str">
            <v xml:space="preserve">ONBOARD FORKLIFT </v>
          </cell>
        </row>
        <row r="1130">
          <cell r="R1130">
            <v>0.23958333333333334</v>
          </cell>
          <cell r="S1130" t="str">
            <v xml:space="preserve">ONGOING LOADING </v>
          </cell>
          <cell r="U1130">
            <v>0.18611111111111112</v>
          </cell>
          <cell r="V1130" t="str">
            <v xml:space="preserve">ONGOING LOADING </v>
          </cell>
          <cell r="X1130">
            <v>0.18819444444444444</v>
          </cell>
          <cell r="Y1130" t="str">
            <v xml:space="preserve">COMMENCE LOADING </v>
          </cell>
        </row>
        <row r="1131">
          <cell r="R1131">
            <v>0.25</v>
          </cell>
          <cell r="S1131" t="str">
            <v>VESSEL BREAK</v>
          </cell>
          <cell r="U1131">
            <v>0.21944444444444444</v>
          </cell>
          <cell r="V1131" t="str">
            <v xml:space="preserve">CONTINUE LOADING </v>
          </cell>
          <cell r="X1131">
            <v>0.20833333333333334</v>
          </cell>
          <cell r="Y1131" t="str">
            <v xml:space="preserve">CONTINUE LOADING </v>
          </cell>
        </row>
        <row r="1132">
          <cell r="U1132">
            <v>0.25</v>
          </cell>
          <cell r="V1132" t="str">
            <v>VESSEL BREAK</v>
          </cell>
          <cell r="X1132">
            <v>0.22569444444444445</v>
          </cell>
          <cell r="Y1132" t="str">
            <v>WAITING MATERIAL</v>
          </cell>
        </row>
        <row r="1133">
          <cell r="D1133" t="str">
            <v>INFINITY 8</v>
          </cell>
          <cell r="G1133" t="str">
            <v>VACANT</v>
          </cell>
          <cell r="J1133" t="str">
            <v>VACANT</v>
          </cell>
          <cell r="M1133" t="str">
            <v>VACANT</v>
          </cell>
          <cell r="P1133" t="str">
            <v>QUEEN CAROLYN</v>
          </cell>
          <cell r="S1133" t="str">
            <v>AGNES LILYGENE</v>
          </cell>
          <cell r="V1133" t="str">
            <v>LADY OF PEACE</v>
          </cell>
          <cell r="Y1133" t="str">
            <v>EFG 5</v>
          </cell>
          <cell r="AB1133" t="str">
            <v>STAR ILIGAN</v>
          </cell>
          <cell r="AE1133" t="str">
            <v>VACANT</v>
          </cell>
          <cell r="AH1133" t="str">
            <v>VACANT</v>
          </cell>
        </row>
        <row r="1134">
          <cell r="C1134">
            <v>0.29166666666666669</v>
          </cell>
          <cell r="D1134" t="str">
            <v>KY TOOLBOX</v>
          </cell>
          <cell r="F1134">
            <v>0.29166666666666669</v>
          </cell>
          <cell r="G1134" t="str">
            <v>WAITING VESSEL</v>
          </cell>
          <cell r="I1134">
            <v>0.29166666666666669</v>
          </cell>
          <cell r="J1134" t="str">
            <v>WAITING VESSEL</v>
          </cell>
          <cell r="L1134">
            <v>0.29166666666666669</v>
          </cell>
          <cell r="M1134" t="str">
            <v>WAITING VESSEL</v>
          </cell>
          <cell r="O1134">
            <v>0.29166666666666669</v>
          </cell>
          <cell r="P1134" t="str">
            <v>KY TOOLBOX</v>
          </cell>
          <cell r="R1134">
            <v>0.29166666666666669</v>
          </cell>
          <cell r="S1134" t="str">
            <v>KY TOOLBOX</v>
          </cell>
          <cell r="U1134">
            <v>0.29166666666666669</v>
          </cell>
          <cell r="V1134" t="str">
            <v>KY TOOLBOX</v>
          </cell>
          <cell r="X1134">
            <v>0.29166666666666669</v>
          </cell>
          <cell r="Y1134" t="str">
            <v>KY TOOLBOX</v>
          </cell>
          <cell r="AA1134">
            <v>0.29166666666666669</v>
          </cell>
          <cell r="AB1134" t="str">
            <v>KY TOOLBOX</v>
          </cell>
          <cell r="AD1134">
            <v>0.29166666666666669</v>
          </cell>
          <cell r="AE1134" t="str">
            <v>WAITING VESSEL</v>
          </cell>
          <cell r="AG1134">
            <v>0.29166666666666669</v>
          </cell>
          <cell r="AH1134" t="str">
            <v>WAITING VESSEL</v>
          </cell>
        </row>
        <row r="1135">
          <cell r="C1135">
            <v>0.3125</v>
          </cell>
          <cell r="D1135" t="str">
            <v>WAITING DELIVERY</v>
          </cell>
          <cell r="F1135">
            <v>0.79166666666666663</v>
          </cell>
          <cell r="G1135" t="str">
            <v>VACANT</v>
          </cell>
          <cell r="I1135">
            <v>0.79166666666666663</v>
          </cell>
          <cell r="J1135" t="str">
            <v>VACANT</v>
          </cell>
          <cell r="L1135">
            <v>0.79166666666666663</v>
          </cell>
          <cell r="M1135" t="str">
            <v>VACANT</v>
          </cell>
          <cell r="O1135">
            <v>0.3125</v>
          </cell>
          <cell r="P1135" t="str">
            <v>ONGOING RESUME LOADING</v>
          </cell>
          <cell r="R1135">
            <v>0.3125</v>
          </cell>
          <cell r="S1135" t="str">
            <v>ONGOING RESUME LOADING</v>
          </cell>
          <cell r="U1135">
            <v>0.3125</v>
          </cell>
          <cell r="V1135" t="str">
            <v>ONGOING RESUME LOADING</v>
          </cell>
          <cell r="X1135">
            <v>0.3125</v>
          </cell>
          <cell r="Y1135" t="str">
            <v>WAITING DELIVERY</v>
          </cell>
          <cell r="AA1135">
            <v>0.3125</v>
          </cell>
          <cell r="AB1135" t="str">
            <v>ONGOING RESUME LOADING</v>
          </cell>
          <cell r="AD1135">
            <v>0.79166666666666663</v>
          </cell>
          <cell r="AE1135" t="str">
            <v>VACANT</v>
          </cell>
          <cell r="AG1135">
            <v>0.79166666666666663</v>
          </cell>
          <cell r="AH1135" t="str">
            <v>VACANT</v>
          </cell>
        </row>
        <row r="1136">
          <cell r="C1136">
            <v>0.33333333333333331</v>
          </cell>
          <cell r="D1136" t="str">
            <v>WAITING DELIVERY</v>
          </cell>
          <cell r="O1136">
            <v>0.33333333333333331</v>
          </cell>
          <cell r="P1136" t="str">
            <v>CONTINUE LOAIDNG</v>
          </cell>
          <cell r="R1136">
            <v>0.33333333333333331</v>
          </cell>
          <cell r="S1136" t="str">
            <v>CONTINUE LOADING</v>
          </cell>
          <cell r="U1136">
            <v>0.36249999999999999</v>
          </cell>
          <cell r="V1136" t="str">
            <v>CONTINUE LOADING</v>
          </cell>
          <cell r="X1136">
            <v>0.79166666666666663</v>
          </cell>
          <cell r="Y1136" t="str">
            <v>CLOSE HATCH</v>
          </cell>
          <cell r="AA1136">
            <v>0.37013888888888891</v>
          </cell>
          <cell r="AB1136" t="str">
            <v xml:space="preserve">CONTINUE  LOADING </v>
          </cell>
        </row>
        <row r="1137">
          <cell r="C1137">
            <v>0.375</v>
          </cell>
          <cell r="D1137" t="str">
            <v>WAITING DELIVERY</v>
          </cell>
          <cell r="O1137">
            <v>0.41388888888888886</v>
          </cell>
          <cell r="P1137" t="str">
            <v>CONTINUE LOAIDNG</v>
          </cell>
          <cell r="R1137">
            <v>0.40625</v>
          </cell>
          <cell r="S1137" t="str">
            <v>CONTINUE LOADING</v>
          </cell>
          <cell r="U1137">
            <v>0.38750000000000001</v>
          </cell>
          <cell r="V1137" t="str">
            <v>CONTINUE LOADING</v>
          </cell>
          <cell r="X1137">
            <v>0.8125</v>
          </cell>
          <cell r="Y1137" t="str">
            <v>OPENING HATCHES</v>
          </cell>
          <cell r="AA1137">
            <v>0.40416666666666667</v>
          </cell>
          <cell r="AB1137" t="str">
            <v xml:space="preserve">CONTINUE  LOADING </v>
          </cell>
        </row>
        <row r="1138">
          <cell r="C1138">
            <v>0.44097222222222221</v>
          </cell>
          <cell r="D1138" t="str">
            <v xml:space="preserve">COMMENCE LOADING </v>
          </cell>
          <cell r="O1138">
            <v>0.44027777777777777</v>
          </cell>
          <cell r="P1138" t="str">
            <v>CONTINUE LOAIDNG</v>
          </cell>
          <cell r="R1138">
            <v>0.57638888888888884</v>
          </cell>
          <cell r="S1138" t="str">
            <v>CONTINUE LOADING</v>
          </cell>
          <cell r="U1138">
            <v>0.41805555555555557</v>
          </cell>
          <cell r="V1138" t="str">
            <v>COMPLETE LOADING</v>
          </cell>
          <cell r="X1138">
            <v>0.85069444444444442</v>
          </cell>
          <cell r="Y1138" t="str">
            <v xml:space="preserve">RESUME LOADING </v>
          </cell>
          <cell r="AA1138">
            <v>0.44097222222222221</v>
          </cell>
          <cell r="AB1138" t="str">
            <v xml:space="preserve">CONTINUE  LOADING </v>
          </cell>
        </row>
        <row r="1139">
          <cell r="C1139">
            <v>0.5756944444444444</v>
          </cell>
          <cell r="D1139" t="str">
            <v xml:space="preserve">CONTINUE LOADING </v>
          </cell>
          <cell r="O1139">
            <v>0.57708333333333328</v>
          </cell>
          <cell r="P1139" t="str">
            <v>CONTINUE LOADING</v>
          </cell>
          <cell r="R1139">
            <v>0.61319444444444449</v>
          </cell>
          <cell r="S1139" t="str">
            <v>CONTINUE LOADING</v>
          </cell>
          <cell r="X1139">
            <v>0.85138888888888886</v>
          </cell>
          <cell r="Y1139" t="str">
            <v xml:space="preserve">ONGOING LOADING </v>
          </cell>
          <cell r="AA1139">
            <v>0.46319444444444446</v>
          </cell>
          <cell r="AB1139" t="str">
            <v xml:space="preserve">CONTINUE  LOADING </v>
          </cell>
        </row>
        <row r="1140">
          <cell r="C1140">
            <v>0.60624999999999996</v>
          </cell>
          <cell r="D1140" t="str">
            <v xml:space="preserve">CONTINUE LOADING </v>
          </cell>
          <cell r="O1140">
            <v>0.62013888888888891</v>
          </cell>
          <cell r="P1140" t="str">
            <v xml:space="preserve">CONTINUE LOADING </v>
          </cell>
          <cell r="R1140">
            <v>0.64027777777777772</v>
          </cell>
          <cell r="S1140" t="str">
            <v>CONTINUE LOADING</v>
          </cell>
          <cell r="X1140">
            <v>0.87638888888888888</v>
          </cell>
          <cell r="Y1140" t="str">
            <v xml:space="preserve">CONTINUE LOADING </v>
          </cell>
          <cell r="AA1140">
            <v>0.47916666666666669</v>
          </cell>
          <cell r="AB1140" t="str">
            <v xml:space="preserve">CONTINUE  LOADING </v>
          </cell>
        </row>
        <row r="1141">
          <cell r="C1141">
            <v>0.63055555555555554</v>
          </cell>
          <cell r="D1141" t="str">
            <v xml:space="preserve">CONTINUE LOADING </v>
          </cell>
          <cell r="O1141">
            <v>0.65277777777777779</v>
          </cell>
          <cell r="P1141" t="str">
            <v>VESSEL CLOSE</v>
          </cell>
          <cell r="R1141">
            <v>0.65277777777777779</v>
          </cell>
          <cell r="S1141" t="str">
            <v>VESSEL CLOSE</v>
          </cell>
          <cell r="X1141">
            <v>0.89930555555555558</v>
          </cell>
          <cell r="Y1141" t="str">
            <v xml:space="preserve">ONGOING LOADING </v>
          </cell>
          <cell r="AA1141">
            <v>0.57708333333333328</v>
          </cell>
          <cell r="AB1141" t="str">
            <v xml:space="preserve">CONTINUE  LOADING </v>
          </cell>
        </row>
        <row r="1142">
          <cell r="C1142">
            <v>0.64930555555555558</v>
          </cell>
          <cell r="D1142" t="str">
            <v xml:space="preserve">CONTINUE LOADING </v>
          </cell>
          <cell r="O1142">
            <v>0.79166666666666663</v>
          </cell>
          <cell r="P1142" t="str">
            <v>WAITING MATERIAL</v>
          </cell>
          <cell r="R1142">
            <v>0.8125</v>
          </cell>
          <cell r="S1142" t="str">
            <v xml:space="preserve"> OPENING HATCH</v>
          </cell>
          <cell r="X1142">
            <v>0.93055555555555558</v>
          </cell>
          <cell r="Y1142" t="str">
            <v xml:space="preserve">CONTINUE LOADING </v>
          </cell>
          <cell r="AA1142">
            <v>0.65277777777777779</v>
          </cell>
          <cell r="AB1142" t="str">
            <v>VESSEL CLOSE</v>
          </cell>
        </row>
        <row r="1143">
          <cell r="C1143">
            <v>0.65277777777777779</v>
          </cell>
          <cell r="D1143" t="str">
            <v xml:space="preserve">VESSEL CLOSE </v>
          </cell>
          <cell r="O1143">
            <v>4.1666666666666664E-2</v>
          </cell>
          <cell r="P1143" t="str">
            <v>OPENING HATCHES</v>
          </cell>
          <cell r="R1143">
            <v>0.84305555555555556</v>
          </cell>
          <cell r="S1143" t="str">
            <v xml:space="preserve">RESUME LOADING </v>
          </cell>
          <cell r="X1143">
            <v>0.94930555555555551</v>
          </cell>
          <cell r="Y1143" t="str">
            <v xml:space="preserve">ONGOING LOADING </v>
          </cell>
          <cell r="AA1143">
            <v>0.79166666666666663</v>
          </cell>
          <cell r="AB1143" t="str">
            <v>CLOSE HATCH</v>
          </cell>
        </row>
        <row r="1144">
          <cell r="C1144">
            <v>0.8125</v>
          </cell>
          <cell r="D1144" t="str">
            <v>OPENING HATCH</v>
          </cell>
          <cell r="O1144">
            <v>7.1527777777777773E-2</v>
          </cell>
          <cell r="P1144" t="str">
            <v xml:space="preserve">RESUME LOADING </v>
          </cell>
          <cell r="R1144">
            <v>0.87847222222222221</v>
          </cell>
          <cell r="S1144" t="str">
            <v xml:space="preserve">ONGOING LOADING </v>
          </cell>
          <cell r="X1144">
            <v>0.97916666666666663</v>
          </cell>
          <cell r="Y1144" t="str">
            <v xml:space="preserve">CONTINUE LOADING </v>
          </cell>
          <cell r="AA1144">
            <v>4.1666666666666664E-2</v>
          </cell>
          <cell r="AB1144" t="str">
            <v>OPENING HATCHES</v>
          </cell>
        </row>
        <row r="1145">
          <cell r="C1145">
            <v>0.83402777777777781</v>
          </cell>
          <cell r="D1145" t="str">
            <v xml:space="preserve">RESUME LOADING </v>
          </cell>
          <cell r="O1145">
            <v>8.7499999999999994E-2</v>
          </cell>
          <cell r="P1145" t="str">
            <v xml:space="preserve">CONTINUE LOADING </v>
          </cell>
          <cell r="R1145">
            <v>0.91527777777777775</v>
          </cell>
          <cell r="S1145" t="str">
            <v xml:space="preserve">CONTINUE LOADING </v>
          </cell>
          <cell r="X1145">
            <v>0</v>
          </cell>
          <cell r="Y1145" t="str">
            <v>STEVEDORES BREAK</v>
          </cell>
          <cell r="AA1145">
            <v>5.347222222222222E-2</v>
          </cell>
          <cell r="AB1145" t="str">
            <v xml:space="preserve">RESUME LOADING </v>
          </cell>
        </row>
        <row r="1146">
          <cell r="C1146">
            <v>0.84375</v>
          </cell>
          <cell r="D1146" t="str">
            <v xml:space="preserve">ONGOING LOADING </v>
          </cell>
          <cell r="O1146">
            <v>0.11319444444444444</v>
          </cell>
          <cell r="P1146" t="str">
            <v>WAITING MATERIAL</v>
          </cell>
          <cell r="R1146">
            <v>0.94166666666666665</v>
          </cell>
          <cell r="S1146" t="str">
            <v xml:space="preserve">ONGOING LOADING </v>
          </cell>
          <cell r="X1146">
            <v>7.1527777777777773E-2</v>
          </cell>
          <cell r="Y1146" t="str">
            <v xml:space="preserve">RESUME LOADING </v>
          </cell>
          <cell r="AA1146">
            <v>7.4305555555555555E-2</v>
          </cell>
          <cell r="AB1146" t="str">
            <v xml:space="preserve">ONGOING LOADING </v>
          </cell>
        </row>
        <row r="1147">
          <cell r="C1147">
            <v>0.86736111111111114</v>
          </cell>
          <cell r="D1147" t="str">
            <v xml:space="preserve">CONTINUE LOADING </v>
          </cell>
          <cell r="X1147">
            <v>0.13055555555555556</v>
          </cell>
          <cell r="Y1147" t="str">
            <v xml:space="preserve">ONGOING LOADING </v>
          </cell>
          <cell r="AA1147">
            <v>9.2361111111111116E-2</v>
          </cell>
          <cell r="AB1147" t="str">
            <v xml:space="preserve">CONTINUE LOADING </v>
          </cell>
        </row>
        <row r="1148">
          <cell r="C1148">
            <v>0.87777777777777777</v>
          </cell>
          <cell r="D1148" t="str">
            <v>WAITING MATERIAL</v>
          </cell>
          <cell r="R1148">
            <v>0</v>
          </cell>
          <cell r="S1148" t="str">
            <v>STEVEDORES BREAK</v>
          </cell>
          <cell r="X1148">
            <v>0.15277777777777779</v>
          </cell>
          <cell r="Y1148" t="str">
            <v>CONTINU</v>
          </cell>
          <cell r="AA1148">
            <v>0.11805555555555555</v>
          </cell>
          <cell r="AB1148" t="str">
            <v xml:space="preserve">ONGOING LOADING </v>
          </cell>
        </row>
        <row r="1149">
          <cell r="C1149">
            <v>0</v>
          </cell>
          <cell r="D1149" t="str">
            <v>STEVEDORES BREAK</v>
          </cell>
          <cell r="R1149">
            <v>2.7777777777777776E-2</v>
          </cell>
          <cell r="S1149" t="str">
            <v xml:space="preserve">RESUME LOADING </v>
          </cell>
          <cell r="X1149">
            <v>0.17430555555555555</v>
          </cell>
          <cell r="Y1149" t="str">
            <v xml:space="preserve">ONGOING LOADING </v>
          </cell>
          <cell r="AA1149">
            <v>0.16319444444444445</v>
          </cell>
          <cell r="AB1149" t="str">
            <v xml:space="preserve">CONTINUE LOADING </v>
          </cell>
        </row>
        <row r="1150">
          <cell r="C1150">
            <v>5.7638888888888892E-2</v>
          </cell>
          <cell r="D1150" t="str">
            <v xml:space="preserve">RESUME LOADING </v>
          </cell>
          <cell r="R1150">
            <v>5.6944444444444443E-2</v>
          </cell>
          <cell r="S1150" t="str">
            <v xml:space="preserve">ONGOING LOADING </v>
          </cell>
          <cell r="X1150">
            <v>0.19097222222222221</v>
          </cell>
          <cell r="Y1150" t="str">
            <v xml:space="preserve">CONTINUE LOADING </v>
          </cell>
          <cell r="AA1150">
            <v>0.17777777777777778</v>
          </cell>
          <cell r="AB1150" t="str">
            <v xml:space="preserve">ONGOING LOADING </v>
          </cell>
        </row>
        <row r="1151">
          <cell r="C1151">
            <v>6.5972222222222224E-2</v>
          </cell>
          <cell r="D1151" t="str">
            <v xml:space="preserve">CONTINUE LOADING </v>
          </cell>
          <cell r="R1151">
            <v>8.819444444444445E-2</v>
          </cell>
          <cell r="S1151" t="str">
            <v xml:space="preserve">CONTINUE LOADING </v>
          </cell>
          <cell r="AA1151">
            <v>0.2013888888888889</v>
          </cell>
          <cell r="AB1151" t="str">
            <v xml:space="preserve">TEMP. STOP LOADING </v>
          </cell>
        </row>
        <row r="1152">
          <cell r="C1152">
            <v>7.7777777777777779E-2</v>
          </cell>
          <cell r="D1152" t="str">
            <v>WAITING MATERIAL</v>
          </cell>
          <cell r="R1152">
            <v>0.11458333333333333</v>
          </cell>
          <cell r="S1152" t="str">
            <v xml:space="preserve">ONGOING LOADING </v>
          </cell>
          <cell r="AA1152">
            <v>0.22916666666666666</v>
          </cell>
          <cell r="AB1152" t="str">
            <v>UNABLE TO RESUME</v>
          </cell>
        </row>
        <row r="1153">
          <cell r="R1153">
            <v>0.125</v>
          </cell>
          <cell r="S1153" t="str">
            <v xml:space="preserve">TEMP. STOP LOADING </v>
          </cell>
        </row>
        <row r="1154">
          <cell r="D1154" t="str">
            <v>INFINITY 8</v>
          </cell>
          <cell r="G1154" t="str">
            <v>VACANT</v>
          </cell>
          <cell r="J1154" t="str">
            <v>VACANT</v>
          </cell>
          <cell r="M1154" t="str">
            <v>VACANT</v>
          </cell>
          <cell r="P1154" t="str">
            <v>QUEEN CAROLYN</v>
          </cell>
          <cell r="S1154" t="str">
            <v>AGNES LILYGENE</v>
          </cell>
          <cell r="V1154" t="str">
            <v>VACANT</v>
          </cell>
          <cell r="Y1154" t="str">
            <v>EFG 5</v>
          </cell>
          <cell r="AB1154" t="str">
            <v>STAR ILIGAN</v>
          </cell>
          <cell r="AE1154" t="str">
            <v>VACANT</v>
          </cell>
          <cell r="AH1154" t="str">
            <v>VACANT</v>
          </cell>
        </row>
        <row r="1155">
          <cell r="C1155">
            <v>0.29166666666666669</v>
          </cell>
          <cell r="D1155" t="str">
            <v>KY TOOLBOX</v>
          </cell>
          <cell r="O1155">
            <v>0.29166666666666669</v>
          </cell>
          <cell r="P1155" t="str">
            <v>KY TOOLBOX</v>
          </cell>
          <cell r="R1155">
            <v>0.29166666666666669</v>
          </cell>
          <cell r="S1155" t="str">
            <v>KY TOOLBOX</v>
          </cell>
          <cell r="X1155">
            <v>0.29166666666666669</v>
          </cell>
          <cell r="Y1155" t="str">
            <v>KY TOOLBOX</v>
          </cell>
          <cell r="AA1155">
            <v>0.29166666666666669</v>
          </cell>
          <cell r="AB1155" t="str">
            <v>KY TOOLBOX</v>
          </cell>
        </row>
        <row r="1156">
          <cell r="C1156">
            <v>0.3125</v>
          </cell>
          <cell r="D1156" t="str">
            <v>WAITING DELIVERY MATERIALS</v>
          </cell>
          <cell r="O1156">
            <v>0.3125</v>
          </cell>
          <cell r="P1156" t="str">
            <v>WAITING DELIVERY MATERIALS</v>
          </cell>
          <cell r="R1156">
            <v>0.3125</v>
          </cell>
          <cell r="S1156" t="str">
            <v xml:space="preserve">ONGOING LOADING </v>
          </cell>
          <cell r="X1156">
            <v>0.3125</v>
          </cell>
          <cell r="Y1156" t="str">
            <v>ONGOING LOADING</v>
          </cell>
          <cell r="AA1156">
            <v>0.3125</v>
          </cell>
          <cell r="AB1156" t="str">
            <v>ONGOING LOADING</v>
          </cell>
        </row>
        <row r="1157">
          <cell r="C1157">
            <v>0.33333333333333331</v>
          </cell>
          <cell r="D1157" t="str">
            <v>WAITING DELIVERY MATERIALS</v>
          </cell>
          <cell r="O1157">
            <v>0.45</v>
          </cell>
          <cell r="P1157" t="str">
            <v xml:space="preserve">CONTINUE LOADING </v>
          </cell>
          <cell r="R1157">
            <v>0.33333333333333331</v>
          </cell>
          <cell r="S1157" t="str">
            <v xml:space="preserve">CONTINUE LOADING </v>
          </cell>
          <cell r="X1157">
            <v>0.34930555555555554</v>
          </cell>
          <cell r="Y1157" t="str">
            <v>CONTINUE LOADING</v>
          </cell>
          <cell r="AA1157">
            <v>0.33333333333333331</v>
          </cell>
          <cell r="AB1157" t="str">
            <v>CONTINUE LOADING</v>
          </cell>
        </row>
        <row r="1158">
          <cell r="C1158">
            <v>0.375</v>
          </cell>
          <cell r="D1158" t="str">
            <v>WAITING DELIVERY MATERIALS</v>
          </cell>
          <cell r="O1158">
            <v>0.79166666666666663</v>
          </cell>
          <cell r="P1158" t="str">
            <v>KY TOOLBOX</v>
          </cell>
          <cell r="R1158">
            <v>0.37847222222222221</v>
          </cell>
          <cell r="S1158" t="str">
            <v xml:space="preserve">CONTINUE LOADING </v>
          </cell>
          <cell r="X1158">
            <v>0.38541666666666669</v>
          </cell>
          <cell r="Y1158" t="str">
            <v>CONTINUE LOADING</v>
          </cell>
          <cell r="AA1158">
            <v>0.375</v>
          </cell>
          <cell r="AB1158" t="str">
            <v>CONTINUE LOADING</v>
          </cell>
        </row>
        <row r="1159">
          <cell r="C1159">
            <v>0.41666666666666669</v>
          </cell>
          <cell r="D1159" t="str">
            <v>WAITING DELIVERY MATERIALS</v>
          </cell>
          <cell r="O1159">
            <v>0.8125</v>
          </cell>
          <cell r="P1159" t="str">
            <v xml:space="preserve">CONTINUE LOADING </v>
          </cell>
          <cell r="R1159">
            <v>0.42430555555555555</v>
          </cell>
          <cell r="S1159" t="str">
            <v xml:space="preserve">CONTINUE LOADING </v>
          </cell>
          <cell r="X1159">
            <v>0.41736111111111113</v>
          </cell>
          <cell r="Y1159" t="str">
            <v>CONTINUE LOADING</v>
          </cell>
          <cell r="AA1159">
            <v>0.41666666666666669</v>
          </cell>
          <cell r="AB1159" t="str">
            <v>CONTINUE LOADING</v>
          </cell>
        </row>
        <row r="1160">
          <cell r="C1160">
            <v>0.45833333333333331</v>
          </cell>
          <cell r="D1160" t="str">
            <v>WAITING DELIVERY MATERIALS</v>
          </cell>
          <cell r="O1160">
            <v>0.85138888888888886</v>
          </cell>
          <cell r="P1160" t="str">
            <v xml:space="preserve">CONTINUE LOADING </v>
          </cell>
          <cell r="R1160">
            <v>0.47916666666666669</v>
          </cell>
          <cell r="S1160" t="str">
            <v xml:space="preserve">CONTINUE LOADING </v>
          </cell>
          <cell r="X1160">
            <v>0.47222222222222221</v>
          </cell>
          <cell r="Y1160" t="str">
            <v>CONTINUE LOADING</v>
          </cell>
          <cell r="AA1160">
            <v>0.44791666666666669</v>
          </cell>
          <cell r="AB1160" t="str">
            <v xml:space="preserve">COMPLETE LOADING </v>
          </cell>
        </row>
        <row r="1161">
          <cell r="C1161">
            <v>0.5</v>
          </cell>
          <cell r="D1161" t="str">
            <v>LUNCH BREAK</v>
          </cell>
          <cell r="O1161">
            <v>0.875</v>
          </cell>
          <cell r="P1161" t="str">
            <v>WAITING DELIVERY MATERIALS</v>
          </cell>
          <cell r="R1161">
            <v>0.5</v>
          </cell>
          <cell r="S1161" t="str">
            <v>LUNCH BREAK</v>
          </cell>
          <cell r="X1161">
            <v>0.79166666666666663</v>
          </cell>
          <cell r="Y1161" t="str">
            <v>KY TOOLBOX</v>
          </cell>
        </row>
        <row r="1162">
          <cell r="C1162">
            <v>0.54166666666666663</v>
          </cell>
          <cell r="D1162" t="str">
            <v xml:space="preserve">CONTINUE LOADING </v>
          </cell>
          <cell r="R1162">
            <v>0.57638888888888884</v>
          </cell>
          <cell r="S1162" t="str">
            <v>VESSEL CLOSE</v>
          </cell>
          <cell r="X1162">
            <v>0.8125</v>
          </cell>
          <cell r="Y1162" t="str">
            <v>CONTINUE LOADING</v>
          </cell>
        </row>
        <row r="1163">
          <cell r="C1163">
            <v>0.57638888888888884</v>
          </cell>
          <cell r="D1163" t="str">
            <v>VESSEL CLOSE</v>
          </cell>
          <cell r="R1163">
            <v>0.6166666666666667</v>
          </cell>
          <cell r="S1163" t="str">
            <v xml:space="preserve">CONTINUE LOADING </v>
          </cell>
          <cell r="X1163">
            <v>0.84861111111111109</v>
          </cell>
          <cell r="Y1163" t="str">
            <v>CONTINUE LOADING</v>
          </cell>
        </row>
        <row r="1164">
          <cell r="C1164">
            <v>0.58333333333333337</v>
          </cell>
          <cell r="D1164" t="str">
            <v>VESSEL CLOSE</v>
          </cell>
          <cell r="R1164">
            <v>0.65833333333333333</v>
          </cell>
          <cell r="S1164" t="str">
            <v>COMPLETE LOADING</v>
          </cell>
          <cell r="X1164">
            <v>0.91249999999999998</v>
          </cell>
          <cell r="Y1164" t="str">
            <v>COMPLETE LOADING</v>
          </cell>
        </row>
        <row r="1165">
          <cell r="C1165">
            <v>0.64375000000000004</v>
          </cell>
          <cell r="D1165" t="str">
            <v xml:space="preserve">CONTINUE LOADING </v>
          </cell>
        </row>
        <row r="1166">
          <cell r="C1166">
            <v>0.79166666666666663</v>
          </cell>
          <cell r="D1166" t="str">
            <v>KY TOOLBOX</v>
          </cell>
        </row>
        <row r="1167">
          <cell r="C1167">
            <v>0.8125</v>
          </cell>
          <cell r="D1167" t="str">
            <v xml:space="preserve">CONTINUE LOADING </v>
          </cell>
        </row>
        <row r="1168">
          <cell r="C1168">
            <v>0.84861111111111109</v>
          </cell>
          <cell r="D1168" t="str">
            <v xml:space="preserve">CONTINUE LOADING </v>
          </cell>
        </row>
        <row r="1169">
          <cell r="C1169">
            <v>0.90555555555555556</v>
          </cell>
          <cell r="D1169" t="str">
            <v xml:space="preserve">CONTINUE LOADING </v>
          </cell>
        </row>
        <row r="1170">
          <cell r="C1170">
            <v>0.93055555555555558</v>
          </cell>
          <cell r="D1170" t="str">
            <v xml:space="preserve">CONTINUE LOADING </v>
          </cell>
        </row>
        <row r="1171">
          <cell r="C1171">
            <v>0.96527777777777779</v>
          </cell>
          <cell r="D1171" t="str">
            <v xml:space="preserve">CONTINUE LOADING </v>
          </cell>
        </row>
        <row r="1172">
          <cell r="C1172">
            <v>1.3888888888888888E-2</v>
          </cell>
          <cell r="D1172" t="str">
            <v xml:space="preserve">CONTINUE LOADING </v>
          </cell>
        </row>
        <row r="1173">
          <cell r="C1173">
            <v>2.0833333333333332E-2</v>
          </cell>
          <cell r="D1173" t="str">
            <v>WAITING DELIVERY MATERIALS</v>
          </cell>
        </row>
        <row r="1174">
          <cell r="D1174" t="str">
            <v>INFINITY 8</v>
          </cell>
          <cell r="G1174" t="str">
            <v>VACANT</v>
          </cell>
          <cell r="J1174" t="str">
            <v>VACANT</v>
          </cell>
          <cell r="M1174" t="str">
            <v>VACANT</v>
          </cell>
          <cell r="P1174" t="str">
            <v>QUEEN CAROLYN</v>
          </cell>
          <cell r="S1174" t="str">
            <v>NAPOLI</v>
          </cell>
          <cell r="V1174" t="str">
            <v>LADY OF DIVINE GRACE</v>
          </cell>
          <cell r="Y1174" t="str">
            <v>EFG 5</v>
          </cell>
          <cell r="AB1174" t="str">
            <v>ADOLFO SR</v>
          </cell>
          <cell r="AE1174" t="str">
            <v>STAR FREEDOM</v>
          </cell>
          <cell r="AH1174" t="str">
            <v>VACANT</v>
          </cell>
        </row>
        <row r="1175">
          <cell r="C1175">
            <v>0.29166666666666669</v>
          </cell>
          <cell r="D1175" t="str">
            <v>WAITING MATERIAL</v>
          </cell>
          <cell r="F1175">
            <v>0.29166666666666669</v>
          </cell>
          <cell r="G1175" t="str">
            <v>VACANT</v>
          </cell>
          <cell r="I1175">
            <v>0.29166666666666669</v>
          </cell>
          <cell r="J1175" t="str">
            <v>VACANT</v>
          </cell>
          <cell r="L1175">
            <v>0.29166666666666669</v>
          </cell>
          <cell r="M1175" t="str">
            <v>VACANT</v>
          </cell>
          <cell r="O1175">
            <v>0.29166666666666669</v>
          </cell>
          <cell r="P1175" t="str">
            <v>WAITING MATERIAL</v>
          </cell>
          <cell r="R1175">
            <v>0.29166666666666669</v>
          </cell>
          <cell r="S1175" t="str">
            <v>WAITING MATERIAL</v>
          </cell>
          <cell r="U1175">
            <v>0.29166666666666669</v>
          </cell>
          <cell r="V1175" t="str">
            <v>WAITING MATERIAL</v>
          </cell>
          <cell r="X1175">
            <v>0.375</v>
          </cell>
          <cell r="Y1175" t="str">
            <v>FOR CLEARANCE COMPLETED</v>
          </cell>
          <cell r="AA1175">
            <v>0.29166666666666669</v>
          </cell>
          <cell r="AB1175" t="str">
            <v>WAITING MATERIAL</v>
          </cell>
          <cell r="AD1175">
            <v>0.375</v>
          </cell>
          <cell r="AE1175" t="str">
            <v>WAITING MATERIAL</v>
          </cell>
          <cell r="AG1175">
            <v>0.29166666666666669</v>
          </cell>
          <cell r="AH1175" t="str">
            <v>VACANT</v>
          </cell>
        </row>
        <row r="1176">
          <cell r="C1176">
            <v>0.40763888888888888</v>
          </cell>
          <cell r="D1176" t="str">
            <v xml:space="preserve">RESUME LOADING </v>
          </cell>
          <cell r="O1176">
            <v>0.40763888888888888</v>
          </cell>
          <cell r="P1176" t="str">
            <v xml:space="preserve">RESUME LOADING </v>
          </cell>
          <cell r="R1176">
            <v>0.6875</v>
          </cell>
          <cell r="S1176" t="str">
            <v xml:space="preserve">WAITING GEO </v>
          </cell>
          <cell r="U1176">
            <v>0.79166666666666663</v>
          </cell>
          <cell r="V1176" t="str">
            <v>KY TOOLBOX</v>
          </cell>
          <cell r="X1176" t="str">
            <v xml:space="preserve"> </v>
          </cell>
          <cell r="Y1176" t="str">
            <v xml:space="preserve"> </v>
          </cell>
          <cell r="AA1176">
            <v>0.79166666666666663</v>
          </cell>
          <cell r="AB1176" t="str">
            <v>KY TOOLBOX</v>
          </cell>
          <cell r="AD1176">
            <v>0.66666666666666663</v>
          </cell>
          <cell r="AE1176" t="str">
            <v xml:space="preserve">FOKLIFT ONBOARD </v>
          </cell>
        </row>
        <row r="1177">
          <cell r="C1177">
            <v>0.45208333333333334</v>
          </cell>
          <cell r="D1177" t="str">
            <v xml:space="preserve">ONGOING LOADING </v>
          </cell>
          <cell r="O1177">
            <v>0.45347222222222222</v>
          </cell>
          <cell r="P1177" t="str">
            <v xml:space="preserve">ONGOING LOADING </v>
          </cell>
          <cell r="R1177">
            <v>0.79166666666666663</v>
          </cell>
          <cell r="S1177" t="str">
            <v>KY TOOLBOX</v>
          </cell>
          <cell r="U1177">
            <v>0.80694444444444446</v>
          </cell>
          <cell r="V1177" t="str">
            <v>COMMENCE LOADING</v>
          </cell>
          <cell r="AA1177">
            <v>0.80208333333333337</v>
          </cell>
          <cell r="AB1177" t="str">
            <v xml:space="preserve">WAITING DELIVERY </v>
          </cell>
          <cell r="AD1177">
            <v>0.6875</v>
          </cell>
          <cell r="AE1177" t="str">
            <v>FL ONBOARD READY</v>
          </cell>
        </row>
        <row r="1178">
          <cell r="C1178">
            <v>0.5</v>
          </cell>
          <cell r="D1178" t="str">
            <v>LUNCH BREAK</v>
          </cell>
          <cell r="O1178">
            <v>0.5</v>
          </cell>
          <cell r="P1178" t="str">
            <v>LUNCHBREAK</v>
          </cell>
          <cell r="R1178">
            <v>0.80763888888888891</v>
          </cell>
          <cell r="S1178" t="str">
            <v xml:space="preserve">COMMENCE LOADING </v>
          </cell>
          <cell r="U1178">
            <v>0.83333333333333337</v>
          </cell>
          <cell r="V1178" t="str">
            <v>CONTINUE LOADING</v>
          </cell>
          <cell r="AA1178">
            <v>0.83333333333333337</v>
          </cell>
          <cell r="AB1178" t="str">
            <v xml:space="preserve">WAITING DELIVERY </v>
          </cell>
          <cell r="AD1178">
            <v>0.70347222222222228</v>
          </cell>
          <cell r="AE1178" t="str">
            <v xml:space="preserve">COMMENCE LOADING </v>
          </cell>
        </row>
        <row r="1179">
          <cell r="C1179">
            <v>0.54166666666666663</v>
          </cell>
          <cell r="D1179" t="str">
            <v>CLOSE HATCH</v>
          </cell>
          <cell r="O1179">
            <v>0.54166666666666663</v>
          </cell>
          <cell r="P1179" t="str">
            <v>CLOSE HATCH</v>
          </cell>
          <cell r="R1179">
            <v>0.83333333333333337</v>
          </cell>
          <cell r="S1179" t="str">
            <v>CONTINUE LOADING</v>
          </cell>
          <cell r="U1179">
            <v>0.91249999999999998</v>
          </cell>
          <cell r="V1179" t="str">
            <v>CONTINUE LOADING</v>
          </cell>
          <cell r="AA1179">
            <v>0.875</v>
          </cell>
          <cell r="AB1179" t="str">
            <v xml:space="preserve">WAITING DELIVERY </v>
          </cell>
          <cell r="AD1179">
            <v>0.75</v>
          </cell>
          <cell r="AE1179" t="str">
            <v>VESSEL BREAK</v>
          </cell>
        </row>
        <row r="1180">
          <cell r="C1180">
            <v>0.58333333333333337</v>
          </cell>
          <cell r="D1180" t="str">
            <v>CLOSE HATCH</v>
          </cell>
          <cell r="O1180">
            <v>0.58333333333333337</v>
          </cell>
          <cell r="P1180" t="str">
            <v>CLOSE HATCH</v>
          </cell>
          <cell r="R1180">
            <v>0.90902777777777777</v>
          </cell>
          <cell r="S1180" t="str">
            <v>CONTINUE LOADING</v>
          </cell>
          <cell r="U1180">
            <v>0.91666666666666663</v>
          </cell>
          <cell r="V1180" t="str">
            <v>WAITING MATERIAL</v>
          </cell>
          <cell r="AA1180">
            <v>0.91666666666666663</v>
          </cell>
          <cell r="AB1180" t="str">
            <v xml:space="preserve">WAITING DELIVERY </v>
          </cell>
          <cell r="AD1180">
            <v>0.79166666666666663</v>
          </cell>
          <cell r="AE1180" t="str">
            <v>KY TOOLBOX</v>
          </cell>
        </row>
        <row r="1181">
          <cell r="C1181">
            <v>0.66805555555555551</v>
          </cell>
          <cell r="D1181" t="str">
            <v xml:space="preserve">RESUME LOADING </v>
          </cell>
          <cell r="O1181">
            <v>0.67708333333333337</v>
          </cell>
          <cell r="P1181" t="str">
            <v>RESUME LOADING</v>
          </cell>
          <cell r="R1181">
            <v>0.93402777777777779</v>
          </cell>
          <cell r="S1181" t="str">
            <v xml:space="preserve">CONTINUE LOADING </v>
          </cell>
          <cell r="U1181">
            <v>0.95833333333333337</v>
          </cell>
          <cell r="V1181" t="str">
            <v>WAITING MATERIAL</v>
          </cell>
          <cell r="AA1181">
            <v>0.96527777777777779</v>
          </cell>
          <cell r="AB1181" t="str">
            <v>COMMENCE LOADING LOOSEBAG</v>
          </cell>
          <cell r="AD1181">
            <v>0.80694444444444446</v>
          </cell>
          <cell r="AE1181" t="str">
            <v>WAITING DELIVERY</v>
          </cell>
        </row>
        <row r="1182">
          <cell r="C1182">
            <v>0.68541666666666667</v>
          </cell>
          <cell r="D1182" t="str">
            <v xml:space="preserve">ONGOING LOADING </v>
          </cell>
          <cell r="O1182">
            <v>0.72083333333333333</v>
          </cell>
          <cell r="P1182" t="str">
            <v xml:space="preserve">ONGOING LOADING </v>
          </cell>
          <cell r="R1182">
            <v>0.96180555555555558</v>
          </cell>
          <cell r="S1182" t="str">
            <v>CONTINUE LOADING</v>
          </cell>
          <cell r="U1182">
            <v>0</v>
          </cell>
          <cell r="V1182" t="str">
            <v>WAITING MATERIAL</v>
          </cell>
          <cell r="AA1182">
            <v>6.9444444444444441E-3</v>
          </cell>
          <cell r="AB1182" t="str">
            <v>CONTINUE LOADING LOOSEBAG</v>
          </cell>
          <cell r="AD1182">
            <v>0.83333333333333337</v>
          </cell>
          <cell r="AE1182" t="str">
            <v>WAITING DELIVERY</v>
          </cell>
        </row>
        <row r="1183">
          <cell r="C1183">
            <v>0.70833333333333337</v>
          </cell>
          <cell r="D1183" t="str">
            <v xml:space="preserve">STOP LOADING </v>
          </cell>
          <cell r="O1183">
            <v>0.75</v>
          </cell>
          <cell r="P1183" t="str">
            <v>VESSEL BREAK</v>
          </cell>
          <cell r="R1183">
            <v>8.611111111111111E-2</v>
          </cell>
          <cell r="S1183" t="str">
            <v xml:space="preserve">CONTINUE LOADING </v>
          </cell>
          <cell r="U1183">
            <v>4.1666666666666664E-2</v>
          </cell>
          <cell r="V1183" t="str">
            <v>WAITING MATERIAL</v>
          </cell>
          <cell r="AA1183">
            <v>8.3333333333333329E-2</v>
          </cell>
          <cell r="AB1183" t="str">
            <v>CONTINUE LOADING LOOSEBAG</v>
          </cell>
          <cell r="AD1183">
            <v>0.875</v>
          </cell>
          <cell r="AE1183" t="str">
            <v>WAITING DELIVERY</v>
          </cell>
        </row>
        <row r="1184">
          <cell r="C1184">
            <v>0.79166666666666663</v>
          </cell>
          <cell r="D1184" t="str">
            <v>KY TOOLBOX</v>
          </cell>
          <cell r="O1184">
            <v>0.79166666666666663</v>
          </cell>
          <cell r="P1184" t="str">
            <v>KY TOOLBOX</v>
          </cell>
          <cell r="R1184">
            <v>0.14444444444444443</v>
          </cell>
          <cell r="S1184" t="str">
            <v>CONTINUE LOADING</v>
          </cell>
          <cell r="U1184">
            <v>8.3333333333333329E-2</v>
          </cell>
          <cell r="V1184" t="str">
            <v>WAITING MATERIAL</v>
          </cell>
          <cell r="AA1184">
            <v>0.12152777777777778</v>
          </cell>
          <cell r="AB1184" t="str">
            <v>CONTINUE LOADING LOOSEBAG</v>
          </cell>
          <cell r="AD1184">
            <v>0.92847222222222225</v>
          </cell>
          <cell r="AE1184" t="str">
            <v>CONTINUE LOADING</v>
          </cell>
        </row>
        <row r="1185">
          <cell r="C1185">
            <v>0.80555555555555558</v>
          </cell>
          <cell r="D1185" t="str">
            <v xml:space="preserve">RESUME LOADING </v>
          </cell>
          <cell r="O1185">
            <v>0.80902777777777779</v>
          </cell>
          <cell r="P1185" t="str">
            <v>RESUME LOADING</v>
          </cell>
          <cell r="R1185">
            <v>0.16666666666666666</v>
          </cell>
          <cell r="S1185" t="str">
            <v>WAITING DELIVERY</v>
          </cell>
          <cell r="U1185">
            <v>0.125</v>
          </cell>
          <cell r="V1185" t="str">
            <v>WAITING MATERIAL</v>
          </cell>
          <cell r="AA1185">
            <v>0.125</v>
          </cell>
          <cell r="AB1185" t="str">
            <v xml:space="preserve">WAITING DELIVERY </v>
          </cell>
          <cell r="AD1185">
            <v>0.95972222222222225</v>
          </cell>
          <cell r="AE1185" t="str">
            <v>CONTINUE LOADING</v>
          </cell>
        </row>
        <row r="1186">
          <cell r="C1186">
            <v>0.84513888888888888</v>
          </cell>
          <cell r="D1186" t="str">
            <v xml:space="preserve">CONTINUE LOADING </v>
          </cell>
          <cell r="O1186">
            <v>0.87152777777777779</v>
          </cell>
          <cell r="P1186" t="str">
            <v xml:space="preserve">CONTINUE LOADING </v>
          </cell>
          <cell r="R1186">
            <v>0.20833333333333334</v>
          </cell>
          <cell r="S1186" t="str">
            <v>WAITING DELIVERY</v>
          </cell>
          <cell r="U1186">
            <v>0.16666666666666666</v>
          </cell>
          <cell r="V1186" t="str">
            <v>WAITING MATERIAL</v>
          </cell>
          <cell r="AA1186">
            <v>0.16666666666666666</v>
          </cell>
          <cell r="AB1186" t="str">
            <v>WAITING DELIVERY</v>
          </cell>
          <cell r="AD1186">
            <v>6.9444444444444447E-4</v>
          </cell>
          <cell r="AE1186" t="str">
            <v>CONTINUE LOADING</v>
          </cell>
        </row>
        <row r="1187">
          <cell r="C1187">
            <v>0.87569444444444444</v>
          </cell>
          <cell r="D1187" t="str">
            <v xml:space="preserve">CONTINUE LOADING </v>
          </cell>
          <cell r="O1187">
            <v>0.90763888888888888</v>
          </cell>
          <cell r="P1187" t="str">
            <v xml:space="preserve">CONTINUE LOADING </v>
          </cell>
          <cell r="R1187">
            <v>0.25</v>
          </cell>
          <cell r="S1187" t="str">
            <v>WAITING DELIVERY</v>
          </cell>
          <cell r="U1187">
            <v>0.20833333333333334</v>
          </cell>
          <cell r="V1187" t="str">
            <v>WAITING MATERIAL</v>
          </cell>
          <cell r="AA1187">
            <v>0.20833333333333334</v>
          </cell>
          <cell r="AB1187" t="str">
            <v>WAITING DELIVERY</v>
          </cell>
          <cell r="AD1187">
            <v>4.8611111111111112E-2</v>
          </cell>
          <cell r="AE1187" t="str">
            <v>CONTINUE LOADING</v>
          </cell>
        </row>
        <row r="1188">
          <cell r="C1188">
            <v>0.92361111111111116</v>
          </cell>
          <cell r="D1188" t="str">
            <v xml:space="preserve">CONTINUE LOADING </v>
          </cell>
          <cell r="O1188">
            <v>0.94861111111111107</v>
          </cell>
          <cell r="P1188" t="str">
            <v>CONTINUE LOADING</v>
          </cell>
          <cell r="U1188">
            <v>0.25</v>
          </cell>
          <cell r="V1188" t="str">
            <v>WAITING MATERIAL</v>
          </cell>
          <cell r="AA1188">
            <v>0.25</v>
          </cell>
          <cell r="AB1188" t="str">
            <v>WAITING DELIVERY</v>
          </cell>
          <cell r="AD1188">
            <v>9.7222222222222224E-2</v>
          </cell>
          <cell r="AE1188" t="str">
            <v xml:space="preserve">CONTINUE LOADING </v>
          </cell>
        </row>
        <row r="1189">
          <cell r="C1189">
            <v>0.95833333333333337</v>
          </cell>
          <cell r="D1189" t="str">
            <v>TEMP STOP LOADING</v>
          </cell>
          <cell r="O1189">
            <v>0.99375000000000002</v>
          </cell>
          <cell r="P1189" t="str">
            <v>CONTINUE LOADING</v>
          </cell>
          <cell r="AD1189">
            <v>0.14583333333333334</v>
          </cell>
          <cell r="AE1189" t="str">
            <v xml:space="preserve">CONTINUE LOADING </v>
          </cell>
        </row>
        <row r="1190">
          <cell r="C1190">
            <v>4.1666666666666664E-2</v>
          </cell>
          <cell r="D1190" t="str">
            <v>TEMP STOP LOADING</v>
          </cell>
          <cell r="O1190">
            <v>1.3888888888888888E-2</v>
          </cell>
          <cell r="P1190" t="str">
            <v>CONTINUE LOADING</v>
          </cell>
          <cell r="AD1190">
            <v>0.18055555555555555</v>
          </cell>
          <cell r="AE1190" t="str">
            <v xml:space="preserve">CONTINUE LOADING </v>
          </cell>
        </row>
        <row r="1191">
          <cell r="C1191">
            <v>8.3333333333333329E-2</v>
          </cell>
          <cell r="D1191" t="str">
            <v>TEMP STOP LOADING</v>
          </cell>
          <cell r="O1191">
            <v>6.458333333333334E-2</v>
          </cell>
          <cell r="P1191" t="str">
            <v>CONTINUE LOADING</v>
          </cell>
          <cell r="AD1191">
            <v>0.20833333333333334</v>
          </cell>
          <cell r="AE1191" t="str">
            <v>CONTINUE LOADING</v>
          </cell>
        </row>
        <row r="1192">
          <cell r="C1192">
            <v>0.125</v>
          </cell>
          <cell r="D1192" t="str">
            <v>TEMP STOP LOADING</v>
          </cell>
          <cell r="O1192">
            <v>0.10416666666666667</v>
          </cell>
          <cell r="P1192" t="str">
            <v>CONTINUE LOADING</v>
          </cell>
          <cell r="AD1192">
            <v>0.22291666666666668</v>
          </cell>
          <cell r="AE1192" t="str">
            <v>CONTINUE LOADING</v>
          </cell>
        </row>
        <row r="1193">
          <cell r="C1193">
            <v>0.16666666666666666</v>
          </cell>
          <cell r="D1193" t="str">
            <v>TEMP STOP LOADING</v>
          </cell>
          <cell r="O1193">
            <v>0.15833333333333333</v>
          </cell>
          <cell r="P1193" t="str">
            <v>CONTINUE LOADING</v>
          </cell>
        </row>
        <row r="1194">
          <cell r="C1194">
            <v>0.20833333333333334</v>
          </cell>
          <cell r="D1194" t="str">
            <v>TEMP STOP LOADING</v>
          </cell>
          <cell r="O1194">
            <v>0.18333333333333332</v>
          </cell>
          <cell r="P1194" t="str">
            <v>CONTINUE LOADING</v>
          </cell>
        </row>
        <row r="1195">
          <cell r="C1195">
            <v>0.25</v>
          </cell>
          <cell r="D1195" t="str">
            <v>TEMP STOP LOADING</v>
          </cell>
          <cell r="O1195">
            <v>0.20833333333333334</v>
          </cell>
          <cell r="P1195" t="str">
            <v>TEMP STOP LOADING</v>
          </cell>
        </row>
        <row r="1196">
          <cell r="C1196" t="str">
            <v xml:space="preserve"> </v>
          </cell>
          <cell r="D1196" t="str">
            <v>INFINITY 8</v>
          </cell>
          <cell r="G1196" t="str">
            <v>SALVACION 8</v>
          </cell>
          <cell r="J1196" t="str">
            <v>VACANT</v>
          </cell>
          <cell r="M1196" t="str">
            <v>EFG 8</v>
          </cell>
          <cell r="O1196" t="str">
            <v xml:space="preserve">  </v>
          </cell>
          <cell r="P1196" t="str">
            <v>QUEEN CAROLYN</v>
          </cell>
          <cell r="S1196" t="str">
            <v>NAPOLI</v>
          </cell>
          <cell r="V1196" t="str">
            <v>LADY OF DIVINE GRACE</v>
          </cell>
          <cell r="Y1196" t="str">
            <v>EFG 5</v>
          </cell>
          <cell r="AB1196" t="str">
            <v>ADOLFO SR</v>
          </cell>
          <cell r="AE1196" t="str">
            <v>STAR FREEDOM</v>
          </cell>
        </row>
        <row r="1197">
          <cell r="C1197">
            <v>0.29166666666666669</v>
          </cell>
          <cell r="D1197" t="str">
            <v>KY TOOLBOX</v>
          </cell>
          <cell r="F1197">
            <v>0.29166666666666669</v>
          </cell>
          <cell r="G1197" t="str">
            <v>KY TOOLBOX</v>
          </cell>
          <cell r="L1197">
            <v>0.47916666666666669</v>
          </cell>
          <cell r="M1197" t="str">
            <v>DOCKED &amp; SECURED</v>
          </cell>
          <cell r="O1197">
            <v>0.29166666666666669</v>
          </cell>
          <cell r="P1197" t="str">
            <v>KY TOOLBOX</v>
          </cell>
          <cell r="R1197">
            <v>0.29166666666666669</v>
          </cell>
          <cell r="S1197" t="str">
            <v>WAITING MATERIAL</v>
          </cell>
          <cell r="U1197">
            <v>0.29166666666666669</v>
          </cell>
          <cell r="V1197" t="str">
            <v>WAITING MATERIAL</v>
          </cell>
          <cell r="X1197">
            <v>0.29166666666666669</v>
          </cell>
          <cell r="Y1197" t="str">
            <v>WAITING BUNKERING</v>
          </cell>
          <cell r="AA1197">
            <v>0.29166666666666669</v>
          </cell>
          <cell r="AB1197" t="str">
            <v>WAITING MATERIAL</v>
          </cell>
          <cell r="AD1197">
            <v>0.29166666666666669</v>
          </cell>
          <cell r="AE1197" t="str">
            <v>KY TOOLBOX</v>
          </cell>
        </row>
        <row r="1198">
          <cell r="C1198">
            <v>0.40625</v>
          </cell>
          <cell r="D1198" t="str">
            <v xml:space="preserve">RESUME LOADING </v>
          </cell>
          <cell r="F1198">
            <v>0.34722222222222221</v>
          </cell>
          <cell r="G1198" t="str">
            <v xml:space="preserve">COMMENCE LOADING </v>
          </cell>
          <cell r="L1198">
            <v>0.79166666666666663</v>
          </cell>
          <cell r="M1198" t="str">
            <v>KY TOOLBOX</v>
          </cell>
          <cell r="O1198">
            <v>0.35555555555555557</v>
          </cell>
          <cell r="P1198" t="str">
            <v>RESUME LOADING</v>
          </cell>
          <cell r="R1198">
            <v>0.59513888888888888</v>
          </cell>
          <cell r="S1198" t="str">
            <v xml:space="preserve">RESUME LOADING </v>
          </cell>
          <cell r="U1198">
            <v>0.79166666666666663</v>
          </cell>
          <cell r="V1198" t="str">
            <v>KY TOOLBOX</v>
          </cell>
          <cell r="AA1198">
            <v>0.4201388888888889</v>
          </cell>
          <cell r="AB1198" t="str">
            <v xml:space="preserve">COMMENCE LOADING </v>
          </cell>
          <cell r="AD1198">
            <v>0.33958333333333335</v>
          </cell>
          <cell r="AE1198" t="str">
            <v xml:space="preserve">RESUME LOADING </v>
          </cell>
        </row>
        <row r="1199">
          <cell r="C1199">
            <v>0.4375</v>
          </cell>
          <cell r="D1199" t="str">
            <v xml:space="preserve">STOP LOADING </v>
          </cell>
          <cell r="F1199">
            <v>0.40277777777777779</v>
          </cell>
          <cell r="G1199" t="str">
            <v xml:space="preserve">ONGOING LOADING </v>
          </cell>
          <cell r="L1199">
            <v>0.8125</v>
          </cell>
          <cell r="M1199" t="str">
            <v>ONGOING ONBOARD FORKLIFT</v>
          </cell>
          <cell r="O1199">
            <v>0.41180555555555554</v>
          </cell>
          <cell r="P1199" t="str">
            <v xml:space="preserve">ONGOING LOADING </v>
          </cell>
          <cell r="R1199">
            <v>0.63611111111111107</v>
          </cell>
          <cell r="S1199" t="str">
            <v xml:space="preserve">CONTINUE LOADING </v>
          </cell>
          <cell r="U1199">
            <v>0.80555555555555558</v>
          </cell>
          <cell r="V1199" t="str">
            <v xml:space="preserve">RESUME LOADING </v>
          </cell>
          <cell r="AA1199">
            <v>0.5</v>
          </cell>
          <cell r="AB1199" t="str">
            <v>LUNCHBREAK</v>
          </cell>
          <cell r="AD1199">
            <v>0.35625000000000001</v>
          </cell>
          <cell r="AE1199" t="str">
            <v xml:space="preserve">ONGOING LOADING </v>
          </cell>
        </row>
        <row r="1200">
          <cell r="C1200">
            <v>0.54166666666666663</v>
          </cell>
          <cell r="D1200" t="str">
            <v xml:space="preserve">STILL UNABLE TO RESUME </v>
          </cell>
          <cell r="F1200">
            <v>0.54166666666666663</v>
          </cell>
          <cell r="G1200" t="str">
            <v>WAITING MATERIAL</v>
          </cell>
          <cell r="L1200">
            <v>0.86805555555555558</v>
          </cell>
          <cell r="M1200" t="str">
            <v xml:space="preserve">COMMENCE LOADING </v>
          </cell>
          <cell r="O1200">
            <v>0.44374999999999998</v>
          </cell>
          <cell r="P1200" t="str">
            <v xml:space="preserve">CONTINUE LOADING </v>
          </cell>
          <cell r="R1200">
            <v>0.66388888888888886</v>
          </cell>
          <cell r="S1200" t="str">
            <v xml:space="preserve">ONGOING LOADING </v>
          </cell>
          <cell r="U1200">
            <v>0.14652777777777778</v>
          </cell>
          <cell r="V1200" t="str">
            <v>CONTINUE LOADING</v>
          </cell>
          <cell r="AA1200">
            <v>0.54166666666666663</v>
          </cell>
          <cell r="AB1200" t="str">
            <v xml:space="preserve">RESUME LOADING </v>
          </cell>
          <cell r="AD1200">
            <v>0.375</v>
          </cell>
          <cell r="AE1200" t="str">
            <v xml:space="preserve">CONTINUE LOADING </v>
          </cell>
        </row>
        <row r="1201">
          <cell r="C1201">
            <v>0.79166666666666663</v>
          </cell>
          <cell r="D1201" t="str">
            <v>KY TOOLBOX</v>
          </cell>
          <cell r="F1201">
            <v>0.5625</v>
          </cell>
          <cell r="G1201" t="str">
            <v xml:space="preserve">UNABLE TO RESUME </v>
          </cell>
          <cell r="L1201">
            <v>0.90902777777777777</v>
          </cell>
          <cell r="M1201" t="str">
            <v>CONTINUE LOADING</v>
          </cell>
          <cell r="O1201">
            <v>0.5</v>
          </cell>
          <cell r="P1201" t="str">
            <v>LUNCHBREAK</v>
          </cell>
          <cell r="R1201">
            <v>0.6875</v>
          </cell>
          <cell r="S1201" t="str">
            <v>VESSEL BUNKERING</v>
          </cell>
          <cell r="U1201">
            <v>0.1763888888888889</v>
          </cell>
          <cell r="V1201" t="str">
            <v>CONTINUE LOADING</v>
          </cell>
          <cell r="AA1201">
            <v>0.5625</v>
          </cell>
          <cell r="AB1201" t="str">
            <v xml:space="preserve">UNABLE TO RESUME </v>
          </cell>
          <cell r="AD1201">
            <v>0.39930555555555558</v>
          </cell>
          <cell r="AE1201" t="str">
            <v xml:space="preserve">ONGOING LOADING </v>
          </cell>
        </row>
        <row r="1202">
          <cell r="C1202">
            <v>0.80763888888888891</v>
          </cell>
          <cell r="D1202" t="str">
            <v xml:space="preserve">RESUME LOADING </v>
          </cell>
          <cell r="F1202">
            <v>0.72083333333333333</v>
          </cell>
          <cell r="G1202" t="str">
            <v xml:space="preserve">RESUME LOADING </v>
          </cell>
          <cell r="L1202">
            <v>0.9375</v>
          </cell>
          <cell r="M1202" t="str">
            <v xml:space="preserve">CONTINUE LOADING </v>
          </cell>
          <cell r="O1202">
            <v>0.56527777777777777</v>
          </cell>
          <cell r="P1202" t="str">
            <v xml:space="preserve">RESUME LOADING </v>
          </cell>
          <cell r="R1202">
            <v>0.70208333333333328</v>
          </cell>
          <cell r="S1202" t="str">
            <v xml:space="preserve">RESUME LOADING </v>
          </cell>
          <cell r="AA1202">
            <v>0.66527777777777775</v>
          </cell>
          <cell r="AB1202" t="str">
            <v xml:space="preserve">RESUME LOADING </v>
          </cell>
          <cell r="AD1202">
            <v>0.4152777777777778</v>
          </cell>
          <cell r="AE1202" t="str">
            <v xml:space="preserve">CONTINUE LOADING </v>
          </cell>
        </row>
        <row r="1203">
          <cell r="F1203">
            <v>0.71875</v>
          </cell>
          <cell r="G1203" t="str">
            <v xml:space="preserve">CONTINUE LOADING </v>
          </cell>
          <cell r="L1203">
            <v>0.9916666666666667</v>
          </cell>
          <cell r="M1203" t="str">
            <v>CONTINUE LOADING</v>
          </cell>
          <cell r="O1203">
            <v>0.63958333333333328</v>
          </cell>
          <cell r="P1203" t="str">
            <v xml:space="preserve">ONGOING LOADING </v>
          </cell>
          <cell r="R1203">
            <v>0.71666666666666667</v>
          </cell>
          <cell r="S1203" t="str">
            <v xml:space="preserve">CONTINUE LOADING </v>
          </cell>
          <cell r="AA1203">
            <v>0.79166666666666663</v>
          </cell>
          <cell r="AB1203" t="str">
            <v>KY TOOLBOX</v>
          </cell>
          <cell r="AD1203">
            <v>0.44027777777777777</v>
          </cell>
          <cell r="AE1203" t="str">
            <v xml:space="preserve">ONGOING LOADING </v>
          </cell>
        </row>
        <row r="1204">
          <cell r="F1204">
            <v>0.79166666666666663</v>
          </cell>
          <cell r="G1204" t="str">
            <v>KY TOOLBOX</v>
          </cell>
          <cell r="L1204">
            <v>0.1423611111111111</v>
          </cell>
          <cell r="M1204" t="str">
            <v>CONTINUE LOADING</v>
          </cell>
          <cell r="O1204">
            <v>0.67152777777777772</v>
          </cell>
          <cell r="P1204" t="str">
            <v xml:space="preserve">CONTINUE LOADING </v>
          </cell>
          <cell r="R1204">
            <v>0.79166666666666663</v>
          </cell>
          <cell r="S1204" t="str">
            <v>KY TOOLBOX</v>
          </cell>
          <cell r="AA1204">
            <v>0.8125</v>
          </cell>
          <cell r="AB1204" t="str">
            <v>RESUME LOADING LOOSEBAG</v>
          </cell>
          <cell r="AD1204">
            <v>0.5</v>
          </cell>
          <cell r="AE1204" t="str">
            <v>LUNCHBREAK</v>
          </cell>
        </row>
        <row r="1205">
          <cell r="F1205">
            <v>0.8125</v>
          </cell>
          <cell r="G1205" t="str">
            <v xml:space="preserve">RESUME LOADING </v>
          </cell>
          <cell r="L1205">
            <v>0.19375000000000001</v>
          </cell>
          <cell r="M1205" t="str">
            <v>CONTINUE LOADING</v>
          </cell>
          <cell r="O1205">
            <v>0.70833333333333337</v>
          </cell>
          <cell r="P1205" t="str">
            <v xml:space="preserve">STOP LOADING </v>
          </cell>
          <cell r="R1205">
            <v>0.80486111111111114</v>
          </cell>
          <cell r="S1205" t="str">
            <v xml:space="preserve">RESUME LOADING </v>
          </cell>
          <cell r="AA1205">
            <v>0.84027777777777779</v>
          </cell>
          <cell r="AB1205" t="str">
            <v>CONTINUE LOADING LOOSEBAG</v>
          </cell>
          <cell r="AD1205">
            <v>0.54166666666666663</v>
          </cell>
          <cell r="AE1205" t="str">
            <v xml:space="preserve">RESUME LOADING </v>
          </cell>
        </row>
        <row r="1206">
          <cell r="F1206">
            <v>0.84861111111111109</v>
          </cell>
          <cell r="G1206" t="str">
            <v xml:space="preserve">CONTINUE LOADING </v>
          </cell>
          <cell r="O1206">
            <v>0.79166666666666663</v>
          </cell>
          <cell r="P1206" t="str">
            <v>KY TOOLBOX</v>
          </cell>
          <cell r="R1206">
            <v>0.83888888888888891</v>
          </cell>
          <cell r="S1206" t="str">
            <v xml:space="preserve">CONTINUE LOADING </v>
          </cell>
          <cell r="AA1206">
            <v>0.89583333333333337</v>
          </cell>
          <cell r="AB1206" t="str">
            <v>CONTINUE LOADING LOOSEBAG</v>
          </cell>
          <cell r="AD1206">
            <v>0.57222222222222219</v>
          </cell>
          <cell r="AE1206" t="str">
            <v xml:space="preserve">WAITING PORTLAND SLING </v>
          </cell>
        </row>
        <row r="1207">
          <cell r="F1207">
            <v>0.87847222222222221</v>
          </cell>
          <cell r="G1207" t="str">
            <v xml:space="preserve">CONTINUE LOADING </v>
          </cell>
          <cell r="O1207">
            <v>0.80625000000000002</v>
          </cell>
          <cell r="P1207" t="str">
            <v>RESUME LOADING</v>
          </cell>
          <cell r="R1207">
            <v>0.875</v>
          </cell>
          <cell r="S1207" t="str">
            <v xml:space="preserve">CONTINUE LOADING </v>
          </cell>
          <cell r="AA1207">
            <v>0.91666666666666663</v>
          </cell>
          <cell r="AB1207" t="str">
            <v>CONTINUE LOADING LOOSEBAG</v>
          </cell>
          <cell r="AD1207">
            <v>0.66805555555555551</v>
          </cell>
          <cell r="AE1207" t="str">
            <v xml:space="preserve">RESUME LOADING </v>
          </cell>
        </row>
        <row r="1208">
          <cell r="F1208">
            <v>0.93958333333333333</v>
          </cell>
          <cell r="G1208" t="str">
            <v xml:space="preserve">CONTINUE LOADING </v>
          </cell>
          <cell r="O1208">
            <v>0.84513888888888888</v>
          </cell>
          <cell r="P1208" t="str">
            <v>CONTINUE LOADING</v>
          </cell>
          <cell r="R1208">
            <v>0.91805555555555551</v>
          </cell>
          <cell r="S1208" t="str">
            <v>CONTINUE LOADING</v>
          </cell>
          <cell r="AA1208">
            <v>0.05</v>
          </cell>
          <cell r="AB1208" t="str">
            <v>CONTINUE LOADING</v>
          </cell>
          <cell r="AD1208">
            <v>0.68402777777777779</v>
          </cell>
          <cell r="AE1208" t="str">
            <v xml:space="preserve">ONGOING LOADING </v>
          </cell>
        </row>
        <row r="1209">
          <cell r="F1209">
            <v>0.97569444444444442</v>
          </cell>
          <cell r="G1209" t="str">
            <v xml:space="preserve">CONTINUE LOADING </v>
          </cell>
          <cell r="O1209">
            <v>0.89652777777777781</v>
          </cell>
          <cell r="P1209" t="str">
            <v>CONTINUE LOADING</v>
          </cell>
          <cell r="R1209">
            <v>0.98263888888888884</v>
          </cell>
          <cell r="S1209" t="str">
            <v>CONTINUE LOADING</v>
          </cell>
          <cell r="AA1209">
            <v>0.10277777777777777</v>
          </cell>
          <cell r="AB1209" t="str">
            <v>CONTINUE LOADING</v>
          </cell>
          <cell r="AD1209">
            <v>0.70277777777777772</v>
          </cell>
          <cell r="AE1209" t="str">
            <v xml:space="preserve">CONTINUE LOADING </v>
          </cell>
        </row>
        <row r="1210">
          <cell r="F1210">
            <v>6.6666666666666666E-2</v>
          </cell>
          <cell r="G1210" t="str">
            <v xml:space="preserve">CONTINUE LOADING </v>
          </cell>
          <cell r="O1210">
            <v>0.91736111111111107</v>
          </cell>
          <cell r="P1210" t="str">
            <v xml:space="preserve">CONTINUE LOADING </v>
          </cell>
          <cell r="AA1210">
            <v>0.13958333333333334</v>
          </cell>
          <cell r="AB1210" t="str">
            <v>CONTINUE LOADING</v>
          </cell>
          <cell r="AD1210">
            <v>0.79166666666666663</v>
          </cell>
          <cell r="AE1210" t="str">
            <v>KY TOOLBOX</v>
          </cell>
        </row>
        <row r="1211">
          <cell r="F1211">
            <v>9.7222222222222224E-2</v>
          </cell>
          <cell r="G1211" t="str">
            <v xml:space="preserve">CONTINUE LOADING </v>
          </cell>
          <cell r="O1211">
            <v>0.97361111111111109</v>
          </cell>
          <cell r="P1211" t="str">
            <v>CONTINUE LOADING</v>
          </cell>
          <cell r="R1211" t="str">
            <v xml:space="preserve"> </v>
          </cell>
          <cell r="AA1211">
            <v>0.18611111111111112</v>
          </cell>
          <cell r="AB1211" t="str">
            <v>CONTINUE LOADING</v>
          </cell>
          <cell r="AD1211">
            <v>0.80972222222222223</v>
          </cell>
          <cell r="AE1211" t="str">
            <v xml:space="preserve">RESUME LOADING </v>
          </cell>
        </row>
        <row r="1212">
          <cell r="F1212">
            <v>0.13750000000000001</v>
          </cell>
          <cell r="G1212" t="str">
            <v xml:space="preserve">CONTINUE LOADING </v>
          </cell>
          <cell r="O1212">
            <v>6.9444444444444447E-4</v>
          </cell>
          <cell r="P1212" t="str">
            <v>CONTINUE LOADING</v>
          </cell>
          <cell r="AD1212">
            <v>0.82986111111111116</v>
          </cell>
          <cell r="AE1212" t="str">
            <v xml:space="preserve">CONTINUE LOADING </v>
          </cell>
        </row>
        <row r="1213">
          <cell r="F1213">
            <v>0.16666666666666666</v>
          </cell>
          <cell r="G1213" t="str">
            <v xml:space="preserve">CONTINUE LOADING </v>
          </cell>
          <cell r="O1213">
            <v>4.5138888888888888E-2</v>
          </cell>
          <cell r="P1213" t="str">
            <v>CONTINUE LOADING</v>
          </cell>
          <cell r="AD1213">
            <v>0.10069444444444445</v>
          </cell>
          <cell r="AE1213" t="str">
            <v xml:space="preserve">CONTINUE LOADING </v>
          </cell>
        </row>
        <row r="1214">
          <cell r="F1214">
            <v>0.22222222222222221</v>
          </cell>
          <cell r="G1214" t="str">
            <v xml:space="preserve">CONTINUE LOADING </v>
          </cell>
          <cell r="O1214">
            <v>0.1125</v>
          </cell>
          <cell r="P1214" t="str">
            <v>CONTINUE LOADING</v>
          </cell>
          <cell r="AD1214">
            <v>0.14583333333333334</v>
          </cell>
          <cell r="AE1214" t="str">
            <v xml:space="preserve">CONTINUE LOADING </v>
          </cell>
        </row>
        <row r="1215">
          <cell r="O1215">
            <v>0.14583333333333334</v>
          </cell>
          <cell r="P1215" t="str">
            <v>CONTINUE</v>
          </cell>
          <cell r="AD1215">
            <v>0.18402777777777779</v>
          </cell>
          <cell r="AE1215" t="str">
            <v xml:space="preserve">CONTINUE LOADING </v>
          </cell>
        </row>
        <row r="1216">
          <cell r="O1216">
            <v>0.18472222222222223</v>
          </cell>
          <cell r="P1216" t="str">
            <v>COMPLETE LOADING</v>
          </cell>
          <cell r="AD1216">
            <v>0.2048611111111111</v>
          </cell>
          <cell r="AE1216" t="str">
            <v>COMPLETE LOADING</v>
          </cell>
        </row>
        <row r="1217">
          <cell r="D1217" t="str">
            <v>INFINITY 8</v>
          </cell>
          <cell r="G1217" t="str">
            <v>SALVACION 8</v>
          </cell>
          <cell r="J1217" t="str">
            <v>VACANT</v>
          </cell>
          <cell r="M1217" t="str">
            <v>EFG 8</v>
          </cell>
          <cell r="P1217" t="str">
            <v>VACANT</v>
          </cell>
          <cell r="S1217" t="str">
            <v>NAPOLI</v>
          </cell>
          <cell r="V1217" t="str">
            <v>LADY OF DIVINE GRACE</v>
          </cell>
          <cell r="Y1217" t="str">
            <v>VACANT</v>
          </cell>
          <cell r="AB1217" t="str">
            <v>ADOLFO SR</v>
          </cell>
          <cell r="AE1217" t="str">
            <v>VACANT</v>
          </cell>
          <cell r="AH1217" t="str">
            <v>JOHANNAH 7</v>
          </cell>
        </row>
        <row r="1218">
          <cell r="C1218">
            <v>0.29166666666666669</v>
          </cell>
          <cell r="D1218" t="str">
            <v>KY TOOLBOXC</v>
          </cell>
          <cell r="F1218">
            <v>0.29166666666666669</v>
          </cell>
          <cell r="G1218" t="str">
            <v>KY TOOLBOX</v>
          </cell>
          <cell r="I1218">
            <v>0.29166666666666669</v>
          </cell>
          <cell r="J1218" t="str">
            <v>VACANT</v>
          </cell>
          <cell r="L1218">
            <v>0.29166666666666669</v>
          </cell>
          <cell r="M1218" t="str">
            <v>KY TOOLBOX</v>
          </cell>
          <cell r="O1218">
            <v>0.29166666666666669</v>
          </cell>
          <cell r="P1218" t="str">
            <v>VACANT</v>
          </cell>
          <cell r="R1218">
            <v>0.29166666666666669</v>
          </cell>
          <cell r="S1218" t="str">
            <v>KY TOOLBOX</v>
          </cell>
          <cell r="U1218">
            <v>0.29166666666666669</v>
          </cell>
          <cell r="V1218" t="str">
            <v>KY TOOLBOX</v>
          </cell>
          <cell r="X1218">
            <v>0.29166666666666669</v>
          </cell>
          <cell r="Y1218" t="str">
            <v>VACANT</v>
          </cell>
          <cell r="AA1218">
            <v>0.29166666666666669</v>
          </cell>
          <cell r="AB1218" t="str">
            <v>KY TOOLBOX</v>
          </cell>
          <cell r="AD1218">
            <v>0.29166666666666669</v>
          </cell>
          <cell r="AE1218" t="str">
            <v>VACANT</v>
          </cell>
          <cell r="AG1218">
            <v>0.54166666666666663</v>
          </cell>
          <cell r="AH1218" t="str">
            <v>UNABLE TO COMMENCE</v>
          </cell>
        </row>
        <row r="1219">
          <cell r="C1219">
            <v>0.34166666666666667</v>
          </cell>
          <cell r="D1219" t="str">
            <v xml:space="preserve">RESUME LOADING </v>
          </cell>
          <cell r="F1219">
            <v>0.33333333333333331</v>
          </cell>
          <cell r="G1219" t="str">
            <v xml:space="preserve">RESUME LOADING </v>
          </cell>
          <cell r="L1219">
            <v>0.34166666666666667</v>
          </cell>
          <cell r="M1219" t="str">
            <v xml:space="preserve">RESUME LOADING </v>
          </cell>
          <cell r="R1219">
            <v>0.33888888888888891</v>
          </cell>
          <cell r="S1219" t="str">
            <v xml:space="preserve">RESUME LOADING </v>
          </cell>
          <cell r="U1219">
            <v>0.34027777777777779</v>
          </cell>
          <cell r="V1219" t="str">
            <v>RESUME LOADING</v>
          </cell>
          <cell r="AA1219">
            <v>0.33333333333333331</v>
          </cell>
          <cell r="AB1219" t="str">
            <v>WAITING FOR SHORECRANE</v>
          </cell>
          <cell r="AG1219">
            <v>0.79166666666666663</v>
          </cell>
          <cell r="AH1219" t="str">
            <v>KY TOOLBOX</v>
          </cell>
        </row>
        <row r="1220">
          <cell r="C1220">
            <v>0.36736111111111114</v>
          </cell>
          <cell r="D1220" t="str">
            <v xml:space="preserve">ONGOING LOADING </v>
          </cell>
          <cell r="F1220">
            <v>0.34722222222222221</v>
          </cell>
          <cell r="G1220" t="str">
            <v xml:space="preserve">ONGOING LOADING </v>
          </cell>
          <cell r="L1220">
            <v>0.35972222222222222</v>
          </cell>
          <cell r="M1220" t="str">
            <v xml:space="preserve">ONGOING LOADING </v>
          </cell>
          <cell r="R1220">
            <v>0.40763888888888888</v>
          </cell>
          <cell r="S1220" t="str">
            <v xml:space="preserve">ONGOING LOADING </v>
          </cell>
          <cell r="U1220">
            <v>0.36249999999999999</v>
          </cell>
          <cell r="V1220" t="str">
            <v xml:space="preserve">ONGOING LOADING </v>
          </cell>
          <cell r="AA1220">
            <v>0.3923611111111111</v>
          </cell>
          <cell r="AB1220" t="str">
            <v xml:space="preserve">ONGOING LOADING </v>
          </cell>
          <cell r="AG1220">
            <v>0.80555555555555558</v>
          </cell>
          <cell r="AH1220" t="str">
            <v>CLOSE HATCH</v>
          </cell>
        </row>
        <row r="1221">
          <cell r="C1221">
            <v>0.41666666666666669</v>
          </cell>
          <cell r="D1221" t="str">
            <v>CLOSE HATCH</v>
          </cell>
          <cell r="F1221">
            <v>0.36805555555555558</v>
          </cell>
          <cell r="G1221" t="str">
            <v xml:space="preserve">CONTINUE LOADING </v>
          </cell>
          <cell r="L1221">
            <v>0.38194444444444442</v>
          </cell>
          <cell r="M1221" t="str">
            <v xml:space="preserve">STOP LOADING </v>
          </cell>
          <cell r="R1221">
            <v>0.44236111111111109</v>
          </cell>
          <cell r="S1221" t="str">
            <v xml:space="preserve">CONTINUE LOADING </v>
          </cell>
          <cell r="U1221">
            <v>0.46527777777777779</v>
          </cell>
          <cell r="V1221" t="str">
            <v xml:space="preserve">CONTINUE LOADING </v>
          </cell>
          <cell r="AA1221">
            <v>0.45833333333333331</v>
          </cell>
          <cell r="AB1221" t="str">
            <v xml:space="preserve">TEMP STOP LOADING </v>
          </cell>
          <cell r="AG1221">
            <v>0.83333333333333337</v>
          </cell>
          <cell r="AH1221" t="str">
            <v>CLOSE HATCH</v>
          </cell>
        </row>
        <row r="1222">
          <cell r="C1222">
            <v>0.79166666666666663</v>
          </cell>
          <cell r="D1222" t="str">
            <v>KY TOOLBOXC</v>
          </cell>
          <cell r="F1222">
            <v>0.41666666666666669</v>
          </cell>
          <cell r="G1222" t="str">
            <v>CLOSE HATCH</v>
          </cell>
          <cell r="L1222">
            <v>0.57152777777777775</v>
          </cell>
          <cell r="M1222" t="str">
            <v xml:space="preserve">RESUME LOADING </v>
          </cell>
          <cell r="R1222">
            <v>0.46666666666666667</v>
          </cell>
          <cell r="S1222" t="str">
            <v xml:space="preserve">ONGOING LOADING </v>
          </cell>
          <cell r="U1222">
            <v>0.5</v>
          </cell>
          <cell r="V1222" t="str">
            <v>LUNCHBREAK</v>
          </cell>
          <cell r="AA1222">
            <v>0.57430555555555551</v>
          </cell>
          <cell r="AB1222" t="str">
            <v xml:space="preserve">RESUME LOADING </v>
          </cell>
          <cell r="AG1222">
            <v>0.875</v>
          </cell>
          <cell r="AH1222" t="str">
            <v>CLOSE HATCH</v>
          </cell>
        </row>
        <row r="1223">
          <cell r="C1223">
            <v>0.80555555555555558</v>
          </cell>
          <cell r="D1223" t="str">
            <v>CLOSE HATCH</v>
          </cell>
          <cell r="F1223">
            <v>0.79166666666666663</v>
          </cell>
          <cell r="G1223" t="str">
            <v>KY TOOLBOX</v>
          </cell>
          <cell r="L1223">
            <v>0.61111111111111116</v>
          </cell>
          <cell r="M1223" t="str">
            <v xml:space="preserve">CONTINUE LOADING </v>
          </cell>
          <cell r="R1223">
            <v>0.5</v>
          </cell>
          <cell r="S1223" t="str">
            <v>LUNCHBREAK</v>
          </cell>
          <cell r="U1223">
            <v>0.56944444444444442</v>
          </cell>
          <cell r="V1223" t="str">
            <v>RESUME LOADING</v>
          </cell>
          <cell r="AA1223">
            <v>0.59722222222222221</v>
          </cell>
          <cell r="AB1223" t="str">
            <v xml:space="preserve">ONGOING LOADING </v>
          </cell>
          <cell r="AG1223">
            <v>0.95833333333333337</v>
          </cell>
          <cell r="AH1223" t="str">
            <v>CLOSE HATCH</v>
          </cell>
        </row>
        <row r="1224">
          <cell r="C1224">
            <v>0.83333333333333337</v>
          </cell>
          <cell r="D1224" t="str">
            <v>CLOSE HATCH</v>
          </cell>
          <cell r="F1224">
            <v>0.80555555555555558</v>
          </cell>
          <cell r="G1224" t="str">
            <v>CLOSE HATCH</v>
          </cell>
          <cell r="L1224">
            <v>0.6875</v>
          </cell>
          <cell r="M1224" t="str">
            <v>CLOSE HATCH</v>
          </cell>
          <cell r="R1224">
            <v>0.54166666666666663</v>
          </cell>
          <cell r="S1224" t="str">
            <v>WAITING LAPU LAPU</v>
          </cell>
          <cell r="U1224">
            <v>0.58680555555555558</v>
          </cell>
          <cell r="V1224" t="str">
            <v xml:space="preserve">ONGOING LOADING </v>
          </cell>
          <cell r="AA1224">
            <v>0.6875</v>
          </cell>
          <cell r="AB1224" t="str">
            <v>CLOSE HATCH</v>
          </cell>
          <cell r="AG1224">
            <v>0</v>
          </cell>
          <cell r="AH1224" t="str">
            <v>CLOSE HATCH</v>
          </cell>
        </row>
        <row r="1225">
          <cell r="C1225">
            <v>0.875</v>
          </cell>
          <cell r="D1225" t="str">
            <v>CLOSE HATCH</v>
          </cell>
          <cell r="F1225">
            <v>0.83333333333333337</v>
          </cell>
          <cell r="G1225" t="str">
            <v>CLOSE HATCH</v>
          </cell>
          <cell r="L1225">
            <v>0.79166666666666663</v>
          </cell>
          <cell r="M1225" t="str">
            <v>KY TOOLBOX</v>
          </cell>
          <cell r="R1225">
            <v>0.58472222222222225</v>
          </cell>
          <cell r="S1225" t="str">
            <v xml:space="preserve">RESUME LOADING </v>
          </cell>
          <cell r="U1225">
            <v>0.66041666666666665</v>
          </cell>
          <cell r="V1225" t="str">
            <v xml:space="preserve">CONTINUE LOADING </v>
          </cell>
          <cell r="AA1225">
            <v>0.79166666666666663</v>
          </cell>
          <cell r="AB1225" t="str">
            <v>KY TOOLBOX</v>
          </cell>
          <cell r="AG1225">
            <v>4.1666666666666664E-2</v>
          </cell>
          <cell r="AH1225" t="str">
            <v>CLOSE HATCH</v>
          </cell>
        </row>
        <row r="1226">
          <cell r="C1226">
            <v>0.95833333333333337</v>
          </cell>
          <cell r="D1226" t="str">
            <v>CLOSE HATCH</v>
          </cell>
          <cell r="F1226">
            <v>0.875</v>
          </cell>
          <cell r="G1226" t="str">
            <v>CLOSE HATCH</v>
          </cell>
          <cell r="L1226">
            <v>0.80902777777777779</v>
          </cell>
          <cell r="M1226" t="str">
            <v>RESUME LOADING</v>
          </cell>
          <cell r="R1226">
            <v>0.61111111111111116</v>
          </cell>
          <cell r="S1226" t="str">
            <v xml:space="preserve">ONGOING LOADING </v>
          </cell>
          <cell r="U1226">
            <v>0.6875</v>
          </cell>
          <cell r="V1226" t="str">
            <v xml:space="preserve">CLOSE HATCH </v>
          </cell>
          <cell r="AA1226">
            <v>0.80902777777777779</v>
          </cell>
          <cell r="AB1226" t="str">
            <v xml:space="preserve">RESUME LOADING </v>
          </cell>
          <cell r="AG1226">
            <v>8.3333333333333329E-2</v>
          </cell>
          <cell r="AH1226" t="str">
            <v>CLOSE HATCH</v>
          </cell>
        </row>
        <row r="1227">
          <cell r="C1227">
            <v>0</v>
          </cell>
          <cell r="D1227" t="str">
            <v>CLOSE HATCH</v>
          </cell>
          <cell r="F1227">
            <v>0.95833333333333337</v>
          </cell>
          <cell r="G1227" t="str">
            <v>CLOSE HATCH</v>
          </cell>
          <cell r="L1227">
            <v>0.93263888888888891</v>
          </cell>
          <cell r="M1227" t="str">
            <v>CONTINUE LOADING LOOSE BAG</v>
          </cell>
          <cell r="R1227">
            <v>0.63055555555555554</v>
          </cell>
          <cell r="S1227" t="str">
            <v xml:space="preserve">CONTINUE LOADING </v>
          </cell>
          <cell r="U1227">
            <v>0.79166666666666663</v>
          </cell>
          <cell r="V1227" t="str">
            <v>KY TOOLBOX</v>
          </cell>
          <cell r="AA1227">
            <v>0.84166666666666667</v>
          </cell>
          <cell r="AB1227" t="str">
            <v>CONTINUE LOADING</v>
          </cell>
          <cell r="AG1227">
            <v>0.125</v>
          </cell>
          <cell r="AH1227" t="str">
            <v>CLOSE HATCH</v>
          </cell>
        </row>
        <row r="1228">
          <cell r="C1228">
            <v>4.1666666666666664E-2</v>
          </cell>
          <cell r="D1228" t="str">
            <v>CLOSE HATCH</v>
          </cell>
          <cell r="F1228">
            <v>0</v>
          </cell>
          <cell r="G1228" t="str">
            <v>CLOSE HATCH</v>
          </cell>
          <cell r="L1228">
            <v>4.0972222222222222E-2</v>
          </cell>
          <cell r="M1228" t="str">
            <v>CONTINUE LOADING LOOSE BAG</v>
          </cell>
          <cell r="R1228">
            <v>0.65902777777777777</v>
          </cell>
          <cell r="S1228" t="str">
            <v xml:space="preserve">ONGOING LOADING </v>
          </cell>
          <cell r="U1228">
            <v>0.80902777777777779</v>
          </cell>
          <cell r="V1228" t="str">
            <v>RESUME LOADING</v>
          </cell>
          <cell r="AA1228">
            <v>0.87569444444444444</v>
          </cell>
          <cell r="AB1228" t="str">
            <v>CONTINUE LOADING</v>
          </cell>
          <cell r="AG1228">
            <v>0.16666666666666666</v>
          </cell>
          <cell r="AH1228" t="str">
            <v>CLOSE HATCH</v>
          </cell>
        </row>
        <row r="1229">
          <cell r="C1229">
            <v>8.3333333333333329E-2</v>
          </cell>
          <cell r="D1229" t="str">
            <v>CLOSE HATCH</v>
          </cell>
          <cell r="F1229">
            <v>4.1666666666666664E-2</v>
          </cell>
          <cell r="G1229" t="str">
            <v>CLOSE HATCH</v>
          </cell>
          <cell r="L1229">
            <v>8.1250000000000003E-2</v>
          </cell>
          <cell r="M1229" t="str">
            <v>CONTINUE LOADING LOOSE BAG</v>
          </cell>
          <cell r="R1229">
            <v>0.6875</v>
          </cell>
          <cell r="S1229" t="str">
            <v>CLOSE HATCH</v>
          </cell>
          <cell r="U1229">
            <v>0.84513888888888888</v>
          </cell>
          <cell r="V1229" t="str">
            <v>CONTINUE LOADING</v>
          </cell>
          <cell r="AA1229">
            <v>0.92777777777777781</v>
          </cell>
          <cell r="AB1229" t="str">
            <v xml:space="preserve">CONTINUE LOADING </v>
          </cell>
          <cell r="AG1229">
            <v>0.20833333333333334</v>
          </cell>
          <cell r="AH1229" t="str">
            <v>CLOSE HATCH</v>
          </cell>
        </row>
        <row r="1230">
          <cell r="C1230">
            <v>0.125</v>
          </cell>
          <cell r="D1230" t="str">
            <v>CLOSE HATCH</v>
          </cell>
          <cell r="F1230">
            <v>8.3333333333333329E-2</v>
          </cell>
          <cell r="G1230" t="str">
            <v>CLOSE HATCH</v>
          </cell>
          <cell r="L1230">
            <v>0.15208333333333332</v>
          </cell>
          <cell r="M1230" t="str">
            <v>CONTINUE LOADING LOOSE BAG</v>
          </cell>
          <cell r="R1230">
            <v>0.79166666666666663</v>
          </cell>
          <cell r="S1230" t="str">
            <v>KY TOOLBOX</v>
          </cell>
          <cell r="U1230">
            <v>0.86319444444444449</v>
          </cell>
          <cell r="V1230" t="str">
            <v xml:space="preserve">CONTINUE LOADING </v>
          </cell>
          <cell r="AA1230">
            <v>0.98333333333333328</v>
          </cell>
          <cell r="AB1230" t="str">
            <v>CONTINUE LOADING LOOSEBAG</v>
          </cell>
          <cell r="AG1230">
            <v>0.25</v>
          </cell>
          <cell r="AH1230" t="str">
            <v>CLOSE HATCH</v>
          </cell>
        </row>
        <row r="1231">
          <cell r="C1231">
            <v>0.16666666666666666</v>
          </cell>
          <cell r="D1231" t="str">
            <v>CLOSE HATCH</v>
          </cell>
          <cell r="F1231">
            <v>0.125</v>
          </cell>
          <cell r="G1231" t="str">
            <v>CLOSE HATCH</v>
          </cell>
          <cell r="L1231">
            <v>0.20833333333333334</v>
          </cell>
          <cell r="M1231" t="str">
            <v>CONTINUE LOADING LOOSE BAG</v>
          </cell>
          <cell r="R1231">
            <v>0.80902777777777779</v>
          </cell>
          <cell r="S1231" t="str">
            <v xml:space="preserve">RESUME LOADING </v>
          </cell>
          <cell r="U1231">
            <v>0.8833333333333333</v>
          </cell>
          <cell r="V1231" t="str">
            <v>CONTINUE LOADING</v>
          </cell>
          <cell r="AA1231">
            <v>3.8194444444444448E-2</v>
          </cell>
          <cell r="AB1231" t="str">
            <v>CONTINUE LOADING LOOSEBAG</v>
          </cell>
        </row>
        <row r="1232">
          <cell r="C1232">
            <v>0.20833333333333334</v>
          </cell>
          <cell r="D1232" t="str">
            <v>CLOSE HATCH</v>
          </cell>
          <cell r="F1232">
            <v>0.16666666666666666</v>
          </cell>
          <cell r="G1232" t="str">
            <v>CLOSE HATCH</v>
          </cell>
          <cell r="R1232">
            <v>0.86250000000000004</v>
          </cell>
          <cell r="S1232" t="str">
            <v>CONTINUE LOADING</v>
          </cell>
          <cell r="U1232">
            <v>0.91736111111111107</v>
          </cell>
          <cell r="V1232" t="str">
            <v xml:space="preserve">CONTINUE LOADING </v>
          </cell>
          <cell r="AA1232">
            <v>0.12361111111111112</v>
          </cell>
          <cell r="AB1232" t="str">
            <v>CONTINUE LOADING LOOSEBAG</v>
          </cell>
        </row>
        <row r="1233">
          <cell r="C1233">
            <v>0.25</v>
          </cell>
          <cell r="D1233" t="str">
            <v>CLOSE HATCH</v>
          </cell>
          <cell r="F1233">
            <v>0.20833333333333334</v>
          </cell>
          <cell r="G1233" t="str">
            <v>CLOSE HATCH</v>
          </cell>
          <cell r="R1233">
            <v>0.8881944444444444</v>
          </cell>
          <cell r="S1233" t="str">
            <v>CONTINUE LOADING</v>
          </cell>
          <cell r="U1233">
            <v>0.97777777777777775</v>
          </cell>
          <cell r="V1233" t="str">
            <v>CONTINUE LOADING</v>
          </cell>
          <cell r="AA1233">
            <v>0.17708333333333334</v>
          </cell>
          <cell r="AB1233" t="str">
            <v>CONTINUE LOADING LOOSEBAG</v>
          </cell>
        </row>
        <row r="1234">
          <cell r="F1234">
            <v>0.25</v>
          </cell>
          <cell r="G1234" t="str">
            <v>CLOSE HATCH</v>
          </cell>
          <cell r="R1234">
            <v>0.92569444444444449</v>
          </cell>
          <cell r="S1234" t="str">
            <v>COMPLETE LOADING</v>
          </cell>
          <cell r="U1234">
            <v>0</v>
          </cell>
          <cell r="V1234" t="str">
            <v xml:space="preserve">WAITING DELIVERY </v>
          </cell>
        </row>
        <row r="1235">
          <cell r="U1235">
            <v>4.1666666666666664E-2</v>
          </cell>
          <cell r="V1235" t="str">
            <v xml:space="preserve">WAITING DELIVERY </v>
          </cell>
        </row>
        <row r="1236">
          <cell r="U1236">
            <v>0.10694444444444444</v>
          </cell>
          <cell r="V1236" t="str">
            <v>CONTINUE LOADING</v>
          </cell>
        </row>
        <row r="1237">
          <cell r="U1237">
            <v>0.13263888888888889</v>
          </cell>
          <cell r="V1237" t="str">
            <v>CONTINUE LOADING</v>
          </cell>
        </row>
        <row r="1238">
          <cell r="U1238">
            <v>0.16666666666666666</v>
          </cell>
          <cell r="V1238" t="str">
            <v xml:space="preserve">WAITING DELIVERY </v>
          </cell>
        </row>
        <row r="1239">
          <cell r="U1239">
            <v>0.20833333333333334</v>
          </cell>
          <cell r="V1239" t="str">
            <v xml:space="preserve">WAITING DELIVERY </v>
          </cell>
        </row>
        <row r="1240">
          <cell r="U1240">
            <v>0.25</v>
          </cell>
          <cell r="V1240" t="str">
            <v xml:space="preserve">WAITING DELIVERY </v>
          </cell>
        </row>
        <row r="1241">
          <cell r="D1241" t="str">
            <v>INFINITY 8</v>
          </cell>
          <cell r="G1241" t="str">
            <v>SALVACION 8</v>
          </cell>
          <cell r="J1241" t="str">
            <v>VACANT</v>
          </cell>
          <cell r="M1241" t="str">
            <v>EFG 8</v>
          </cell>
          <cell r="P1241" t="str">
            <v>VACANT</v>
          </cell>
          <cell r="S1241" t="str">
            <v>VACANT</v>
          </cell>
          <cell r="V1241" t="str">
            <v>LADY OF DIVINE GRACE</v>
          </cell>
          <cell r="Y1241" t="str">
            <v>LADY OF WISDOM</v>
          </cell>
          <cell r="AB1241" t="str">
            <v>EMERALD STAR</v>
          </cell>
          <cell r="AE1241" t="str">
            <v>ADOLFO SR</v>
          </cell>
          <cell r="AH1241" t="str">
            <v>VACANT</v>
          </cell>
        </row>
        <row r="1242">
          <cell r="C1242">
            <v>0.29166666666666669</v>
          </cell>
          <cell r="D1242" t="str">
            <v>KY TOOLBOX</v>
          </cell>
          <cell r="F1242">
            <v>0.29166666666666669</v>
          </cell>
          <cell r="G1242" t="str">
            <v>KY TOOLBOX</v>
          </cell>
          <cell r="I1242">
            <v>0.29166666666666669</v>
          </cell>
          <cell r="J1242" t="str">
            <v>VACANT</v>
          </cell>
          <cell r="L1242">
            <v>0.29166666666666669</v>
          </cell>
          <cell r="M1242" t="str">
            <v>KY TOOLBOX</v>
          </cell>
          <cell r="O1242">
            <v>0.29166666666666669</v>
          </cell>
          <cell r="P1242" t="str">
            <v>VACANT</v>
          </cell>
          <cell r="R1242">
            <v>0.29166666666666669</v>
          </cell>
          <cell r="S1242" t="str">
            <v>VACANT</v>
          </cell>
          <cell r="U1242">
            <v>0.29166666666666669</v>
          </cell>
          <cell r="V1242" t="str">
            <v>WAITING MATERIAL</v>
          </cell>
          <cell r="X1242">
            <v>0.41666666666666669</v>
          </cell>
          <cell r="Y1242" t="str">
            <v>DOCKED &amp; SECURED</v>
          </cell>
          <cell r="AA1242">
            <v>0.25</v>
          </cell>
          <cell r="AB1242" t="str">
            <v>DOCKED &amp; SECURED</v>
          </cell>
          <cell r="AD1242">
            <v>0.29166666666666669</v>
          </cell>
          <cell r="AE1242" t="str">
            <v>KY TOOLBOX</v>
          </cell>
        </row>
        <row r="1243">
          <cell r="C1243">
            <v>0.35972222222222222</v>
          </cell>
          <cell r="D1243" t="str">
            <v>RESUME LOADING</v>
          </cell>
          <cell r="F1243">
            <v>0.33333333333333331</v>
          </cell>
          <cell r="G1243" t="str">
            <v xml:space="preserve">RESUME LOADING </v>
          </cell>
          <cell r="L1243">
            <v>0.33333333333333331</v>
          </cell>
          <cell r="M1243" t="str">
            <v xml:space="preserve">RESUME LOADING </v>
          </cell>
          <cell r="U1243">
            <v>0.45208333333333334</v>
          </cell>
          <cell r="V1243" t="str">
            <v xml:space="preserve">RESUME LOADING </v>
          </cell>
          <cell r="X1243">
            <v>0.79166666666666663</v>
          </cell>
          <cell r="Y1243" t="str">
            <v>KY TOOLBOX</v>
          </cell>
          <cell r="AA1243">
            <v>0.33333333333333331</v>
          </cell>
          <cell r="AB1243" t="str">
            <v>WAITING MATERIAL</v>
          </cell>
          <cell r="AD1243">
            <v>0.33888888888888891</v>
          </cell>
          <cell r="AE1243" t="str">
            <v xml:space="preserve">RESUME LOADING </v>
          </cell>
        </row>
        <row r="1244">
          <cell r="C1244">
            <v>0.37361111111111112</v>
          </cell>
          <cell r="D1244" t="str">
            <v xml:space="preserve">ONGOING LOADING </v>
          </cell>
          <cell r="F1244">
            <v>0.38333333333333336</v>
          </cell>
          <cell r="G1244" t="str">
            <v xml:space="preserve">ONGOING LOADING </v>
          </cell>
          <cell r="L1244">
            <v>0.40694444444444444</v>
          </cell>
          <cell r="M1244" t="str">
            <v xml:space="preserve">CONTINUE LOADING </v>
          </cell>
          <cell r="U1244">
            <v>0.46666666666666667</v>
          </cell>
          <cell r="V1244" t="str">
            <v xml:space="preserve">CONTINUE LOADING </v>
          </cell>
          <cell r="X1244">
            <v>0.8125</v>
          </cell>
          <cell r="Y1244" t="str">
            <v xml:space="preserve">ONGOING  COMMENCE LOADING </v>
          </cell>
          <cell r="AA1244">
            <v>0.44444444444444442</v>
          </cell>
          <cell r="AB1244" t="str">
            <v xml:space="preserve">COMMENCE LOADING </v>
          </cell>
          <cell r="AD1244">
            <v>0.37083333333333335</v>
          </cell>
          <cell r="AE1244" t="str">
            <v xml:space="preserve">ONGOING LOADING </v>
          </cell>
        </row>
        <row r="1245">
          <cell r="C1245">
            <v>0.39166666666666666</v>
          </cell>
          <cell r="D1245" t="str">
            <v xml:space="preserve">CONTINUE LOADING </v>
          </cell>
          <cell r="F1245">
            <v>0.40763888888888888</v>
          </cell>
          <cell r="G1245" t="str">
            <v xml:space="preserve">CONTINUE LOADING </v>
          </cell>
          <cell r="L1245">
            <v>0.45</v>
          </cell>
          <cell r="M1245" t="str">
            <v xml:space="preserve">ONGOING LOADING </v>
          </cell>
          <cell r="U1245">
            <v>0.47361111111111109</v>
          </cell>
          <cell r="V1245" t="str">
            <v>LOADING COMPLETE</v>
          </cell>
          <cell r="X1245">
            <v>0.86875000000000002</v>
          </cell>
          <cell r="Y1245" t="str">
            <v>CONTINUE LOADING</v>
          </cell>
          <cell r="AA1245">
            <v>0.5</v>
          </cell>
          <cell r="AB1245" t="str">
            <v>LUNCHBREAK</v>
          </cell>
          <cell r="AD1245">
            <v>0.38750000000000001</v>
          </cell>
          <cell r="AE1245" t="str">
            <v xml:space="preserve">CONTINUE LOADING </v>
          </cell>
        </row>
        <row r="1246">
          <cell r="C1246">
            <v>0.40486111111111112</v>
          </cell>
          <cell r="D1246" t="str">
            <v xml:space="preserve">ONGOING LOADING </v>
          </cell>
          <cell r="F1246">
            <v>0.5</v>
          </cell>
          <cell r="G1246" t="str">
            <v>LUNCHBREAK</v>
          </cell>
          <cell r="L1246">
            <v>0.5</v>
          </cell>
          <cell r="M1246" t="str">
            <v>LUNCHBREAK</v>
          </cell>
          <cell r="X1246">
            <v>0.90416666666666667</v>
          </cell>
          <cell r="Y1246" t="str">
            <v>CONTINUE LOADING</v>
          </cell>
          <cell r="AA1246">
            <v>0.56597222222222221</v>
          </cell>
          <cell r="AB1246" t="str">
            <v xml:space="preserve">RESUME LOADING </v>
          </cell>
          <cell r="AD1246">
            <v>0.41319444444444442</v>
          </cell>
          <cell r="AE1246" t="str">
            <v xml:space="preserve">ONGOING LOADING </v>
          </cell>
        </row>
        <row r="1247">
          <cell r="C1247">
            <v>0.41805555555555557</v>
          </cell>
          <cell r="D1247" t="str">
            <v xml:space="preserve">CONTINUE LOADING </v>
          </cell>
          <cell r="F1247">
            <v>0.54166666666666663</v>
          </cell>
          <cell r="G1247" t="str">
            <v xml:space="preserve">UNABLE TO RESUME </v>
          </cell>
          <cell r="L1247">
            <v>0.57708333333333328</v>
          </cell>
          <cell r="M1247" t="str">
            <v xml:space="preserve">RESUME LOADING </v>
          </cell>
          <cell r="X1247">
            <v>0.92986111111111114</v>
          </cell>
          <cell r="Y1247" t="str">
            <v xml:space="preserve">CONTINUE LOADING </v>
          </cell>
          <cell r="AA1247">
            <v>0.59722222222222221</v>
          </cell>
          <cell r="AB1247" t="str">
            <v xml:space="preserve">ONGOING LOADING </v>
          </cell>
          <cell r="AD1247">
            <v>0.44236111111111109</v>
          </cell>
          <cell r="AE1247" t="str">
            <v xml:space="preserve">CONTINUE LOADING </v>
          </cell>
        </row>
        <row r="1248">
          <cell r="C1248">
            <v>0.43958333333333333</v>
          </cell>
          <cell r="D1248" t="str">
            <v xml:space="preserve">ONGOING LOADING </v>
          </cell>
          <cell r="F1248">
            <v>0.70486111111111116</v>
          </cell>
          <cell r="G1248" t="str">
            <v xml:space="preserve">RESUME LOADING </v>
          </cell>
          <cell r="L1248">
            <v>0.60138888888888886</v>
          </cell>
          <cell r="M1248" t="str">
            <v xml:space="preserve">ONGOING LOADING </v>
          </cell>
          <cell r="X1248">
            <v>0.95902777777777781</v>
          </cell>
          <cell r="Y1248" t="str">
            <v>CONTINUE LOADING</v>
          </cell>
          <cell r="AA1248">
            <v>0.62013888888888891</v>
          </cell>
          <cell r="AB1248" t="str">
            <v xml:space="preserve">CONTINUE LOADING </v>
          </cell>
          <cell r="AD1248">
            <v>0.5</v>
          </cell>
          <cell r="AE1248" t="str">
            <v>LUNCHBREAK</v>
          </cell>
        </row>
        <row r="1249">
          <cell r="C1249">
            <v>0.44861111111111113</v>
          </cell>
          <cell r="D1249" t="str">
            <v>LOADING COMPLETE</v>
          </cell>
          <cell r="F1249">
            <v>0.72916666666666663</v>
          </cell>
          <cell r="G1249" t="str">
            <v xml:space="preserve">CONTINUE LOADING </v>
          </cell>
          <cell r="L1249">
            <v>0.63124999999999998</v>
          </cell>
          <cell r="M1249" t="str">
            <v xml:space="preserve">CONTINUE LOADING </v>
          </cell>
          <cell r="X1249">
            <v>5.6944444444444443E-2</v>
          </cell>
          <cell r="Y1249" t="str">
            <v>CONTINUE LOADING</v>
          </cell>
          <cell r="AA1249">
            <v>0.63888888888888884</v>
          </cell>
          <cell r="AB1249" t="str">
            <v xml:space="preserve">ONGOING LOADING </v>
          </cell>
          <cell r="AD1249">
            <v>0.56666666666666665</v>
          </cell>
          <cell r="AE1249" t="str">
            <v xml:space="preserve">RESUME LOADING </v>
          </cell>
        </row>
        <row r="1250">
          <cell r="C1250">
            <v>0.47916666666666669</v>
          </cell>
          <cell r="D1250" t="str">
            <v>VESSEL PULLOUT</v>
          </cell>
          <cell r="F1250">
            <v>0.79166666666666663</v>
          </cell>
          <cell r="G1250" t="str">
            <v>KY TOOLBOX</v>
          </cell>
          <cell r="L1250">
            <v>0.65208333333333335</v>
          </cell>
          <cell r="M1250" t="str">
            <v xml:space="preserve">ONGOING LOADING </v>
          </cell>
          <cell r="X1250">
            <v>8.3333333333333329E-2</v>
          </cell>
          <cell r="Y1250" t="str">
            <v xml:space="preserve">CONTINUE LOADING </v>
          </cell>
          <cell r="AA1250">
            <v>0.66666666666666663</v>
          </cell>
          <cell r="AB1250" t="str">
            <v xml:space="preserve">WAITING FL ONBOARD </v>
          </cell>
          <cell r="AD1250">
            <v>0.58263888888888893</v>
          </cell>
          <cell r="AE1250" t="str">
            <v xml:space="preserve">ONGOING LOADING </v>
          </cell>
        </row>
        <row r="1251">
          <cell r="C1251">
            <v>0.52083333333333337</v>
          </cell>
          <cell r="D1251" t="str">
            <v>JOHANNAH 7</v>
          </cell>
          <cell r="F1251">
            <v>0.8125</v>
          </cell>
          <cell r="G1251" t="str">
            <v>UNABLE TO RESUME LOADING</v>
          </cell>
          <cell r="L1251">
            <v>0.67500000000000004</v>
          </cell>
          <cell r="M1251" t="str">
            <v xml:space="preserve">CONTINUE LOADING </v>
          </cell>
          <cell r="X1251">
            <v>0.13680555555555557</v>
          </cell>
          <cell r="Y1251" t="str">
            <v>CONTINUE  LOADING</v>
          </cell>
          <cell r="AA1251">
            <v>0.6875</v>
          </cell>
          <cell r="AB1251" t="str">
            <v>FL ONBOARD READY</v>
          </cell>
          <cell r="AD1251">
            <v>0.59791666666666665</v>
          </cell>
          <cell r="AE1251" t="str">
            <v xml:space="preserve">CONTINUE LOADING </v>
          </cell>
        </row>
        <row r="1252">
          <cell r="C1252">
            <v>0.54166666666666663</v>
          </cell>
          <cell r="D1252" t="str">
            <v>UNABLE TO COMMENCE</v>
          </cell>
          <cell r="F1252">
            <v>0.83333333333333337</v>
          </cell>
          <cell r="G1252" t="str">
            <v>UNABLE TO RESUME LOADING</v>
          </cell>
          <cell r="L1252">
            <v>0.70486111111111116</v>
          </cell>
          <cell r="M1252" t="str">
            <v xml:space="preserve">ONGOING LOADING </v>
          </cell>
          <cell r="X1252">
            <v>0.18402777777777779</v>
          </cell>
          <cell r="Y1252" t="str">
            <v>CONTINUE LOADING</v>
          </cell>
          <cell r="AA1252">
            <v>0.6958333333333333</v>
          </cell>
          <cell r="AB1252" t="str">
            <v xml:space="preserve">RESUME LOADING </v>
          </cell>
          <cell r="AD1252">
            <v>0.61944444444444446</v>
          </cell>
          <cell r="AE1252" t="str">
            <v xml:space="preserve">ONGOING LOADING </v>
          </cell>
        </row>
        <row r="1253">
          <cell r="C1253">
            <v>0.79166666666666663</v>
          </cell>
          <cell r="D1253" t="str">
            <v>KY TOOLBOX</v>
          </cell>
          <cell r="F1253">
            <v>0.875</v>
          </cell>
          <cell r="G1253" t="str">
            <v>UNABLE TO RESUME LOADING</v>
          </cell>
          <cell r="L1253">
            <v>0.79166666666666663</v>
          </cell>
          <cell r="M1253" t="str">
            <v>KY TOOLBOX</v>
          </cell>
          <cell r="X1253">
            <v>0.22569444444444445</v>
          </cell>
          <cell r="Y1253" t="str">
            <v>CONTINUE LOADING</v>
          </cell>
          <cell r="AA1253">
            <v>0.79166666666666663</v>
          </cell>
          <cell r="AB1253" t="str">
            <v>KY TOOLBOX</v>
          </cell>
          <cell r="AD1253">
            <v>0.63611111111111107</v>
          </cell>
          <cell r="AE1253" t="str">
            <v xml:space="preserve">CONTINUE LOADING </v>
          </cell>
        </row>
        <row r="1254">
          <cell r="C1254">
            <v>0.8125</v>
          </cell>
          <cell r="D1254" t="str">
            <v>UNABLE TO COMMENCE</v>
          </cell>
          <cell r="F1254">
            <v>0.91666666666666663</v>
          </cell>
          <cell r="G1254" t="str">
            <v>UNABLE TO RESUME LOADING</v>
          </cell>
          <cell r="L1254">
            <v>0.8125</v>
          </cell>
          <cell r="M1254" t="str">
            <v>ONGOING RESUME LOADING</v>
          </cell>
          <cell r="AA1254">
            <v>0.8125</v>
          </cell>
          <cell r="AB1254" t="str">
            <v xml:space="preserve">ONGOING LOADING </v>
          </cell>
          <cell r="AD1254">
            <v>0.65069444444444446</v>
          </cell>
          <cell r="AE1254" t="str">
            <v xml:space="preserve">ONGOING LOADING </v>
          </cell>
        </row>
        <row r="1255">
          <cell r="C1255">
            <v>0.83333333333333337</v>
          </cell>
          <cell r="D1255" t="str">
            <v>UNABLE TO COMMENCE</v>
          </cell>
          <cell r="F1255">
            <v>0.95833333333333337</v>
          </cell>
          <cell r="G1255" t="str">
            <v>UNABLE TO RESUME LOADING</v>
          </cell>
          <cell r="L1255">
            <v>0.8569444444444444</v>
          </cell>
          <cell r="M1255" t="str">
            <v>CONTINUE LOADING</v>
          </cell>
          <cell r="AA1255">
            <v>0.84652777777777777</v>
          </cell>
          <cell r="AB1255" t="str">
            <v xml:space="preserve">CONTINUE LOADING </v>
          </cell>
          <cell r="AD1255">
            <v>0.66666666666666663</v>
          </cell>
          <cell r="AE1255" t="str">
            <v>LOADING COMPLETE</v>
          </cell>
        </row>
        <row r="1256">
          <cell r="C1256">
            <v>0.875</v>
          </cell>
          <cell r="D1256" t="str">
            <v>UNABLE TO COMMENCE</v>
          </cell>
          <cell r="F1256">
            <v>0</v>
          </cell>
          <cell r="G1256" t="str">
            <v>UNABLE TO RESUME LOADING</v>
          </cell>
          <cell r="L1256">
            <v>0.87916666666666665</v>
          </cell>
          <cell r="M1256" t="str">
            <v xml:space="preserve">CONTINUE LOADING </v>
          </cell>
          <cell r="AA1256">
            <v>0.87638888888888888</v>
          </cell>
          <cell r="AB1256" t="str">
            <v xml:space="preserve">CONTINUE LOADING </v>
          </cell>
          <cell r="AD1256">
            <v>0.70833333333333337</v>
          </cell>
          <cell r="AE1256" t="str">
            <v>VESSEL PULLOUT</v>
          </cell>
        </row>
        <row r="1257">
          <cell r="C1257">
            <v>0.91666666666666663</v>
          </cell>
          <cell r="D1257" t="str">
            <v>UNABLE TO COMMENCE</v>
          </cell>
          <cell r="F1257">
            <v>4.1666666666666664E-2</v>
          </cell>
          <cell r="G1257" t="str">
            <v>UNABLE TO RESUME LOADING</v>
          </cell>
          <cell r="L1257">
            <v>0.99583333333333335</v>
          </cell>
          <cell r="M1257" t="str">
            <v xml:space="preserve">CONTINUE LOADING </v>
          </cell>
          <cell r="AA1257">
            <v>0.93263888888888891</v>
          </cell>
          <cell r="AB1257" t="str">
            <v xml:space="preserve">CONTINUE LOADING </v>
          </cell>
        </row>
        <row r="1258">
          <cell r="C1258">
            <v>0.95833333333333337</v>
          </cell>
          <cell r="D1258" t="str">
            <v>UNABLE TO COMMENCE</v>
          </cell>
          <cell r="F1258">
            <v>8.3333333333333329E-2</v>
          </cell>
          <cell r="G1258" t="str">
            <v>UNABLE TO RESUME LOADING</v>
          </cell>
          <cell r="L1258">
            <v>3.9583333333333331E-2</v>
          </cell>
          <cell r="M1258" t="str">
            <v>CONTINUE LOADING</v>
          </cell>
          <cell r="AA1258">
            <v>0.96527777777777779</v>
          </cell>
          <cell r="AB1258" t="str">
            <v xml:space="preserve">CONTINUE LOADING </v>
          </cell>
        </row>
        <row r="1259">
          <cell r="C1259">
            <v>0</v>
          </cell>
          <cell r="D1259" t="str">
            <v>UNABLE TO COMMENCE</v>
          </cell>
          <cell r="F1259">
            <v>0.125</v>
          </cell>
          <cell r="G1259" t="str">
            <v>UNABLE TO RESUME LOADING</v>
          </cell>
          <cell r="L1259">
            <v>6.3194444444444442E-2</v>
          </cell>
          <cell r="M1259" t="str">
            <v>CONTINUE LOADING</v>
          </cell>
          <cell r="AA1259">
            <v>7.6388888888888895E-2</v>
          </cell>
          <cell r="AB1259" t="str">
            <v>CONTINUE LOADING</v>
          </cell>
        </row>
        <row r="1260">
          <cell r="C1260">
            <v>4.1666666666666664E-2</v>
          </cell>
          <cell r="D1260" t="str">
            <v>UNABLE TO COMMENCE</v>
          </cell>
          <cell r="F1260">
            <v>0.16666666666666666</v>
          </cell>
          <cell r="G1260" t="str">
            <v>UNABLE TO RESUME LOADING</v>
          </cell>
          <cell r="L1260">
            <v>9.930555555555555E-2</v>
          </cell>
          <cell r="M1260" t="str">
            <v>CONTINUE LOADING</v>
          </cell>
          <cell r="AA1260">
            <v>9.7916666666666666E-2</v>
          </cell>
          <cell r="AB1260" t="str">
            <v>CONTINUE LOADING</v>
          </cell>
        </row>
        <row r="1261">
          <cell r="C1261">
            <v>8.3333333333333329E-2</v>
          </cell>
          <cell r="D1261" t="str">
            <v>UNABLE TO COMMENCE</v>
          </cell>
          <cell r="F1261">
            <v>0.20833333333333334</v>
          </cell>
          <cell r="G1261" t="str">
            <v>UNABLE TO RESUME LOADING</v>
          </cell>
          <cell r="L1261">
            <v>0.13472222222222222</v>
          </cell>
          <cell r="M1261" t="str">
            <v>CONTINUE LOADING</v>
          </cell>
          <cell r="AA1261">
            <v>0.12569444444444444</v>
          </cell>
          <cell r="AB1261" t="str">
            <v>CONTINUE LOADING</v>
          </cell>
        </row>
        <row r="1262">
          <cell r="C1262">
            <v>0.125</v>
          </cell>
          <cell r="D1262" t="str">
            <v>UNABLE TO COMMENCE</v>
          </cell>
          <cell r="F1262">
            <v>0.25</v>
          </cell>
          <cell r="G1262" t="str">
            <v>UNABLE TO RESUME LOADING</v>
          </cell>
          <cell r="L1262">
            <v>0.18055555555555555</v>
          </cell>
          <cell r="M1262" t="str">
            <v>CONTINUE LOADING</v>
          </cell>
          <cell r="AA1262">
            <v>0.18333333333333332</v>
          </cell>
          <cell r="AB1262" t="str">
            <v>CONTINUE LOADING</v>
          </cell>
        </row>
        <row r="1263">
          <cell r="C1263">
            <v>0.16666666666666666</v>
          </cell>
          <cell r="D1263" t="str">
            <v>UNABLE TO COMMENCE</v>
          </cell>
          <cell r="L1263">
            <v>0.22569444444444445</v>
          </cell>
          <cell r="M1263" t="str">
            <v>CONTINUE LOADING LOOSE BAG</v>
          </cell>
          <cell r="AA1263">
            <v>0.2326388888888889</v>
          </cell>
          <cell r="AB1263" t="str">
            <v>CONTINUE LOADING</v>
          </cell>
        </row>
        <row r="1264">
          <cell r="C1264">
            <v>0.20833333333333334</v>
          </cell>
          <cell r="D1264" t="str">
            <v>UNABLE TO COMMENCE</v>
          </cell>
        </row>
        <row r="1265">
          <cell r="C1265">
            <v>0.25</v>
          </cell>
          <cell r="D1265" t="str">
            <v>UNABLE TO COMMENCE</v>
          </cell>
        </row>
        <row r="1266">
          <cell r="D1266" t="str">
            <v>JOHANNAH 7</v>
          </cell>
          <cell r="G1266" t="str">
            <v>SALVACION 8</v>
          </cell>
          <cell r="J1266" t="str">
            <v>VACANT</v>
          </cell>
          <cell r="M1266" t="str">
            <v>EFG 8</v>
          </cell>
          <cell r="P1266" t="str">
            <v>VACANT</v>
          </cell>
          <cell r="S1266" t="str">
            <v>VACANT</v>
          </cell>
          <cell r="V1266" t="str">
            <v>VACANT</v>
          </cell>
          <cell r="Y1266" t="str">
            <v>LADY OF WISDOM</v>
          </cell>
          <cell r="AB1266" t="str">
            <v>EMERALD STAR</v>
          </cell>
          <cell r="AE1266" t="str">
            <v>EASTERN CEBU</v>
          </cell>
          <cell r="AH1266" t="str">
            <v>VACANT</v>
          </cell>
        </row>
        <row r="1267">
          <cell r="C1267">
            <v>0.29166666666666669</v>
          </cell>
          <cell r="D1267" t="str">
            <v>UNABLE TO COMMENCE</v>
          </cell>
          <cell r="F1267">
            <v>0.29166666666666669</v>
          </cell>
          <cell r="G1267" t="str">
            <v xml:space="preserve">KY PRE LOADING </v>
          </cell>
          <cell r="I1267">
            <v>0.29166666666666669</v>
          </cell>
          <cell r="J1267" t="str">
            <v>VACANT</v>
          </cell>
          <cell r="L1267">
            <v>0.29166666666666669</v>
          </cell>
          <cell r="M1267" t="str">
            <v xml:space="preserve">KY PRE LOADING </v>
          </cell>
          <cell r="O1267">
            <v>0.29166666666666669</v>
          </cell>
          <cell r="P1267" t="str">
            <v>VACANT</v>
          </cell>
          <cell r="R1267">
            <v>0.29166666666666669</v>
          </cell>
          <cell r="S1267" t="str">
            <v>VACANT</v>
          </cell>
          <cell r="U1267">
            <v>0.29166666666666669</v>
          </cell>
          <cell r="V1267" t="str">
            <v>VACANT</v>
          </cell>
          <cell r="X1267">
            <v>0.29166666666666669</v>
          </cell>
          <cell r="Y1267" t="str">
            <v>CHANGE BOOKING</v>
          </cell>
          <cell r="AA1267">
            <v>0.29166666666666669</v>
          </cell>
          <cell r="AB1267" t="str">
            <v xml:space="preserve">KY PRE LOADING </v>
          </cell>
          <cell r="AD1267">
            <v>0.5</v>
          </cell>
          <cell r="AE1267" t="str">
            <v>DOCKED &amp; SECURED</v>
          </cell>
          <cell r="AG1267">
            <v>0.29166666666666669</v>
          </cell>
          <cell r="AH1267" t="str">
            <v>VACANT</v>
          </cell>
        </row>
        <row r="1268">
          <cell r="C1268">
            <v>0.79166666666666663</v>
          </cell>
          <cell r="D1268" t="str">
            <v>KY TOOLBOX</v>
          </cell>
          <cell r="F1268">
            <v>0.33194444444444443</v>
          </cell>
          <cell r="G1268" t="str">
            <v xml:space="preserve">RESUME LOADING </v>
          </cell>
          <cell r="L1268">
            <v>0.33333333333333331</v>
          </cell>
          <cell r="M1268" t="str">
            <v xml:space="preserve">RESUME LOADING </v>
          </cell>
          <cell r="X1268">
            <v>0.79166666666666663</v>
          </cell>
          <cell r="Y1268" t="str">
            <v>KY TOOLBOX</v>
          </cell>
          <cell r="AA1268">
            <v>0.33680555555555558</v>
          </cell>
          <cell r="AB1268" t="str">
            <v xml:space="preserve">RESUME LOADING </v>
          </cell>
          <cell r="AD1268">
            <v>0.79166666666666663</v>
          </cell>
          <cell r="AE1268" t="str">
            <v>KY TOOLBOX</v>
          </cell>
        </row>
        <row r="1269">
          <cell r="C1269">
            <v>0.80555555555555558</v>
          </cell>
          <cell r="D1269" t="str">
            <v>UNABLE TO COMMENCE</v>
          </cell>
          <cell r="F1269">
            <v>0.34930555555555554</v>
          </cell>
          <cell r="G1269" t="str">
            <v xml:space="preserve">ONGOING LOADING </v>
          </cell>
          <cell r="L1269">
            <v>0.43472222222222223</v>
          </cell>
          <cell r="M1269" t="str">
            <v xml:space="preserve">ONGOING LOADING </v>
          </cell>
          <cell r="X1269">
            <v>0.83333333333333337</v>
          </cell>
          <cell r="Y1269" t="str">
            <v>CHANGE BOOKING</v>
          </cell>
          <cell r="AA1269">
            <v>0.37638888888888888</v>
          </cell>
          <cell r="AB1269" t="str">
            <v xml:space="preserve">ONGOING LOADING </v>
          </cell>
          <cell r="AD1269">
            <v>0.8125</v>
          </cell>
          <cell r="AE1269" t="str">
            <v>ONGOING RESUME LOADING</v>
          </cell>
        </row>
        <row r="1270">
          <cell r="C1270">
            <v>0.83333333333333337</v>
          </cell>
          <cell r="D1270" t="str">
            <v>UNABLE TO COMMENCE</v>
          </cell>
          <cell r="F1270">
            <v>0.36805555555555558</v>
          </cell>
          <cell r="G1270" t="str">
            <v xml:space="preserve">CONTINUE LOADING </v>
          </cell>
          <cell r="L1270">
            <v>0.5</v>
          </cell>
          <cell r="M1270" t="str">
            <v>LUNCHBREAK</v>
          </cell>
          <cell r="X1270">
            <v>0.875</v>
          </cell>
          <cell r="Y1270" t="str">
            <v>CHANGE BOOKING</v>
          </cell>
          <cell r="AA1270">
            <v>0.39374999999999999</v>
          </cell>
          <cell r="AB1270" t="str">
            <v>WAITING MATERIAL</v>
          </cell>
          <cell r="AD1270">
            <v>0.8520833333333333</v>
          </cell>
          <cell r="AE1270" t="str">
            <v xml:space="preserve">CONTINUE LOADING </v>
          </cell>
        </row>
        <row r="1271">
          <cell r="C1271">
            <v>0.875</v>
          </cell>
          <cell r="D1271" t="str">
            <v>UNABLE TO COMMENCE</v>
          </cell>
          <cell r="F1271">
            <v>0.38333333333333336</v>
          </cell>
          <cell r="G1271" t="str">
            <v xml:space="preserve">ONGOING LOADING </v>
          </cell>
          <cell r="L1271">
            <v>0.54166666666666663</v>
          </cell>
          <cell r="M1271" t="str">
            <v>STOP LOADING DUE TO SWELL</v>
          </cell>
          <cell r="X1271">
            <v>0.95833333333333337</v>
          </cell>
          <cell r="Y1271" t="str">
            <v xml:space="preserve">RESUME LOADING </v>
          </cell>
          <cell r="AA1271">
            <v>0.42916666666666664</v>
          </cell>
          <cell r="AB1271" t="str">
            <v xml:space="preserve">RESUME LOADING </v>
          </cell>
          <cell r="AD1271">
            <v>0.90555555555555556</v>
          </cell>
          <cell r="AE1271" t="str">
            <v>CONTINUE LOADING</v>
          </cell>
        </row>
        <row r="1272">
          <cell r="C1272">
            <v>0.91666666666666663</v>
          </cell>
          <cell r="D1272" t="str">
            <v>UNABLE TO COMMENCE</v>
          </cell>
          <cell r="F1272">
            <v>0.40763888888888888</v>
          </cell>
          <cell r="G1272" t="str">
            <v xml:space="preserve">CONTINUE LOADING </v>
          </cell>
          <cell r="L1272">
            <v>0.79166666666666663</v>
          </cell>
          <cell r="M1272" t="str">
            <v>KY TOOLBOX</v>
          </cell>
          <cell r="X1272">
            <v>3.472222222222222E-3</v>
          </cell>
          <cell r="Y1272" t="str">
            <v>CONTINUE LOADING</v>
          </cell>
          <cell r="AA1272">
            <v>0.45694444444444443</v>
          </cell>
          <cell r="AB1272" t="str">
            <v xml:space="preserve">CONTINUE LOADING </v>
          </cell>
          <cell r="AD1272">
            <v>0.93541666666666667</v>
          </cell>
          <cell r="AE1272" t="str">
            <v>CONTINUE LOADING</v>
          </cell>
        </row>
        <row r="1273">
          <cell r="C1273">
            <v>0.95833333333333337</v>
          </cell>
          <cell r="D1273" t="str">
            <v>UNABLE TO COMMENCE</v>
          </cell>
          <cell r="F1273">
            <v>0.43958333333333333</v>
          </cell>
          <cell r="G1273" t="str">
            <v xml:space="preserve">ONGOING LOADING </v>
          </cell>
          <cell r="L1273">
            <v>0.8125</v>
          </cell>
          <cell r="M1273" t="str">
            <v>UNABLE TO RESUME LOADING DUE TO SWELL</v>
          </cell>
          <cell r="X1273">
            <v>5.0694444444444445E-2</v>
          </cell>
          <cell r="Y1273" t="str">
            <v xml:space="preserve">CONTINUE LOADING </v>
          </cell>
          <cell r="AA1273">
            <v>0.47499999999999998</v>
          </cell>
          <cell r="AB1273" t="str">
            <v>LOADING COMPLETE</v>
          </cell>
          <cell r="AD1273">
            <v>0.95972222222222225</v>
          </cell>
          <cell r="AE1273" t="str">
            <v xml:space="preserve">CONTINUE LOADING </v>
          </cell>
        </row>
        <row r="1274">
          <cell r="C1274">
            <v>0</v>
          </cell>
          <cell r="D1274" t="str">
            <v>UNABLE TO COMMENCE</v>
          </cell>
          <cell r="F1274">
            <v>0.4513888888888889</v>
          </cell>
          <cell r="G1274" t="str">
            <v>STOP LOADING DUE TO SWELL</v>
          </cell>
          <cell r="L1274">
            <v>0.83333333333333337</v>
          </cell>
          <cell r="M1274" t="str">
            <v>ONGOING RESUME LOADING</v>
          </cell>
          <cell r="X1274">
            <v>0.1111111111111111</v>
          </cell>
          <cell r="Y1274" t="str">
            <v xml:space="preserve">CONTINUE LOADING </v>
          </cell>
          <cell r="AD1274">
            <v>5.5555555555555558E-3</v>
          </cell>
          <cell r="AE1274" t="str">
            <v>CONTINUE LOADING</v>
          </cell>
        </row>
        <row r="1275">
          <cell r="C1275">
            <v>4.1666666666666664E-2</v>
          </cell>
          <cell r="D1275" t="str">
            <v>UNABLE TO COMMENCE</v>
          </cell>
          <cell r="F1275">
            <v>0.79166666666666663</v>
          </cell>
          <cell r="G1275" t="str">
            <v>KY TOOLBOX</v>
          </cell>
          <cell r="L1275">
            <v>0.875</v>
          </cell>
          <cell r="M1275" t="str">
            <v>CONTINUE LOADING</v>
          </cell>
          <cell r="X1275">
            <v>0.1451388888888889</v>
          </cell>
          <cell r="Y1275" t="str">
            <v xml:space="preserve">CONTINUE LOADING </v>
          </cell>
          <cell r="AD1275">
            <v>5.1388888888888887E-2</v>
          </cell>
          <cell r="AE1275" t="str">
            <v xml:space="preserve">CONTINUE LOADING </v>
          </cell>
        </row>
        <row r="1276">
          <cell r="C1276">
            <v>8.3333333333333329E-2</v>
          </cell>
          <cell r="D1276" t="str">
            <v>UNABLE TO COMMENCE</v>
          </cell>
          <cell r="F1276">
            <v>0.80972222222222223</v>
          </cell>
          <cell r="G1276" t="str">
            <v>UNABLE TO RESUME LOADING DUE TO SWELL</v>
          </cell>
          <cell r="L1276">
            <v>0.94305555555555554</v>
          </cell>
          <cell r="M1276" t="str">
            <v>CONTINUE LOADING</v>
          </cell>
          <cell r="X1276">
            <v>0.1875</v>
          </cell>
          <cell r="Y1276" t="str">
            <v xml:space="preserve">CONTINUE LOADING </v>
          </cell>
          <cell r="AD1276">
            <v>8.4027777777777785E-2</v>
          </cell>
          <cell r="AE1276" t="str">
            <v>CONTINUE LOADING</v>
          </cell>
        </row>
        <row r="1277">
          <cell r="C1277">
            <v>0.125</v>
          </cell>
          <cell r="D1277" t="str">
            <v>UNABLE TO COMMENCE</v>
          </cell>
          <cell r="F1277">
            <v>0.83333333333333337</v>
          </cell>
          <cell r="G1277" t="str">
            <v>UNABLE TO RESUME LOADING DUE TO SWELL</v>
          </cell>
          <cell r="L1277">
            <v>0.9916666666666667</v>
          </cell>
          <cell r="M1277" t="str">
            <v xml:space="preserve">CONTINUE LOADING </v>
          </cell>
          <cell r="X1277">
            <v>0.20833333333333334</v>
          </cell>
          <cell r="Y1277" t="str">
            <v>WAITING DELIVERY</v>
          </cell>
          <cell r="AD1277">
            <v>0.125</v>
          </cell>
          <cell r="AE1277" t="str">
            <v>CONTINUE LOADING</v>
          </cell>
        </row>
        <row r="1278">
          <cell r="C1278">
            <v>0.16666666666666666</v>
          </cell>
          <cell r="D1278" t="str">
            <v>UNABLE TO COMMENCE</v>
          </cell>
          <cell r="F1278">
            <v>0.875</v>
          </cell>
          <cell r="G1278" t="str">
            <v>UNABLE TO RESUME LOADING DUE TO SWELL</v>
          </cell>
          <cell r="L1278">
            <v>1.5277777777777777E-2</v>
          </cell>
          <cell r="M1278" t="str">
            <v xml:space="preserve">CONTINUE LOADING </v>
          </cell>
          <cell r="X1278">
            <v>0.25</v>
          </cell>
          <cell r="Y1278" t="str">
            <v>WAITING DELIVERY</v>
          </cell>
          <cell r="AD1278">
            <v>0.1736111111111111</v>
          </cell>
          <cell r="AE1278" t="str">
            <v>CONTINUE LOADING</v>
          </cell>
        </row>
        <row r="1279">
          <cell r="C1279">
            <v>0.20833333333333334</v>
          </cell>
          <cell r="D1279" t="str">
            <v>UNABLE TO COMMENCE</v>
          </cell>
          <cell r="F1279">
            <v>0.91666666666666663</v>
          </cell>
          <cell r="G1279" t="str">
            <v>UNABLE TO RESUME LOADING DUE TO SWELL</v>
          </cell>
          <cell r="L1279">
            <v>6.3194444444444442E-2</v>
          </cell>
          <cell r="M1279" t="str">
            <v>CONTINUE LOADING</v>
          </cell>
          <cell r="AD1279">
            <v>0.22916666666666666</v>
          </cell>
          <cell r="AE1279" t="str">
            <v>CONTINUE LOADING</v>
          </cell>
        </row>
        <row r="1280">
          <cell r="C1280">
            <v>0.25</v>
          </cell>
          <cell r="D1280" t="str">
            <v>UNABLE TO COMMENCE</v>
          </cell>
          <cell r="F1280">
            <v>0.95833333333333337</v>
          </cell>
          <cell r="G1280" t="str">
            <v>UNABLE TO RESUME LOADING DUE TO SWELL</v>
          </cell>
          <cell r="L1280">
            <v>9.2361111111111116E-2</v>
          </cell>
          <cell r="M1280" t="str">
            <v xml:space="preserve">CONTINUE LOADING </v>
          </cell>
        </row>
        <row r="1281">
          <cell r="F1281">
            <v>0</v>
          </cell>
          <cell r="G1281" t="str">
            <v>UNABLE TO RESUME LOADING DUE TO SWELL</v>
          </cell>
          <cell r="L1281">
            <v>0.13958333333333334</v>
          </cell>
          <cell r="M1281" t="str">
            <v xml:space="preserve">CONTINUE LOADING </v>
          </cell>
        </row>
        <row r="1282">
          <cell r="F1282">
            <v>4.1666666666666664E-2</v>
          </cell>
          <cell r="G1282" t="str">
            <v>UNABLE TO RESUME LOADING DUE TO SWELL</v>
          </cell>
          <cell r="L1282">
            <v>0.18194444444444444</v>
          </cell>
          <cell r="M1282" t="str">
            <v xml:space="preserve">CONTINUE LOADING </v>
          </cell>
        </row>
        <row r="1283">
          <cell r="F1283">
            <v>8.3333333333333329E-2</v>
          </cell>
          <cell r="G1283" t="str">
            <v>UNABLE TO RESUME LOADING DUE TO SWELL</v>
          </cell>
          <cell r="L1283">
            <v>0.22916666666666666</v>
          </cell>
          <cell r="M1283" t="str">
            <v>CONTINUE LOADING</v>
          </cell>
        </row>
        <row r="1284">
          <cell r="F1284">
            <v>0.125</v>
          </cell>
          <cell r="G1284" t="str">
            <v>UNABLE TO RESUME LOADING DUE TO SWELL</v>
          </cell>
        </row>
        <row r="1285">
          <cell r="F1285">
            <v>0.16666666666666666</v>
          </cell>
          <cell r="G1285" t="str">
            <v>UNABLE TO RESUME LOADING DUE TO SWELL</v>
          </cell>
        </row>
        <row r="1286">
          <cell r="F1286">
            <v>0.20833333333333334</v>
          </cell>
          <cell r="G1286" t="str">
            <v>UNABLE TO RESUME LOADING DUE TO SWELL</v>
          </cell>
        </row>
        <row r="1287">
          <cell r="F1287">
            <v>0.25</v>
          </cell>
          <cell r="G1287" t="str">
            <v>UNABLE TO RESUME LOADING DUE TO SWELL</v>
          </cell>
        </row>
        <row r="1288">
          <cell r="D1288" t="str">
            <v>JOHANNAH 7</v>
          </cell>
          <cell r="G1288" t="str">
            <v>SALVACION 8</v>
          </cell>
          <cell r="J1288" t="str">
            <v>VACANT</v>
          </cell>
          <cell r="M1288" t="str">
            <v>EFG 8</v>
          </cell>
          <cell r="P1288" t="str">
            <v>VACANT</v>
          </cell>
          <cell r="S1288" t="str">
            <v>VACANT</v>
          </cell>
          <cell r="V1288" t="str">
            <v>VACANT</v>
          </cell>
          <cell r="Y1288" t="str">
            <v>LADY OF WISDOM</v>
          </cell>
          <cell r="AB1288" t="str">
            <v>LADY ARMOR</v>
          </cell>
          <cell r="AE1288" t="str">
            <v>EASTERN CEBU</v>
          </cell>
          <cell r="AH1288" t="str">
            <v>VACANT</v>
          </cell>
        </row>
        <row r="1289">
          <cell r="C1289">
            <v>0.29166666666666669</v>
          </cell>
          <cell r="D1289" t="str">
            <v>UNABLE TO COMMENCE</v>
          </cell>
          <cell r="F1289">
            <v>0.33333333333333331</v>
          </cell>
          <cell r="G1289" t="str">
            <v>CONDUCT KY</v>
          </cell>
          <cell r="I1289">
            <v>0.29166666666666669</v>
          </cell>
          <cell r="J1289" t="str">
            <v>WAITING VESSEL</v>
          </cell>
          <cell r="L1289">
            <v>0.3298611111111111</v>
          </cell>
          <cell r="M1289" t="str">
            <v>CONDUCT KY</v>
          </cell>
          <cell r="O1289">
            <v>0.29166666666666669</v>
          </cell>
          <cell r="P1289" t="str">
            <v>WAITING VESEL</v>
          </cell>
          <cell r="R1289">
            <v>0.29166666666666669</v>
          </cell>
          <cell r="S1289" t="str">
            <v>WAITING VESSEL</v>
          </cell>
          <cell r="U1289">
            <v>0.29166666666666669</v>
          </cell>
          <cell r="V1289" t="str">
            <v>WAITING VESSEL</v>
          </cell>
          <cell r="X1289">
            <v>0.29166666666666669</v>
          </cell>
          <cell r="Y1289" t="str">
            <v>WAITNG MATERIAL</v>
          </cell>
          <cell r="AA1289">
            <v>0.34861111111111109</v>
          </cell>
          <cell r="AB1289" t="str">
            <v>NEW VESSEL</v>
          </cell>
          <cell r="AD1289">
            <v>0.33333333333333331</v>
          </cell>
          <cell r="AE1289" t="str">
            <v>CONDUCT KY</v>
          </cell>
          <cell r="AG1289">
            <v>0.29166666666666669</v>
          </cell>
          <cell r="AH1289" t="str">
            <v>WAITING VESSEL</v>
          </cell>
        </row>
        <row r="1290">
          <cell r="C1290">
            <v>0.33333333333333331</v>
          </cell>
          <cell r="D1290" t="str">
            <v>UNABLE TO COMMENCE</v>
          </cell>
          <cell r="F1290">
            <v>0.375</v>
          </cell>
          <cell r="G1290" t="str">
            <v xml:space="preserve">ONGOING LOADING </v>
          </cell>
          <cell r="L1290">
            <v>0.36041666666666666</v>
          </cell>
          <cell r="M1290" t="str">
            <v xml:space="preserve">CONTINUE LOADING </v>
          </cell>
          <cell r="X1290">
            <v>0.33333333333333331</v>
          </cell>
          <cell r="Y1290" t="str">
            <v>WAITING MATERIAL</v>
          </cell>
          <cell r="AD1290">
            <v>0.35555555555555557</v>
          </cell>
          <cell r="AE1290" t="str">
            <v xml:space="preserve">CONTINUE LOADING </v>
          </cell>
        </row>
        <row r="1291">
          <cell r="C1291">
            <v>0.375</v>
          </cell>
          <cell r="D1291" t="str">
            <v>UNABLE TO COMMENCE</v>
          </cell>
          <cell r="F1291">
            <v>0.45</v>
          </cell>
          <cell r="G1291" t="str">
            <v xml:space="preserve">CONTINUE LOADING </v>
          </cell>
          <cell r="L1291">
            <v>0.40833333333333333</v>
          </cell>
          <cell r="M1291" t="str">
            <v xml:space="preserve">CONTINUE LOADING </v>
          </cell>
          <cell r="X1291">
            <v>0.375</v>
          </cell>
          <cell r="Y1291" t="str">
            <v>WAITING MATERIAL</v>
          </cell>
          <cell r="AD1291">
            <v>0.40416666666666667</v>
          </cell>
          <cell r="AE1291" t="str">
            <v>CONTINUE LOADING</v>
          </cell>
        </row>
        <row r="1292">
          <cell r="C1292">
            <v>0.41666666666666669</v>
          </cell>
          <cell r="D1292" t="str">
            <v>UNABLE TO COMMENCE</v>
          </cell>
          <cell r="F1292">
            <v>0.47430555555555554</v>
          </cell>
          <cell r="G1292" t="str">
            <v xml:space="preserve">CONTINUE LOADING </v>
          </cell>
          <cell r="L1292">
            <v>0.44930555555555557</v>
          </cell>
          <cell r="M1292" t="str">
            <v xml:space="preserve">COMPLETE LOADING </v>
          </cell>
          <cell r="X1292">
            <v>0.44097222222222221</v>
          </cell>
          <cell r="Y1292" t="str">
            <v xml:space="preserve">CONTINUE LOADING </v>
          </cell>
          <cell r="AD1292">
            <v>0.4236111111111111</v>
          </cell>
          <cell r="AE1292" t="str">
            <v xml:space="preserve">CONTINUE LOADING </v>
          </cell>
        </row>
        <row r="1293">
          <cell r="C1293">
            <v>0.45833333333333331</v>
          </cell>
          <cell r="D1293" t="str">
            <v>UNABLE TO COMMENCE</v>
          </cell>
          <cell r="F1293">
            <v>0.5</v>
          </cell>
          <cell r="G1293" t="str">
            <v>LUNCH BREAK</v>
          </cell>
          <cell r="X1293">
            <v>0.45833333333333331</v>
          </cell>
          <cell r="Y1293" t="str">
            <v>CONTINUE LOADING</v>
          </cell>
          <cell r="AD1293">
            <v>0.5</v>
          </cell>
          <cell r="AE1293" t="str">
            <v>LUNCH BREAK</v>
          </cell>
        </row>
        <row r="1294">
          <cell r="C1294">
            <v>0.5</v>
          </cell>
          <cell r="D1294" t="str">
            <v>UNABLE TO COMMENCE</v>
          </cell>
          <cell r="F1294">
            <v>0.54166666666666663</v>
          </cell>
          <cell r="G1294" t="str">
            <v>UNABLE TO RESUME LOADING DUE TO SWELL</v>
          </cell>
          <cell r="X1294">
            <v>0.5</v>
          </cell>
          <cell r="Y1294" t="str">
            <v>LUNCH BREAK</v>
          </cell>
          <cell r="AD1294">
            <v>0.56111111111111112</v>
          </cell>
          <cell r="AE1294" t="str">
            <v xml:space="preserve">CONTINUE LOADING </v>
          </cell>
        </row>
        <row r="1295">
          <cell r="C1295">
            <v>0.54166666666666663</v>
          </cell>
          <cell r="D1295" t="str">
            <v>UNABLE TO COMMENCE</v>
          </cell>
          <cell r="F1295">
            <v>0.58333333333333337</v>
          </cell>
          <cell r="G1295" t="str">
            <v>UNABLE TO RESUME LOADING DUE TO SWELL</v>
          </cell>
          <cell r="X1295">
            <v>0.54166666666666663</v>
          </cell>
          <cell r="Y1295" t="str">
            <v>UNABLE TO RESUME LOADING DUE TO SWELL</v>
          </cell>
          <cell r="AD1295">
            <v>0.58680555555555558</v>
          </cell>
          <cell r="AE1295" t="str">
            <v xml:space="preserve">CONTINUE LOADING </v>
          </cell>
        </row>
        <row r="1296">
          <cell r="C1296">
            <v>0.58333333333333337</v>
          </cell>
          <cell r="D1296" t="str">
            <v>UNABLE TO COMMENCE</v>
          </cell>
          <cell r="F1296">
            <v>0.625</v>
          </cell>
          <cell r="G1296" t="str">
            <v>UNABLE TO RESUME LOADING DUE TO SWELL</v>
          </cell>
          <cell r="X1296">
            <v>0.58333333333333337</v>
          </cell>
          <cell r="Y1296" t="str">
            <v>UNABLE TO RESUME LOADING DUE TO SWELL</v>
          </cell>
          <cell r="AD1296">
            <v>0.63194444444444442</v>
          </cell>
          <cell r="AE1296" t="str">
            <v xml:space="preserve">CONTINUE LOADING </v>
          </cell>
        </row>
        <row r="1297">
          <cell r="C1297">
            <v>0.625</v>
          </cell>
          <cell r="D1297" t="str">
            <v>UNABLE TO COMMENCE</v>
          </cell>
          <cell r="F1297">
            <v>0.66666666666666663</v>
          </cell>
          <cell r="G1297" t="str">
            <v>UNABLE TO RESUME LOADING DUE TO SWELL</v>
          </cell>
          <cell r="X1297">
            <v>0.625</v>
          </cell>
          <cell r="Y1297" t="str">
            <v>UNABLE TO RESUME LOADING DUE TO SWELL</v>
          </cell>
          <cell r="AD1297">
            <v>0.79166666666666663</v>
          </cell>
          <cell r="AE1297" t="str">
            <v>KY TOOLBOX</v>
          </cell>
        </row>
        <row r="1298">
          <cell r="C1298">
            <v>0.66666666666666663</v>
          </cell>
          <cell r="D1298" t="str">
            <v>UNABLE TO COMMENCE</v>
          </cell>
          <cell r="F1298">
            <v>0.70833333333333337</v>
          </cell>
          <cell r="G1298" t="str">
            <v>UNABLE TO RESUME LOADING DUE TO SWELL</v>
          </cell>
          <cell r="X1298">
            <v>0.66666666666666663</v>
          </cell>
          <cell r="Y1298" t="str">
            <v>UNABLE TO RESUME LOADING DUE TO SWELL</v>
          </cell>
          <cell r="AD1298">
            <v>0.80555555555555558</v>
          </cell>
          <cell r="AE1298" t="str">
            <v>UNABLE TO RESUME LOADING DUE TO SWELL</v>
          </cell>
        </row>
        <row r="1299">
          <cell r="C1299">
            <v>0.70833333333333337</v>
          </cell>
          <cell r="D1299" t="str">
            <v>UNABLE TO COMMENCE</v>
          </cell>
          <cell r="F1299">
            <v>0.79166666666666663</v>
          </cell>
          <cell r="G1299" t="str">
            <v>KY TOOLBOX</v>
          </cell>
          <cell r="X1299">
            <v>0.70833333333333337</v>
          </cell>
          <cell r="Y1299" t="str">
            <v>UNABLE TO RESUME LOADING DUE TO SWELL</v>
          </cell>
          <cell r="AD1299">
            <v>0.83333333333333337</v>
          </cell>
          <cell r="AE1299" t="str">
            <v>UNABLE TO RESUME LOADING DUE TO SWELL</v>
          </cell>
        </row>
        <row r="1300">
          <cell r="C1300">
            <v>0.75</v>
          </cell>
          <cell r="D1300" t="str">
            <v>UNABLE TO COMMENCE</v>
          </cell>
          <cell r="F1300">
            <v>0.80555555555555558</v>
          </cell>
          <cell r="G1300" t="str">
            <v>UNABLE TO RESUME LOADING DUE TO SWELL</v>
          </cell>
          <cell r="X1300">
            <v>0.75</v>
          </cell>
          <cell r="Y1300" t="str">
            <v>UNABLE TO RESUME LOADING DUE TO SWELL</v>
          </cell>
          <cell r="AD1300">
            <v>0.875</v>
          </cell>
          <cell r="AE1300" t="str">
            <v>UNABLE TO RESUME LOADING DUE TO SWELL</v>
          </cell>
        </row>
        <row r="1301">
          <cell r="C1301">
            <v>0.79166666666666663</v>
          </cell>
          <cell r="D1301" t="str">
            <v>UNABLE TO COMMENCE</v>
          </cell>
          <cell r="F1301">
            <v>0.83333333333333337</v>
          </cell>
          <cell r="G1301" t="str">
            <v>UNABLE TO RESUME LOADING DUE TO SWELL</v>
          </cell>
          <cell r="X1301">
            <v>0.79166666666666663</v>
          </cell>
          <cell r="Y1301" t="str">
            <v>KY TOOLBOX</v>
          </cell>
          <cell r="AD1301">
            <v>0.91666666666666663</v>
          </cell>
          <cell r="AE1301" t="str">
            <v>UNABLE TO RESUME LOADING DUE TO SWELL</v>
          </cell>
        </row>
        <row r="1302">
          <cell r="C1302">
            <v>0.83333333333333337</v>
          </cell>
          <cell r="D1302" t="str">
            <v>UNABLE TO COMMENCE</v>
          </cell>
          <cell r="F1302">
            <v>0.875</v>
          </cell>
          <cell r="G1302" t="str">
            <v>UNABLE TO RESUME LOADING DUE TO SWELL</v>
          </cell>
          <cell r="X1302">
            <v>0.80555555555555558</v>
          </cell>
          <cell r="Y1302" t="str">
            <v>UNABLE TO RESUME LOADING DUE TO SWELL</v>
          </cell>
          <cell r="AD1302">
            <v>0.95833333333333337</v>
          </cell>
          <cell r="AE1302" t="str">
            <v>UNABLE TO RESUME LOADING DUE TO SWELL</v>
          </cell>
        </row>
        <row r="1303">
          <cell r="C1303">
            <v>0.875</v>
          </cell>
          <cell r="D1303" t="str">
            <v>UNABLE TO COMMENCE</v>
          </cell>
          <cell r="F1303">
            <v>0.91666666666666663</v>
          </cell>
          <cell r="G1303" t="str">
            <v>UNABLE TO RESUME LOADING DUE TO SWELL</v>
          </cell>
          <cell r="X1303">
            <v>0.83333333333333337</v>
          </cell>
          <cell r="Y1303" t="str">
            <v>UNABLE TO RESUME LOADING DUE TO SWELL</v>
          </cell>
          <cell r="AD1303">
            <v>0</v>
          </cell>
          <cell r="AE1303" t="str">
            <v>UNABLE TO RESUME LOADING DUE TO SWELL</v>
          </cell>
        </row>
        <row r="1304">
          <cell r="C1304">
            <v>0.91666666666666663</v>
          </cell>
          <cell r="D1304" t="str">
            <v>UNABLE TO COMMENCE</v>
          </cell>
          <cell r="F1304">
            <v>0.95833333333333337</v>
          </cell>
          <cell r="G1304" t="str">
            <v>UNABLE TO RESUME LOADING DUE TO SWELL</v>
          </cell>
          <cell r="X1304">
            <v>0.875</v>
          </cell>
          <cell r="Y1304" t="str">
            <v>UNABLE TO RESUME LOADING DUE TO SWELL</v>
          </cell>
          <cell r="AD1304">
            <v>4.1666666666666664E-2</v>
          </cell>
          <cell r="AE1304" t="str">
            <v>UNABLE TO RESUME LOADING DUE TO SWELL</v>
          </cell>
        </row>
        <row r="1305">
          <cell r="C1305">
            <v>0.95833333333333337</v>
          </cell>
          <cell r="D1305" t="str">
            <v>UNABLE TO COMMENCE</v>
          </cell>
          <cell r="F1305">
            <v>0</v>
          </cell>
          <cell r="G1305" t="str">
            <v>UNABLE TO RESUME LOADING DUE TO SWELL</v>
          </cell>
          <cell r="X1305">
            <v>0.91666666666666663</v>
          </cell>
          <cell r="Y1305" t="str">
            <v>UNABLE TO RESUME LOADING DUE TO SWELL</v>
          </cell>
          <cell r="AD1305">
            <v>8.3333333333333329E-2</v>
          </cell>
          <cell r="AE1305" t="str">
            <v>UNABLE TO RESUME LOADING DUE TO SWELL</v>
          </cell>
        </row>
        <row r="1306">
          <cell r="C1306">
            <v>0</v>
          </cell>
          <cell r="D1306" t="str">
            <v>UNABLE TO COMMENCE</v>
          </cell>
          <cell r="F1306">
            <v>4.1666666666666664E-2</v>
          </cell>
          <cell r="G1306" t="str">
            <v>UNABLE TO RESUME LOADING DUE TO SWELL</v>
          </cell>
          <cell r="X1306">
            <v>0.95833333333333337</v>
          </cell>
          <cell r="Y1306" t="str">
            <v>UNABLE TO RESUME LOADING DUE TO SWELL</v>
          </cell>
          <cell r="AD1306">
            <v>0.125</v>
          </cell>
          <cell r="AE1306" t="str">
            <v>UNABLE TO RESUME LOADING DUE TO SWELL</v>
          </cell>
        </row>
        <row r="1307">
          <cell r="C1307">
            <v>4.1666666666666664E-2</v>
          </cell>
          <cell r="D1307" t="str">
            <v>UNABLE TO COMMENCE</v>
          </cell>
          <cell r="F1307">
            <v>8.3333333333333329E-2</v>
          </cell>
          <cell r="G1307" t="str">
            <v>UNABLE TO RESUME LOADING DUE TO SWELL</v>
          </cell>
          <cell r="X1307">
            <v>0</v>
          </cell>
          <cell r="Y1307" t="str">
            <v>UNABLE TO RESUME LOADING DUE TO SWELL</v>
          </cell>
          <cell r="AD1307">
            <v>0.16666666666666666</v>
          </cell>
          <cell r="AE1307" t="str">
            <v>UNABLE TO RESUME LOADING DUE TO SWELL</v>
          </cell>
        </row>
        <row r="1308">
          <cell r="C1308">
            <v>8.3333333333333329E-2</v>
          </cell>
          <cell r="D1308" t="str">
            <v>UNABLE TO COMMENCE</v>
          </cell>
          <cell r="F1308">
            <v>0.125</v>
          </cell>
          <cell r="G1308" t="str">
            <v>UNABLE TO RESUME LOADING DUE TO SWELL</v>
          </cell>
          <cell r="X1308">
            <v>4.1666666666666664E-2</v>
          </cell>
          <cell r="Y1308" t="str">
            <v>UNABLE TO RESUME LOADING DUE TO SWELL</v>
          </cell>
          <cell r="AD1308">
            <v>0.20833333333333334</v>
          </cell>
          <cell r="AE1308" t="str">
            <v>UNABLE TO RESUME LOADING DUE TO SWELL</v>
          </cell>
        </row>
        <row r="1309">
          <cell r="C1309">
            <v>0.125</v>
          </cell>
          <cell r="D1309" t="str">
            <v>UNABLE TO COMMENCE</v>
          </cell>
          <cell r="F1309">
            <v>0.16666666666666666</v>
          </cell>
          <cell r="G1309" t="str">
            <v>UNABLE TO RESUME LOADING DUE TO SWELL</v>
          </cell>
          <cell r="X1309">
            <v>8.3333333333333329E-2</v>
          </cell>
          <cell r="Y1309" t="str">
            <v>UNABLE TO RESUME LOADING DUE TO SWELL</v>
          </cell>
          <cell r="AD1309">
            <v>0.25</v>
          </cell>
          <cell r="AE1309" t="str">
            <v>UNABLE TO RESUME LOADING DUE TO SWELL</v>
          </cell>
        </row>
        <row r="1310">
          <cell r="C1310">
            <v>0.16666666666666666</v>
          </cell>
          <cell r="D1310" t="str">
            <v>UNABLE TO COMMENCE</v>
          </cell>
          <cell r="F1310">
            <v>0.20833333333333334</v>
          </cell>
          <cell r="G1310" t="str">
            <v>UNABLE TO RESUME LOADING DUE TO SWELL</v>
          </cell>
          <cell r="X1310">
            <v>0.125</v>
          </cell>
          <cell r="Y1310" t="str">
            <v>UNABLE TO RESUME LOADING DUE TO SWELL</v>
          </cell>
        </row>
        <row r="1311">
          <cell r="C1311">
            <v>0.20833333333333334</v>
          </cell>
          <cell r="D1311" t="str">
            <v>UNABLE TO COMMENCE</v>
          </cell>
          <cell r="F1311">
            <v>0.25</v>
          </cell>
          <cell r="G1311" t="str">
            <v>UNABLE TO RESUME LOADING DUE TO SWELL</v>
          </cell>
          <cell r="X1311">
            <v>0.16666666666666666</v>
          </cell>
          <cell r="Y1311" t="str">
            <v>UNABLE TO RESUME LOADING DUE TO SWELL</v>
          </cell>
        </row>
        <row r="1312">
          <cell r="C1312">
            <v>0.25</v>
          </cell>
          <cell r="D1312" t="str">
            <v>UNABLE TO COMMENCE</v>
          </cell>
          <cell r="X1312">
            <v>0.20833333333333334</v>
          </cell>
          <cell r="Y1312" t="str">
            <v>UNABLE TO RESUME LOADING DUE TO SWELL</v>
          </cell>
        </row>
        <row r="1313">
          <cell r="X1313">
            <v>0.25</v>
          </cell>
          <cell r="Y1313" t="str">
            <v>UNABLE TO RESUME LOADING DUE TO SWELL</v>
          </cell>
        </row>
        <row r="1314">
          <cell r="D1314" t="str">
            <v>JOHANNAH 7</v>
          </cell>
          <cell r="G1314" t="str">
            <v>SALVACION 8</v>
          </cell>
          <cell r="J1314" t="str">
            <v>VACANT</v>
          </cell>
          <cell r="M1314" t="str">
            <v>VACANT</v>
          </cell>
          <cell r="P1314" t="str">
            <v>VACANT</v>
          </cell>
          <cell r="S1314" t="str">
            <v>VACANT</v>
          </cell>
          <cell r="V1314" t="str">
            <v>STAR SOGOD</v>
          </cell>
          <cell r="Y1314" t="str">
            <v>LADY OF WISDOM</v>
          </cell>
          <cell r="AB1314" t="str">
            <v>LADY ARMOR</v>
          </cell>
          <cell r="AE1314" t="str">
            <v>EASTERN CEBU</v>
          </cell>
          <cell r="AH1314" t="str">
            <v>VACANT</v>
          </cell>
        </row>
        <row r="1315">
          <cell r="C1315">
            <v>0.29166666666666669</v>
          </cell>
          <cell r="D1315" t="str">
            <v>UNABLE TO COMMENCE</v>
          </cell>
          <cell r="F1315">
            <v>0.29166666666666669</v>
          </cell>
          <cell r="G1315" t="str">
            <v xml:space="preserve">KY PRE LOADING </v>
          </cell>
          <cell r="I1315">
            <v>0.29166666666666669</v>
          </cell>
          <cell r="J1315" t="str">
            <v>VACANT</v>
          </cell>
          <cell r="L1315">
            <v>0.29166666666666669</v>
          </cell>
          <cell r="M1315" t="str">
            <v>VACANT</v>
          </cell>
          <cell r="O1315">
            <v>0.29166666666666669</v>
          </cell>
          <cell r="P1315" t="str">
            <v>VACANT</v>
          </cell>
          <cell r="R1315">
            <v>0.29166666666666669</v>
          </cell>
          <cell r="S1315" t="str">
            <v>VACANT</v>
          </cell>
          <cell r="U1315">
            <v>0.29166666666666669</v>
          </cell>
          <cell r="V1315" t="str">
            <v>UNABLE TO COMMENCE</v>
          </cell>
          <cell r="X1315">
            <v>0.29166666666666669</v>
          </cell>
          <cell r="Y1315" t="str">
            <v xml:space="preserve">KY PRE LOADING </v>
          </cell>
          <cell r="AA1315">
            <v>0.29166666666666669</v>
          </cell>
          <cell r="AB1315" t="str">
            <v>UNABLE TO COMMENCE</v>
          </cell>
          <cell r="AD1315">
            <v>0.29166666666666669</v>
          </cell>
          <cell r="AE1315" t="str">
            <v xml:space="preserve">KY PRE LOADING </v>
          </cell>
          <cell r="AG1315">
            <v>0.29166666666666669</v>
          </cell>
          <cell r="AH1315" t="str">
            <v>VACANT</v>
          </cell>
        </row>
        <row r="1316">
          <cell r="C1316">
            <v>0.47916666666666669</v>
          </cell>
          <cell r="D1316" t="str">
            <v>VESSEL PULLOUT</v>
          </cell>
          <cell r="F1316">
            <v>0.33333333333333331</v>
          </cell>
          <cell r="G1316" t="str">
            <v xml:space="preserve">RESUME LOADING </v>
          </cell>
          <cell r="O1316">
            <v>0.89236111111111116</v>
          </cell>
          <cell r="P1316" t="str">
            <v>LADY OF WISDOM</v>
          </cell>
          <cell r="X1316">
            <v>0.33333333333333331</v>
          </cell>
          <cell r="Y1316" t="str">
            <v xml:space="preserve">MONITOR WEATHER </v>
          </cell>
          <cell r="AA1316">
            <v>0.79166666666666663</v>
          </cell>
          <cell r="AB1316" t="str">
            <v>UNABLE TO COMMENCE</v>
          </cell>
          <cell r="AD1316">
            <v>0.33124999999999999</v>
          </cell>
          <cell r="AE1316" t="str">
            <v xml:space="preserve">RESUME LOADING </v>
          </cell>
        </row>
        <row r="1317">
          <cell r="F1317">
            <v>0.34930555555555554</v>
          </cell>
          <cell r="G1317" t="str">
            <v xml:space="preserve">ONGOING LOADING </v>
          </cell>
          <cell r="O1317">
            <v>0.91319444444444442</v>
          </cell>
          <cell r="P1317" t="str">
            <v xml:space="preserve">RESUME LOADING </v>
          </cell>
          <cell r="X1317">
            <v>0.38680555555555557</v>
          </cell>
          <cell r="Y1317" t="str">
            <v xml:space="preserve">RESUME LOADING </v>
          </cell>
          <cell r="AD1317">
            <v>0.3659722222222222</v>
          </cell>
          <cell r="AE1317" t="str">
            <v xml:space="preserve">ONGOING LOADING </v>
          </cell>
        </row>
        <row r="1318">
          <cell r="F1318">
            <v>0.37847222222222221</v>
          </cell>
          <cell r="G1318" t="str">
            <v xml:space="preserve">CONTINUE LOADING </v>
          </cell>
          <cell r="O1318">
            <v>0.92500000000000004</v>
          </cell>
          <cell r="P1318" t="str">
            <v xml:space="preserve">ONGOING LOADING </v>
          </cell>
          <cell r="X1318">
            <v>0.43611111111111112</v>
          </cell>
          <cell r="Y1318" t="str">
            <v xml:space="preserve">CONTINUE LOADING </v>
          </cell>
          <cell r="AD1318">
            <v>0.34930555555555554</v>
          </cell>
          <cell r="AE1318" t="str">
            <v xml:space="preserve">CONTINUE LOADING </v>
          </cell>
        </row>
        <row r="1319">
          <cell r="F1319">
            <v>0.39791666666666664</v>
          </cell>
          <cell r="G1319" t="str">
            <v xml:space="preserve">ONGOING LOADING </v>
          </cell>
          <cell r="O1319">
            <v>0.93541666666666667</v>
          </cell>
          <cell r="P1319" t="str">
            <v xml:space="preserve">CONTINUE LOADING </v>
          </cell>
          <cell r="X1319">
            <v>0.45</v>
          </cell>
          <cell r="Y1319" t="str">
            <v xml:space="preserve">STOP LOADING </v>
          </cell>
          <cell r="AD1319">
            <v>0.38055555555555554</v>
          </cell>
          <cell r="AE1319" t="str">
            <v xml:space="preserve">ONGOING LOADING </v>
          </cell>
        </row>
        <row r="1320">
          <cell r="F1320">
            <v>0.41875000000000001</v>
          </cell>
          <cell r="G1320" t="str">
            <v xml:space="preserve">CONTINUE LOADING </v>
          </cell>
          <cell r="O1320">
            <v>0.94722222222222219</v>
          </cell>
          <cell r="P1320" t="str">
            <v>ONGOING LOADING</v>
          </cell>
          <cell r="X1320">
            <v>0.79166666666666663</v>
          </cell>
          <cell r="Y1320" t="str">
            <v xml:space="preserve">STILL UNABLE TO RESUME </v>
          </cell>
          <cell r="AD1320">
            <v>0.39305555555555555</v>
          </cell>
          <cell r="AE1320" t="str">
            <v>WAITING MATERIAL</v>
          </cell>
        </row>
        <row r="1321">
          <cell r="F1321">
            <v>0.43055555555555558</v>
          </cell>
          <cell r="G1321" t="str">
            <v xml:space="preserve">STOP LOADING </v>
          </cell>
          <cell r="O1321">
            <v>0.96458333333333335</v>
          </cell>
          <cell r="P1321" t="str">
            <v xml:space="preserve">CONTINUE LOADING </v>
          </cell>
          <cell r="X1321">
            <v>0.875</v>
          </cell>
          <cell r="Y1321" t="str">
            <v>SHIFTING TO BERTH 5</v>
          </cell>
        </row>
        <row r="1322">
          <cell r="F1322">
            <v>0.79166666666666663</v>
          </cell>
          <cell r="G1322" t="str">
            <v xml:space="preserve">STILL UNABLE TO RESUME </v>
          </cell>
          <cell r="O1322">
            <v>0.97430555555555554</v>
          </cell>
          <cell r="P1322" t="str">
            <v xml:space="preserve">ONGOING LOADING </v>
          </cell>
          <cell r="X1322">
            <v>0.87569444444444444</v>
          </cell>
          <cell r="Y1322" t="str">
            <v>VACANT</v>
          </cell>
        </row>
        <row r="1323">
          <cell r="O1323">
            <v>0.9916666666666667</v>
          </cell>
          <cell r="P1323" t="str">
            <v xml:space="preserve">CONTINUE LOADING </v>
          </cell>
        </row>
        <row r="1324">
          <cell r="O1324">
            <v>1.3888888888888888E-2</v>
          </cell>
          <cell r="P1324" t="str">
            <v xml:space="preserve">ONGOING LOADING </v>
          </cell>
        </row>
        <row r="1325">
          <cell r="O1325">
            <v>2.7777777777777776E-2</v>
          </cell>
          <cell r="P1325" t="str">
            <v xml:space="preserve">CONTINUE LOADING </v>
          </cell>
        </row>
        <row r="1326">
          <cell r="O1326">
            <v>4.3055555555555555E-2</v>
          </cell>
          <cell r="P1326" t="str">
            <v xml:space="preserve">ONGOING LOADING </v>
          </cell>
        </row>
        <row r="1327">
          <cell r="O1327">
            <v>5.9027777777777776E-2</v>
          </cell>
          <cell r="P1327" t="str">
            <v xml:space="preserve">CONTINUE LOADING </v>
          </cell>
        </row>
        <row r="1328">
          <cell r="O1328">
            <v>7.4305555555555555E-2</v>
          </cell>
          <cell r="P1328" t="str">
            <v>WAITING MATERIAL</v>
          </cell>
        </row>
        <row r="1329">
          <cell r="D1329" t="str">
            <v>JOHANNAH 7</v>
          </cell>
          <cell r="G1329" t="str">
            <v>SALVACION 8</v>
          </cell>
          <cell r="J1329" t="str">
            <v>VACANT</v>
          </cell>
          <cell r="M1329" t="str">
            <v>VACANT</v>
          </cell>
          <cell r="P1329" t="str">
            <v>VACANT</v>
          </cell>
          <cell r="S1329" t="str">
            <v>VACANT</v>
          </cell>
          <cell r="V1329" t="str">
            <v>STAR SOGOD</v>
          </cell>
          <cell r="Y1329" t="str">
            <v>VACANT</v>
          </cell>
          <cell r="AB1329" t="str">
            <v>LADY ARMOR</v>
          </cell>
          <cell r="AE1329" t="str">
            <v>EASTERN CEBU</v>
          </cell>
          <cell r="AH1329" t="str">
            <v>VACANT</v>
          </cell>
        </row>
        <row r="1330">
          <cell r="C1330">
            <v>0.29166666666666669</v>
          </cell>
          <cell r="D1330" t="str">
            <v>KY TOOLBOX</v>
          </cell>
        </row>
        <row r="1331">
          <cell r="C1331">
            <v>0.3125</v>
          </cell>
          <cell r="D1331" t="str">
            <v>UNABLE TO RESUME LOADING</v>
          </cell>
          <cell r="F1331">
            <v>0.3125</v>
          </cell>
          <cell r="G1331" t="str">
            <v>UNABLE TO RESUME LOADING</v>
          </cell>
          <cell r="I1331">
            <v>0.79166666666666663</v>
          </cell>
          <cell r="J1331" t="str">
            <v>VACANT</v>
          </cell>
          <cell r="L1331">
            <v>0.79166666666666663</v>
          </cell>
          <cell r="M1331" t="str">
            <v>VACANT</v>
          </cell>
          <cell r="O1331">
            <v>0.79166666666666663</v>
          </cell>
          <cell r="P1331" t="str">
            <v>VACANT</v>
          </cell>
          <cell r="R1331">
            <v>0.79166666666666663</v>
          </cell>
          <cell r="S1331" t="str">
            <v>VACANT</v>
          </cell>
          <cell r="U1331">
            <v>0.3125</v>
          </cell>
          <cell r="V1331" t="str">
            <v>UNABLE TO RESUME LOADING</v>
          </cell>
          <cell r="X1331">
            <v>0.79166666666666663</v>
          </cell>
          <cell r="Y1331" t="str">
            <v>VACANT</v>
          </cell>
          <cell r="AA1331">
            <v>0.29166666666666669</v>
          </cell>
          <cell r="AB1331" t="str">
            <v>WAITING MATERIALS</v>
          </cell>
          <cell r="AD1331">
            <v>0.3125</v>
          </cell>
          <cell r="AE1331" t="str">
            <v>UNABLE TO RESUME LOADING</v>
          </cell>
          <cell r="AG1331">
            <v>0.79166666666666663</v>
          </cell>
          <cell r="AH1331" t="str">
            <v>VACANT</v>
          </cell>
        </row>
        <row r="1332">
          <cell r="C1332">
            <v>0.33333333333333331</v>
          </cell>
          <cell r="D1332" t="str">
            <v>UNABLE TO RESUME LOADING</v>
          </cell>
          <cell r="F1332">
            <v>0.33333333333333331</v>
          </cell>
          <cell r="G1332" t="str">
            <v>UNABLE TO RESUME LOADING</v>
          </cell>
          <cell r="U1332">
            <v>0.33333333333333331</v>
          </cell>
          <cell r="V1332" t="str">
            <v>UNABLE TO RESUME LOADING</v>
          </cell>
          <cell r="X1332" t="str">
            <v xml:space="preserve"> </v>
          </cell>
          <cell r="Y1332" t="str">
            <v xml:space="preserve"> </v>
          </cell>
          <cell r="AA1332">
            <v>0.3125</v>
          </cell>
          <cell r="AB1332" t="str">
            <v>WAITING MATERIALS</v>
          </cell>
          <cell r="AD1332">
            <v>0.33333333333333331</v>
          </cell>
          <cell r="AE1332" t="str">
            <v>UNABLE TO RESUME LOADING</v>
          </cell>
        </row>
        <row r="1333">
          <cell r="C1333">
            <v>0.375</v>
          </cell>
          <cell r="D1333" t="str">
            <v>UNABLE TO RESUME LOADING</v>
          </cell>
          <cell r="F1333">
            <v>0.375</v>
          </cell>
          <cell r="G1333" t="str">
            <v>UNABLE TO RESUME LOADING</v>
          </cell>
          <cell r="U1333">
            <v>0.375</v>
          </cell>
          <cell r="V1333" t="str">
            <v>UNABLE TO RESUME LOADING</v>
          </cell>
          <cell r="X1333" t="str">
            <v xml:space="preserve">  </v>
          </cell>
          <cell r="Y1333" t="str">
            <v xml:space="preserve"> </v>
          </cell>
          <cell r="AA1333">
            <v>0.33333333333333331</v>
          </cell>
          <cell r="AB1333" t="str">
            <v>WAITING MATERIALS</v>
          </cell>
          <cell r="AD1333">
            <v>0.375</v>
          </cell>
          <cell r="AE1333" t="str">
            <v>UNABLE TO RESUME LOADING</v>
          </cell>
        </row>
        <row r="1334">
          <cell r="C1334">
            <v>0.41666666666666669</v>
          </cell>
          <cell r="D1334" t="str">
            <v>UNABLE TO RESUME LOADING</v>
          </cell>
          <cell r="F1334">
            <v>0.41666666666666669</v>
          </cell>
          <cell r="G1334" t="str">
            <v>UNABLE TO RESUME LOADING</v>
          </cell>
          <cell r="U1334">
            <v>0.41666666666666669</v>
          </cell>
          <cell r="V1334" t="str">
            <v>UNABLE TO RESUME LOADING</v>
          </cell>
          <cell r="X1334" t="str">
            <v xml:space="preserve"> </v>
          </cell>
          <cell r="Y1334" t="str">
            <v xml:space="preserve"> </v>
          </cell>
          <cell r="AA1334">
            <v>0.375</v>
          </cell>
          <cell r="AB1334" t="str">
            <v>WAITING MATERIALS</v>
          </cell>
          <cell r="AD1334">
            <v>0.41666666666666669</v>
          </cell>
          <cell r="AE1334" t="str">
            <v>UNABLE TO RESUME LOADING</v>
          </cell>
        </row>
        <row r="1335">
          <cell r="C1335">
            <v>0.45833333333333331</v>
          </cell>
          <cell r="D1335" t="str">
            <v>UNABLE TO RESUME LOADING</v>
          </cell>
          <cell r="F1335">
            <v>0.45833333333333331</v>
          </cell>
          <cell r="G1335" t="str">
            <v>UNABLE TO RESUME LOADING</v>
          </cell>
          <cell r="U1335">
            <v>0.45833333333333331</v>
          </cell>
          <cell r="V1335" t="str">
            <v>UNABLE TO RESUME LOADING</v>
          </cell>
          <cell r="X1335" t="str">
            <v xml:space="preserve">  </v>
          </cell>
          <cell r="Y1335" t="str">
            <v xml:space="preserve"> </v>
          </cell>
          <cell r="AA1335">
            <v>0.41666666666666669</v>
          </cell>
          <cell r="AB1335" t="str">
            <v>WAITING MATERIALS</v>
          </cell>
          <cell r="AD1335">
            <v>0.45833333333333331</v>
          </cell>
          <cell r="AE1335" t="str">
            <v>UNABLE TO RESUME LOADING</v>
          </cell>
        </row>
        <row r="1336">
          <cell r="C1336">
            <v>0.5</v>
          </cell>
          <cell r="D1336" t="str">
            <v>LUNCH BREAK</v>
          </cell>
          <cell r="F1336">
            <v>0.5</v>
          </cell>
          <cell r="G1336" t="str">
            <v>LUNCH BREAK</v>
          </cell>
          <cell r="U1336">
            <v>0.5</v>
          </cell>
          <cell r="V1336" t="str">
            <v>LUNCH BREAK</v>
          </cell>
          <cell r="X1336" t="str">
            <v xml:space="preserve"> </v>
          </cell>
          <cell r="Y1336" t="str">
            <v xml:space="preserve"> </v>
          </cell>
          <cell r="AA1336">
            <v>0.45833333333333331</v>
          </cell>
          <cell r="AB1336" t="str">
            <v>WAITING MATERIALS</v>
          </cell>
          <cell r="AD1336">
            <v>0.5</v>
          </cell>
          <cell r="AE1336" t="str">
            <v>LUNCH BREAK</v>
          </cell>
        </row>
        <row r="1337">
          <cell r="C1337">
            <v>0.54166666666666663</v>
          </cell>
          <cell r="D1337" t="str">
            <v>UNABLE TO RESUME LOADING</v>
          </cell>
          <cell r="F1337">
            <v>0.54166666666666663</v>
          </cell>
          <cell r="G1337" t="str">
            <v>UNABLE TO RESUME LOADING</v>
          </cell>
          <cell r="U1337">
            <v>0.54166666666666663</v>
          </cell>
          <cell r="V1337" t="str">
            <v>UNABLE TO RESUME LOADING</v>
          </cell>
          <cell r="X1337" t="str">
            <v xml:space="preserve"> </v>
          </cell>
          <cell r="Y1337" t="str">
            <v xml:space="preserve"> </v>
          </cell>
          <cell r="AA1337">
            <v>0.5</v>
          </cell>
          <cell r="AB1337" t="str">
            <v>LUNCH BREAK</v>
          </cell>
          <cell r="AD1337">
            <v>0.54166666666666663</v>
          </cell>
          <cell r="AE1337" t="str">
            <v>UNABLE TO RESUME LOADING</v>
          </cell>
        </row>
        <row r="1338">
          <cell r="C1338">
            <v>0.58333333333333337</v>
          </cell>
          <cell r="D1338" t="str">
            <v>UNABLE TO RESUME LOADING</v>
          </cell>
          <cell r="F1338">
            <v>0.58333333333333337</v>
          </cell>
          <cell r="G1338" t="str">
            <v>UNABLE TO RESUME LOADING</v>
          </cell>
          <cell r="U1338">
            <v>0.58333333333333337</v>
          </cell>
          <cell r="V1338" t="str">
            <v>UNABLE TO RESUME LOADING</v>
          </cell>
          <cell r="X1338" t="str">
            <v xml:space="preserve"> </v>
          </cell>
          <cell r="Y1338" t="str">
            <v xml:space="preserve"> </v>
          </cell>
          <cell r="AA1338">
            <v>0.54166666666666663</v>
          </cell>
          <cell r="AB1338" t="str">
            <v>UNABLE TO RESUME LOADING</v>
          </cell>
          <cell r="AD1338">
            <v>0.58333333333333337</v>
          </cell>
          <cell r="AE1338" t="str">
            <v>UNABLE TO RESUME LOADING</v>
          </cell>
        </row>
        <row r="1339">
          <cell r="C1339">
            <v>0.625</v>
          </cell>
          <cell r="D1339" t="str">
            <v>UNABLE TO RESUME LOADING</v>
          </cell>
          <cell r="F1339">
            <v>0.625</v>
          </cell>
          <cell r="G1339" t="str">
            <v>UNABLE TO RESUME LOADING</v>
          </cell>
          <cell r="U1339">
            <v>0.625</v>
          </cell>
          <cell r="V1339" t="str">
            <v>UNABLE TO RESUME LOADING</v>
          </cell>
          <cell r="AA1339">
            <v>0.58333333333333337</v>
          </cell>
          <cell r="AB1339" t="str">
            <v>UNABLE TO RESUME LOADING</v>
          </cell>
          <cell r="AD1339">
            <v>0.625</v>
          </cell>
          <cell r="AE1339" t="str">
            <v>UNABLE TO RESUME LOADING</v>
          </cell>
        </row>
        <row r="1340">
          <cell r="C1340">
            <v>0.79166666666666663</v>
          </cell>
          <cell r="D1340" t="str">
            <v>UNSAFE TO LOAD</v>
          </cell>
          <cell r="F1340">
            <v>0.79166666666666663</v>
          </cell>
          <cell r="G1340" t="str">
            <v xml:space="preserve">KY PRE LOADING </v>
          </cell>
          <cell r="U1340">
            <v>0.79166666666666663</v>
          </cell>
          <cell r="V1340" t="str">
            <v xml:space="preserve">KY PRE LOADING </v>
          </cell>
          <cell r="AA1340">
            <v>0.625</v>
          </cell>
          <cell r="AB1340" t="str">
            <v>UNABLE TO RESUME LOADING</v>
          </cell>
          <cell r="AD1340">
            <v>0.66666666666666663</v>
          </cell>
          <cell r="AE1340" t="str">
            <v>UNABLE TO RESUME LOADING</v>
          </cell>
        </row>
        <row r="1341">
          <cell r="F1341">
            <v>0.83333333333333337</v>
          </cell>
          <cell r="G1341" t="str">
            <v xml:space="preserve">RESUME LOADING </v>
          </cell>
          <cell r="U1341">
            <v>0.83680555555555558</v>
          </cell>
          <cell r="V1341" t="str">
            <v xml:space="preserve">COMMENCE LOADING </v>
          </cell>
          <cell r="AD1341">
            <v>0.72291666666666665</v>
          </cell>
          <cell r="AE1341" t="str">
            <v>COMPLETE LOADING</v>
          </cell>
        </row>
        <row r="1342">
          <cell r="F1342">
            <v>0.84583333333333333</v>
          </cell>
          <cell r="G1342" t="str">
            <v xml:space="preserve">ONGOING LOADING </v>
          </cell>
          <cell r="U1342">
            <v>0.86319444444444449</v>
          </cell>
          <cell r="V1342" t="str">
            <v xml:space="preserve">ONGOING LOADING </v>
          </cell>
          <cell r="AD1342">
            <v>0.29166666666666669</v>
          </cell>
          <cell r="AE1342" t="str">
            <v>VACANT</v>
          </cell>
        </row>
        <row r="1343">
          <cell r="F1343">
            <v>0.85624999999999996</v>
          </cell>
          <cell r="G1343" t="str">
            <v xml:space="preserve">CONTINUE LOADING </v>
          </cell>
          <cell r="U1343">
            <v>0.88194444444444442</v>
          </cell>
          <cell r="V1343" t="str">
            <v xml:space="preserve">CONTINUE LOADING </v>
          </cell>
        </row>
        <row r="1344">
          <cell r="F1344">
            <v>0.87291666666666667</v>
          </cell>
          <cell r="G1344" t="str">
            <v xml:space="preserve">ONGOING LOADING </v>
          </cell>
          <cell r="U1344">
            <v>0.9</v>
          </cell>
          <cell r="V1344" t="str">
            <v xml:space="preserve">ONGOING LOADING </v>
          </cell>
        </row>
        <row r="1345">
          <cell r="F1345">
            <v>0.88541666666666663</v>
          </cell>
          <cell r="G1345" t="str">
            <v xml:space="preserve">CONTINUE LOADING </v>
          </cell>
          <cell r="U1345">
            <v>0.91527777777777775</v>
          </cell>
          <cell r="V1345" t="str">
            <v xml:space="preserve">CONTINUE LOADING </v>
          </cell>
        </row>
        <row r="1346">
          <cell r="F1346">
            <v>0.88888888888888884</v>
          </cell>
          <cell r="G1346" t="str">
            <v xml:space="preserve">ONGOING LOADING </v>
          </cell>
          <cell r="U1346">
            <v>0.93263888888888891</v>
          </cell>
          <cell r="V1346" t="str">
            <v xml:space="preserve">ONGOING LOADING </v>
          </cell>
        </row>
        <row r="1347">
          <cell r="F1347">
            <v>0.9194444444444444</v>
          </cell>
          <cell r="G1347" t="str">
            <v xml:space="preserve">CONTINUE LOADING </v>
          </cell>
          <cell r="U1347">
            <v>0.95833333333333337</v>
          </cell>
          <cell r="V1347" t="str">
            <v xml:space="preserve">CONTINUE LOADING </v>
          </cell>
        </row>
        <row r="1348">
          <cell r="F1348">
            <v>0.93194444444444446</v>
          </cell>
          <cell r="G1348" t="str">
            <v xml:space="preserve">ONGOING LOADING </v>
          </cell>
          <cell r="U1348">
            <v>0.98611111111111116</v>
          </cell>
          <cell r="V1348" t="str">
            <v xml:space="preserve">ONGOING LOADING </v>
          </cell>
        </row>
        <row r="1349">
          <cell r="F1349">
            <v>0.94930555555555551</v>
          </cell>
          <cell r="G1349" t="str">
            <v xml:space="preserve">CONTINUE LOADING </v>
          </cell>
          <cell r="U1349">
            <v>4.1666666666666666E-3</v>
          </cell>
          <cell r="V1349" t="str">
            <v xml:space="preserve">CONTINUE LOADING </v>
          </cell>
        </row>
        <row r="1350">
          <cell r="F1350">
            <v>0.96875</v>
          </cell>
          <cell r="G1350" t="str">
            <v xml:space="preserve">ONGOING LOADING </v>
          </cell>
          <cell r="U1350">
            <v>4.5138888888888888E-2</v>
          </cell>
          <cell r="V1350" t="str">
            <v xml:space="preserve">ONGOING LOADING </v>
          </cell>
        </row>
        <row r="1351">
          <cell r="F1351">
            <v>0.98472222222222228</v>
          </cell>
          <cell r="G1351" t="str">
            <v xml:space="preserve">CONTINUE LOADING </v>
          </cell>
          <cell r="U1351">
            <v>5.9027777777777776E-2</v>
          </cell>
          <cell r="V1351" t="str">
            <v xml:space="preserve">CONTINUE LOADING </v>
          </cell>
        </row>
        <row r="1352">
          <cell r="F1352">
            <v>6.9444444444444447E-4</v>
          </cell>
          <cell r="G1352" t="str">
            <v xml:space="preserve">ONGOING LOADING </v>
          </cell>
          <cell r="U1352">
            <v>8.5416666666666669E-2</v>
          </cell>
          <cell r="V1352" t="str">
            <v xml:space="preserve">ONGOING LOADING </v>
          </cell>
        </row>
        <row r="1353">
          <cell r="F1353">
            <v>4.5138888888888888E-2</v>
          </cell>
          <cell r="G1353" t="str">
            <v xml:space="preserve">CONTINUE LOADING </v>
          </cell>
          <cell r="U1353">
            <v>0.10069444444444445</v>
          </cell>
          <cell r="V1353" t="str">
            <v xml:space="preserve">CONTINUE LOADING </v>
          </cell>
        </row>
        <row r="1354">
          <cell r="F1354">
            <v>6.25E-2</v>
          </cell>
          <cell r="G1354" t="str">
            <v>TEMP. STOP LOADING</v>
          </cell>
          <cell r="U1354">
            <v>0.12291666666666666</v>
          </cell>
          <cell r="V1354" t="str">
            <v xml:space="preserve">ONGOING LOADING </v>
          </cell>
        </row>
        <row r="1355">
          <cell r="U1355">
            <v>0.17152777777777778</v>
          </cell>
          <cell r="V1355" t="str">
            <v xml:space="preserve">CONTINUE LOADING </v>
          </cell>
        </row>
        <row r="1356">
          <cell r="U1356">
            <v>0.18194444444444444</v>
          </cell>
          <cell r="V1356" t="str">
            <v>WAIITNG MATERIAL</v>
          </cell>
        </row>
        <row r="1357">
          <cell r="D1357" t="str">
            <v>JOHANNAH 7</v>
          </cell>
          <cell r="G1357" t="str">
            <v>SALVACION 8</v>
          </cell>
          <cell r="J1357" t="str">
            <v>VACANT</v>
          </cell>
          <cell r="M1357" t="str">
            <v>VACANT</v>
          </cell>
          <cell r="P1357" t="str">
            <v>LADY OF COURAGE</v>
          </cell>
          <cell r="S1357" t="str">
            <v>LADY ARMOR</v>
          </cell>
          <cell r="V1357" t="str">
            <v>STAR SOGOD</v>
          </cell>
          <cell r="Y1357" t="str">
            <v>LADY ARMOR</v>
          </cell>
          <cell r="AB1357" t="str">
            <v>VACANT</v>
          </cell>
          <cell r="AE1357" t="str">
            <v>NAPOLI</v>
          </cell>
          <cell r="AH1357" t="str">
            <v>VACANT</v>
          </cell>
        </row>
        <row r="1358">
          <cell r="C1358">
            <v>0.30208333333333331</v>
          </cell>
          <cell r="D1358" t="str">
            <v>KY TOOLBOX</v>
          </cell>
          <cell r="F1358">
            <v>0.30208333333333331</v>
          </cell>
          <cell r="G1358" t="str">
            <v>KY TOOLBOX</v>
          </cell>
          <cell r="O1358">
            <v>0.35416666666666669</v>
          </cell>
          <cell r="P1358" t="str">
            <v>NEWLY DOCK &amp; SECURED</v>
          </cell>
          <cell r="R1358">
            <v>0.79166666666666663</v>
          </cell>
          <cell r="S1358" t="str">
            <v>KY TOOLBOX</v>
          </cell>
          <cell r="U1358">
            <v>0.30208333333333331</v>
          </cell>
          <cell r="V1358" t="str">
            <v>KY TOOLBOX</v>
          </cell>
          <cell r="X1358">
            <v>0.30208333333333331</v>
          </cell>
          <cell r="Y1358" t="str">
            <v>KY TOOLBOX</v>
          </cell>
          <cell r="AD1358">
            <v>0.35138888888888886</v>
          </cell>
          <cell r="AE1358" t="str">
            <v xml:space="preserve">DOCK AND SECURED </v>
          </cell>
        </row>
        <row r="1359">
          <cell r="C1359">
            <v>0.33333333333333331</v>
          </cell>
          <cell r="D1359" t="str">
            <v>ONGOING RESUME LOADING</v>
          </cell>
          <cell r="F1359">
            <v>0.33333333333333331</v>
          </cell>
          <cell r="G1359" t="str">
            <v>ONGOING RESUME LOADING</v>
          </cell>
          <cell r="O1359">
            <v>0.44791666666666669</v>
          </cell>
          <cell r="P1359" t="str">
            <v>COMMENCE LOADING TONNER BAGS</v>
          </cell>
          <cell r="R1359">
            <v>0.83333333333333337</v>
          </cell>
          <cell r="S1359" t="str">
            <v>WAITING SC &amp; FL LOADING BAY</v>
          </cell>
          <cell r="U1359">
            <v>0.33333333333333331</v>
          </cell>
          <cell r="V1359" t="str">
            <v xml:space="preserve">WAITING DELIVERY </v>
          </cell>
          <cell r="X1359">
            <v>0.33333333333333331</v>
          </cell>
          <cell r="Y1359" t="str">
            <v>UNABLE TO RESUME LOADING</v>
          </cell>
          <cell r="AD1359">
            <v>0.46597222222222223</v>
          </cell>
          <cell r="AE1359" t="str">
            <v xml:space="preserve">COMMENCE LOADING </v>
          </cell>
        </row>
        <row r="1360">
          <cell r="C1360">
            <v>0.38541666666666669</v>
          </cell>
          <cell r="D1360" t="str">
            <v>COMMENCE LOADING</v>
          </cell>
          <cell r="F1360">
            <v>0.37430555555555556</v>
          </cell>
          <cell r="G1360" t="str">
            <v xml:space="preserve">CONTINUE LOADING </v>
          </cell>
          <cell r="O1360">
            <v>0.47291666666666665</v>
          </cell>
          <cell r="P1360" t="str">
            <v xml:space="preserve">CONTINUE LOADING </v>
          </cell>
          <cell r="R1360">
            <v>0.98958333333333337</v>
          </cell>
          <cell r="S1360" t="str">
            <v>COMMENCE LOADING</v>
          </cell>
          <cell r="U1360">
            <v>0.5</v>
          </cell>
          <cell r="V1360" t="str">
            <v>LUNCH BREAK</v>
          </cell>
          <cell r="X1360">
            <v>0.375</v>
          </cell>
          <cell r="Y1360" t="str">
            <v>UNABLE TO RESUME LOADING</v>
          </cell>
          <cell r="AD1360">
            <v>0.47638888888888886</v>
          </cell>
          <cell r="AE1360" t="str">
            <v>CONTINUE LOADING</v>
          </cell>
        </row>
        <row r="1361">
          <cell r="C1361">
            <v>0.42777777777777776</v>
          </cell>
          <cell r="D1361" t="str">
            <v xml:space="preserve">CONTINUE LOADING </v>
          </cell>
          <cell r="F1361">
            <v>0.41249999999999998</v>
          </cell>
          <cell r="G1361" t="str">
            <v xml:space="preserve">CONTINUE LOADING </v>
          </cell>
          <cell r="O1361">
            <v>0.5</v>
          </cell>
          <cell r="P1361" t="str">
            <v>LUNCH BREAK</v>
          </cell>
          <cell r="R1361">
            <v>1.3888888888888888E-2</v>
          </cell>
          <cell r="S1361" t="str">
            <v xml:space="preserve">ONGOING LOADING </v>
          </cell>
          <cell r="U1361">
            <v>0.54166666666666663</v>
          </cell>
          <cell r="V1361" t="str">
            <v xml:space="preserve">CONTINUE LOADING </v>
          </cell>
          <cell r="X1361">
            <v>0.41666666666666669</v>
          </cell>
          <cell r="Y1361" t="str">
            <v>UNABLE TO RESUME LOADING</v>
          </cell>
          <cell r="AD1361">
            <v>0.5</v>
          </cell>
          <cell r="AE1361" t="str">
            <v>LUNCH BREAK</v>
          </cell>
        </row>
        <row r="1362">
          <cell r="C1362">
            <v>0.46388888888888891</v>
          </cell>
          <cell r="D1362" t="str">
            <v xml:space="preserve">CONTINUE LOADING </v>
          </cell>
          <cell r="F1362">
            <v>0.45833333333333331</v>
          </cell>
          <cell r="G1362" t="str">
            <v xml:space="preserve">CONTINUE LOADING </v>
          </cell>
          <cell r="O1362">
            <v>0.54166666666666663</v>
          </cell>
          <cell r="P1362" t="str">
            <v xml:space="preserve">CONTINUE LOADING </v>
          </cell>
          <cell r="R1362">
            <v>3.8194444444444448E-2</v>
          </cell>
          <cell r="S1362" t="str">
            <v xml:space="preserve">CONTINUE LOADING </v>
          </cell>
          <cell r="U1362">
            <v>0.61111111111111116</v>
          </cell>
          <cell r="V1362" t="str">
            <v xml:space="preserve">CONTINUE LOADING </v>
          </cell>
          <cell r="X1362">
            <v>0.45833333333333331</v>
          </cell>
          <cell r="Y1362" t="str">
            <v>UNABLE TO RESUME LOADING</v>
          </cell>
          <cell r="AD1362">
            <v>0.54166666666666663</v>
          </cell>
          <cell r="AE1362" t="str">
            <v>CONTINUE LOADING</v>
          </cell>
        </row>
        <row r="1363">
          <cell r="C1363">
            <v>0.5</v>
          </cell>
          <cell r="D1363" t="str">
            <v>LUNCH BREAK</v>
          </cell>
          <cell r="F1363">
            <v>0.5</v>
          </cell>
          <cell r="G1363" t="str">
            <v>LUNCH BREAK</v>
          </cell>
          <cell r="O1363">
            <v>0.62152777777777779</v>
          </cell>
          <cell r="P1363" t="str">
            <v xml:space="preserve">CONTINUE LOADING </v>
          </cell>
          <cell r="R1363">
            <v>6.25E-2</v>
          </cell>
          <cell r="S1363" t="str">
            <v xml:space="preserve">ONGOING LOADING </v>
          </cell>
          <cell r="U1363">
            <v>0.66736111111111107</v>
          </cell>
          <cell r="V1363" t="str">
            <v xml:space="preserve">CONTINUE LOADING </v>
          </cell>
          <cell r="X1363">
            <v>0.5</v>
          </cell>
          <cell r="Y1363" t="str">
            <v>LUNCH BREAK</v>
          </cell>
          <cell r="AD1363">
            <v>0.57986111111111116</v>
          </cell>
          <cell r="AE1363" t="str">
            <v>CONTINUE LOADING</v>
          </cell>
        </row>
        <row r="1364">
          <cell r="C1364">
            <v>0.54166666666666663</v>
          </cell>
          <cell r="D1364" t="str">
            <v xml:space="preserve">CONTINUE LOADING </v>
          </cell>
          <cell r="F1364">
            <v>0.54166666666666663</v>
          </cell>
          <cell r="G1364" t="str">
            <v>UNABLE TO RESUME LOADING</v>
          </cell>
          <cell r="O1364">
            <v>0.65625</v>
          </cell>
          <cell r="P1364" t="str">
            <v xml:space="preserve">CONTINUE LOADING </v>
          </cell>
          <cell r="R1364">
            <v>0.10416666666666667</v>
          </cell>
          <cell r="S1364" t="str">
            <v xml:space="preserve">CONTINUE LOADING </v>
          </cell>
          <cell r="U1364">
            <v>0.79166666666666663</v>
          </cell>
          <cell r="V1364" t="str">
            <v>KY TOOLBOX</v>
          </cell>
          <cell r="X1364">
            <v>0.54166666666666663</v>
          </cell>
          <cell r="Y1364" t="str">
            <v>UNABLE TO RESUME LOADING</v>
          </cell>
          <cell r="AD1364">
            <v>0.61111111111111116</v>
          </cell>
          <cell r="AE1364" t="str">
            <v>CONTINUE LOADING</v>
          </cell>
        </row>
        <row r="1365">
          <cell r="C1365">
            <v>0.56111111111111112</v>
          </cell>
          <cell r="D1365" t="str">
            <v xml:space="preserve">CONTINUE LOADING </v>
          </cell>
          <cell r="F1365">
            <v>0.58333333333333337</v>
          </cell>
          <cell r="G1365" t="str">
            <v>UNABLE TO RESUME LOADING</v>
          </cell>
          <cell r="O1365">
            <v>0.68680555555555556</v>
          </cell>
          <cell r="P1365" t="str">
            <v xml:space="preserve">CONTINUE LOADING </v>
          </cell>
          <cell r="R1365">
            <v>0.16666666666666666</v>
          </cell>
          <cell r="S1365" t="str">
            <v xml:space="preserve">STOP LOADING </v>
          </cell>
          <cell r="U1365">
            <v>0.83611111111111114</v>
          </cell>
          <cell r="V1365" t="str">
            <v xml:space="preserve">RESUME LOADING </v>
          </cell>
          <cell r="X1365">
            <v>0.58333333333333337</v>
          </cell>
          <cell r="Y1365" t="str">
            <v>UNABLE TO RESUME LOADING</v>
          </cell>
          <cell r="AD1365">
            <v>0.65</v>
          </cell>
          <cell r="AE1365" t="str">
            <v>CONTINUE LOADING</v>
          </cell>
        </row>
        <row r="1366">
          <cell r="C1366">
            <v>0.61805555555555558</v>
          </cell>
          <cell r="D1366" t="str">
            <v xml:space="preserve">CONTINUE LOADING </v>
          </cell>
          <cell r="F1366">
            <v>0.625</v>
          </cell>
          <cell r="G1366" t="str">
            <v>UNABLE TO RESUME LOADING</v>
          </cell>
          <cell r="O1366">
            <v>0.79166666666666663</v>
          </cell>
          <cell r="P1366" t="str">
            <v>KY TOOLBOX</v>
          </cell>
          <cell r="U1366">
            <v>0.86041666666666672</v>
          </cell>
          <cell r="V1366" t="str">
            <v xml:space="preserve">ONGOING LOADING </v>
          </cell>
          <cell r="X1366">
            <v>0.625</v>
          </cell>
          <cell r="Y1366" t="str">
            <v>UNABLE TO RESUME LOADING</v>
          </cell>
          <cell r="AD1366">
            <v>0.67152777777777772</v>
          </cell>
          <cell r="AE1366" t="str">
            <v>CONTINUE LOADING</v>
          </cell>
        </row>
        <row r="1367">
          <cell r="C1367">
            <v>0.63888888888888884</v>
          </cell>
          <cell r="D1367" t="str">
            <v xml:space="preserve">CONTINUE LOADING </v>
          </cell>
          <cell r="F1367">
            <v>0.69444444444444442</v>
          </cell>
          <cell r="G1367" t="str">
            <v xml:space="preserve">CONTINUE LOADING </v>
          </cell>
          <cell r="O1367">
            <v>0.83333333333333337</v>
          </cell>
          <cell r="P1367" t="str">
            <v>WAITING SHORECRANE</v>
          </cell>
          <cell r="U1367">
            <v>0.88541666666666663</v>
          </cell>
          <cell r="V1367" t="str">
            <v xml:space="preserve">CONTINUE LOADING </v>
          </cell>
          <cell r="X1367">
            <v>0.79166666666666663</v>
          </cell>
          <cell r="Y1367" t="str">
            <v>VACANT</v>
          </cell>
          <cell r="AD1367">
            <v>0.7104166666666667</v>
          </cell>
          <cell r="AE1367" t="str">
            <v>CONTINUE LOADING</v>
          </cell>
        </row>
        <row r="1368">
          <cell r="C1368">
            <v>0.6875</v>
          </cell>
          <cell r="D1368" t="str">
            <v xml:space="preserve">CONTINUE LOADING </v>
          </cell>
          <cell r="F1368">
            <v>0.72291666666666665</v>
          </cell>
          <cell r="G1368" t="str">
            <v xml:space="preserve">CONTINUE LOADING </v>
          </cell>
          <cell r="O1368">
            <v>0.95833333333333337</v>
          </cell>
          <cell r="P1368" t="str">
            <v>RESUME LOADING</v>
          </cell>
          <cell r="U1368">
            <v>0.91041666666666665</v>
          </cell>
          <cell r="V1368" t="str">
            <v>LOADING COMPLETE</v>
          </cell>
          <cell r="AD1368">
            <v>0.79166666666666663</v>
          </cell>
          <cell r="AE1368" t="str">
            <v>KY TOOLBOX</v>
          </cell>
        </row>
        <row r="1369">
          <cell r="C1369">
            <v>0.7104166666666667</v>
          </cell>
          <cell r="D1369" t="str">
            <v xml:space="preserve">CONTINUE LOADING </v>
          </cell>
          <cell r="F1369">
            <v>0.79166666666666663</v>
          </cell>
          <cell r="G1369" t="str">
            <v>KY TOOLBOX</v>
          </cell>
          <cell r="O1369">
            <v>0.98263888888888884</v>
          </cell>
          <cell r="P1369" t="str">
            <v xml:space="preserve">ONGOING LOADING </v>
          </cell>
          <cell r="AD1369">
            <v>0.83333333333333337</v>
          </cell>
          <cell r="AE1369" t="str">
            <v>WAITING VACANT SHORECRANE</v>
          </cell>
        </row>
        <row r="1370">
          <cell r="C1370">
            <v>0.79166666666666663</v>
          </cell>
          <cell r="D1370" t="str">
            <v>KY TOOLBOX</v>
          </cell>
          <cell r="F1370">
            <v>0.82847222222222228</v>
          </cell>
          <cell r="G1370" t="str">
            <v xml:space="preserve">RESUME LOADING </v>
          </cell>
          <cell r="O1370">
            <v>4.1666666666666664E-2</v>
          </cell>
          <cell r="P1370" t="str">
            <v>WAITING FL ONBOARD</v>
          </cell>
          <cell r="AD1370">
            <v>0.91666666666666663</v>
          </cell>
          <cell r="AE1370" t="str">
            <v>FL ONBOARD READY</v>
          </cell>
        </row>
        <row r="1371">
          <cell r="C1371">
            <v>0.83194444444444449</v>
          </cell>
          <cell r="D1371" t="str">
            <v xml:space="preserve">RESUME LOADING </v>
          </cell>
          <cell r="F1371">
            <v>0.84513888888888888</v>
          </cell>
          <cell r="G1371" t="str">
            <v xml:space="preserve">ONGOING LOADING </v>
          </cell>
          <cell r="O1371">
            <v>6.25E-2</v>
          </cell>
          <cell r="P1371" t="str">
            <v>FL ONBOARD READY</v>
          </cell>
          <cell r="AD1371">
            <v>0.93333333333333335</v>
          </cell>
          <cell r="AE1371" t="str">
            <v xml:space="preserve">RESUME LOADING </v>
          </cell>
        </row>
        <row r="1372">
          <cell r="C1372">
            <v>0.85486111111111107</v>
          </cell>
          <cell r="D1372" t="str">
            <v xml:space="preserve">ONGOING LOADING </v>
          </cell>
          <cell r="F1372">
            <v>0.87083333333333335</v>
          </cell>
          <cell r="G1372" t="str">
            <v xml:space="preserve">CONTINUE LOADING </v>
          </cell>
          <cell r="O1372">
            <v>8.5416666666666669E-2</v>
          </cell>
          <cell r="P1372" t="str">
            <v xml:space="preserve">RESUME LOADING </v>
          </cell>
          <cell r="AD1372">
            <v>0.9506944444444444</v>
          </cell>
          <cell r="AE1372" t="str">
            <v xml:space="preserve">ONGOING LOADING </v>
          </cell>
        </row>
        <row r="1373">
          <cell r="C1373">
            <v>0.875</v>
          </cell>
          <cell r="D1373" t="str">
            <v xml:space="preserve">TEMP STOP LOADING </v>
          </cell>
          <cell r="F1373">
            <v>0.88541666666666663</v>
          </cell>
          <cell r="G1373" t="str">
            <v xml:space="preserve">ONGOING LOADING </v>
          </cell>
          <cell r="O1373">
            <v>0.1076388888888889</v>
          </cell>
          <cell r="P1373" t="str">
            <v xml:space="preserve">ONGOING LOADING </v>
          </cell>
          <cell r="AD1373">
            <v>0.96805555555555556</v>
          </cell>
          <cell r="AE1373" t="str">
            <v>CONTINUE LOADING</v>
          </cell>
        </row>
        <row r="1374">
          <cell r="C1374">
            <v>0.94305555555555554</v>
          </cell>
          <cell r="D1374" t="str">
            <v xml:space="preserve">RESUME LOADING </v>
          </cell>
          <cell r="F1374">
            <v>0.9145833333333333</v>
          </cell>
          <cell r="G1374" t="str">
            <v xml:space="preserve">CONTINUE LOADING </v>
          </cell>
          <cell r="O1374">
            <v>0.21597222222222223</v>
          </cell>
          <cell r="P1374" t="str">
            <v xml:space="preserve">CONTINUE LOADING </v>
          </cell>
          <cell r="AD1374">
            <v>0.98333333333333328</v>
          </cell>
          <cell r="AE1374" t="str">
            <v xml:space="preserve">ONGOING LOADING </v>
          </cell>
        </row>
        <row r="1375">
          <cell r="C1375">
            <v>0.96458333333333335</v>
          </cell>
          <cell r="D1375" t="str">
            <v xml:space="preserve">ONGOING LOADING </v>
          </cell>
          <cell r="F1375">
            <v>0.93333333333333335</v>
          </cell>
          <cell r="G1375" t="str">
            <v xml:space="preserve">ONGOING LOADING </v>
          </cell>
          <cell r="O1375">
            <v>0.25</v>
          </cell>
          <cell r="P1375" t="str">
            <v>VESSEL BREAK</v>
          </cell>
          <cell r="AD1375">
            <v>0.05</v>
          </cell>
          <cell r="AE1375" t="str">
            <v>CONTINUE LOADING</v>
          </cell>
        </row>
        <row r="1376">
          <cell r="C1376">
            <v>4.3055555555555555E-2</v>
          </cell>
          <cell r="D1376" t="str">
            <v xml:space="preserve">CONTINUE LOADING </v>
          </cell>
          <cell r="F1376">
            <v>0.95138888888888884</v>
          </cell>
          <cell r="G1376" t="str">
            <v>LOADING COMPLETE</v>
          </cell>
          <cell r="AD1376">
            <v>6.25E-2</v>
          </cell>
          <cell r="AE1376" t="str">
            <v>WAITING SC TO PULLOUT FL</v>
          </cell>
        </row>
        <row r="1377">
          <cell r="C1377">
            <v>6.8750000000000006E-2</v>
          </cell>
          <cell r="D1377" t="str">
            <v xml:space="preserve">ONGOING LOADING </v>
          </cell>
          <cell r="F1377">
            <v>0.97916666666666663</v>
          </cell>
          <cell r="G1377" t="str">
            <v>VESSEL PULLED OUT</v>
          </cell>
          <cell r="AD1377">
            <v>0.21527777777777779</v>
          </cell>
          <cell r="AE1377" t="str">
            <v xml:space="preserve">RESUME LOADING </v>
          </cell>
        </row>
        <row r="1378">
          <cell r="C1378">
            <v>0.10069444444444445</v>
          </cell>
          <cell r="D1378" t="str">
            <v xml:space="preserve">CONTINUE LOADING </v>
          </cell>
          <cell r="AD1378">
            <v>0.25</v>
          </cell>
          <cell r="AE1378" t="str">
            <v>VESSEL BREAK</v>
          </cell>
        </row>
        <row r="1379">
          <cell r="C1379">
            <v>0.13541666666666666</v>
          </cell>
          <cell r="D1379" t="str">
            <v xml:space="preserve">ONGOING LOADING </v>
          </cell>
        </row>
        <row r="1380">
          <cell r="C1380">
            <v>0.2013888888888889</v>
          </cell>
          <cell r="D1380" t="str">
            <v xml:space="preserve">CONTINUE LOADING </v>
          </cell>
        </row>
        <row r="1381">
          <cell r="C1381">
            <v>0.21527777777777779</v>
          </cell>
          <cell r="D1381" t="str">
            <v xml:space="preserve">ONGOING LOADING </v>
          </cell>
        </row>
        <row r="1382">
          <cell r="C1382">
            <v>0.25</v>
          </cell>
          <cell r="D1382" t="str">
            <v>VESSEL BREAK</v>
          </cell>
        </row>
        <row r="1383">
          <cell r="D1383" t="str">
            <v>JOHANNAH 7</v>
          </cell>
          <cell r="G1383" t="str">
            <v>VACANT</v>
          </cell>
          <cell r="J1383" t="str">
            <v>VACANT</v>
          </cell>
          <cell r="M1383" t="str">
            <v>VACANT</v>
          </cell>
          <cell r="P1383" t="str">
            <v>LADY OF COURAGE</v>
          </cell>
          <cell r="S1383" t="str">
            <v>LADY ARMOR</v>
          </cell>
          <cell r="V1383" t="str">
            <v>ADOLFO SR</v>
          </cell>
          <cell r="Y1383" t="str">
            <v>VACANT</v>
          </cell>
          <cell r="AB1383" t="str">
            <v>STAR FREEDOM</v>
          </cell>
          <cell r="AE1383" t="str">
            <v>NAPOLI</v>
          </cell>
          <cell r="AH1383" t="str">
            <v>VACANT</v>
          </cell>
        </row>
        <row r="1384">
          <cell r="C1384">
            <v>0.29166666666666669</v>
          </cell>
          <cell r="D1384" t="str">
            <v>KY TOOLBOX</v>
          </cell>
          <cell r="F1384" t="str">
            <v xml:space="preserve">      </v>
          </cell>
          <cell r="O1384">
            <v>0.29166666666666669</v>
          </cell>
          <cell r="P1384" t="str">
            <v>KY TOOLBOX</v>
          </cell>
          <cell r="R1384">
            <v>0.29166666666666669</v>
          </cell>
          <cell r="S1384" t="str">
            <v>KY TOOLBOX</v>
          </cell>
          <cell r="U1384">
            <v>0.38263888888888886</v>
          </cell>
          <cell r="V1384" t="str">
            <v xml:space="preserve">WAITING  MATERIALS </v>
          </cell>
          <cell r="X1384" t="str">
            <v xml:space="preserve">   </v>
          </cell>
          <cell r="Y1384" t="str">
            <v xml:space="preserve">  </v>
          </cell>
          <cell r="AA1384">
            <v>0.3263888888888889</v>
          </cell>
          <cell r="AB1384" t="str">
            <v xml:space="preserve">WAITING  MATERIALS </v>
          </cell>
          <cell r="AD1384">
            <v>0.29166666666666669</v>
          </cell>
          <cell r="AE1384" t="str">
            <v>KY TOOLBOX</v>
          </cell>
          <cell r="AG1384" t="str">
            <v xml:space="preserve">    </v>
          </cell>
          <cell r="AH1384" t="str">
            <v xml:space="preserve">  </v>
          </cell>
        </row>
        <row r="1385">
          <cell r="C1385">
            <v>0.3125</v>
          </cell>
          <cell r="D1385" t="str">
            <v>ONGOING RESUME LOADING</v>
          </cell>
          <cell r="O1385">
            <v>0.3125</v>
          </cell>
          <cell r="P1385" t="str">
            <v>ONGOING RESUME LOADING</v>
          </cell>
          <cell r="R1385">
            <v>0.3125</v>
          </cell>
          <cell r="S1385" t="str">
            <v>ONGOING RESUME LOADING</v>
          </cell>
          <cell r="U1385">
            <v>0.41666666666666669</v>
          </cell>
          <cell r="V1385" t="str">
            <v xml:space="preserve">WAITING  MATERIALS </v>
          </cell>
          <cell r="AA1385">
            <v>0.33333333333333331</v>
          </cell>
          <cell r="AB1385" t="str">
            <v xml:space="preserve">WAITING  MATERIALS </v>
          </cell>
          <cell r="AD1385">
            <v>0.3125</v>
          </cell>
          <cell r="AE1385" t="str">
            <v>ONGOING RESUME LOADING</v>
          </cell>
        </row>
        <row r="1386">
          <cell r="C1386">
            <v>0.36180555555555555</v>
          </cell>
          <cell r="D1386" t="str">
            <v xml:space="preserve">CONTINUE LOADING </v>
          </cell>
          <cell r="O1386">
            <v>0.33333333333333331</v>
          </cell>
          <cell r="P1386" t="str">
            <v xml:space="preserve">CONTINUE LOADING </v>
          </cell>
          <cell r="R1386">
            <v>0.33333333333333331</v>
          </cell>
          <cell r="S1386" t="str">
            <v xml:space="preserve">CONTINUE LOADING </v>
          </cell>
          <cell r="U1386">
            <v>0.45833333333333331</v>
          </cell>
          <cell r="V1386" t="str">
            <v xml:space="preserve">WAITING  MATERIALS </v>
          </cell>
          <cell r="AA1386">
            <v>0.375</v>
          </cell>
          <cell r="AB1386" t="str">
            <v xml:space="preserve">WAITING  MATERIALS </v>
          </cell>
          <cell r="AD1386">
            <v>0.33680555555555558</v>
          </cell>
          <cell r="AE1386" t="str">
            <v>CONTINUE LOADING</v>
          </cell>
        </row>
        <row r="1387">
          <cell r="C1387">
            <v>0.375</v>
          </cell>
          <cell r="D1387" t="str">
            <v xml:space="preserve">CONTINUE LOADING </v>
          </cell>
          <cell r="O1387">
            <v>0.375</v>
          </cell>
          <cell r="P1387" t="str">
            <v xml:space="preserve">CONTINUE LOADING </v>
          </cell>
          <cell r="R1387">
            <v>0.375</v>
          </cell>
          <cell r="S1387" t="str">
            <v xml:space="preserve">CONTINUE LOADING </v>
          </cell>
          <cell r="U1387">
            <v>0.5</v>
          </cell>
          <cell r="V1387" t="str">
            <v>LUNCH BREAK</v>
          </cell>
          <cell r="AA1387">
            <v>0.41666666666666669</v>
          </cell>
          <cell r="AB1387" t="str">
            <v xml:space="preserve">WAITING  MATERIALS </v>
          </cell>
          <cell r="AD1387">
            <v>0.375</v>
          </cell>
          <cell r="AE1387" t="str">
            <v>CONTINUE LOADING</v>
          </cell>
        </row>
        <row r="1388">
          <cell r="C1388">
            <v>0.42708333333333331</v>
          </cell>
          <cell r="D1388" t="str">
            <v xml:space="preserve">CONTINUE LOADING </v>
          </cell>
          <cell r="O1388">
            <v>0.44861111111111113</v>
          </cell>
          <cell r="P1388" t="str">
            <v xml:space="preserve">CONTINUE LOADING </v>
          </cell>
          <cell r="R1388">
            <v>0.41666666666666669</v>
          </cell>
          <cell r="S1388" t="str">
            <v xml:space="preserve">CONTINUE LOADING </v>
          </cell>
          <cell r="U1388">
            <v>0.54166666666666663</v>
          </cell>
          <cell r="V1388" t="str">
            <v xml:space="preserve">WAITING  MATERIALS </v>
          </cell>
          <cell r="AA1388">
            <v>0.45833333333333331</v>
          </cell>
          <cell r="AB1388" t="str">
            <v xml:space="preserve">WAITING  MATERIALS </v>
          </cell>
          <cell r="AD1388">
            <v>0.41805555555555557</v>
          </cell>
          <cell r="AE1388" t="str">
            <v>CONTINUE LOADING</v>
          </cell>
        </row>
        <row r="1389">
          <cell r="C1389">
            <v>0.47499999999999998</v>
          </cell>
          <cell r="D1389" t="str">
            <v xml:space="preserve">CONTINUE LOADING </v>
          </cell>
          <cell r="O1389">
            <v>0.47152777777777777</v>
          </cell>
          <cell r="P1389" t="str">
            <v xml:space="preserve">CONTINUE LOADING </v>
          </cell>
          <cell r="R1389">
            <v>0.46527777777777779</v>
          </cell>
          <cell r="S1389" t="str">
            <v xml:space="preserve">CONTINUE LOADING </v>
          </cell>
          <cell r="U1389">
            <v>0.58333333333333337</v>
          </cell>
          <cell r="V1389" t="str">
            <v xml:space="preserve">WAITING  MATERIALS </v>
          </cell>
          <cell r="AA1389">
            <v>0.5</v>
          </cell>
          <cell r="AB1389" t="str">
            <v>LUNCH BREAK</v>
          </cell>
          <cell r="AD1389">
            <v>0.46666666666666667</v>
          </cell>
          <cell r="AE1389" t="str">
            <v>CONTINUE LOADING</v>
          </cell>
        </row>
        <row r="1390">
          <cell r="C1390">
            <v>0.5</v>
          </cell>
          <cell r="D1390" t="str">
            <v>LUNCH BREAK</v>
          </cell>
          <cell r="O1390">
            <v>0.5</v>
          </cell>
          <cell r="P1390" t="str">
            <v>LUNCH BREAK</v>
          </cell>
          <cell r="R1390">
            <v>0.5</v>
          </cell>
          <cell r="S1390" t="str">
            <v>LUNCH BREAK</v>
          </cell>
          <cell r="U1390">
            <v>0.625</v>
          </cell>
          <cell r="V1390" t="str">
            <v xml:space="preserve">WAITING  MATERIALS </v>
          </cell>
          <cell r="AA1390">
            <v>0.54166666666666663</v>
          </cell>
          <cell r="AB1390" t="str">
            <v>WAITING ONBOARD FL</v>
          </cell>
          <cell r="AD1390">
            <v>0.5</v>
          </cell>
          <cell r="AE1390" t="str">
            <v>LUNCH BREAK</v>
          </cell>
        </row>
        <row r="1391">
          <cell r="C1391">
            <v>0.54166666666666663</v>
          </cell>
          <cell r="D1391" t="str">
            <v xml:space="preserve">STOP LOADING </v>
          </cell>
          <cell r="O1391">
            <v>0.54166666666666663</v>
          </cell>
          <cell r="P1391" t="str">
            <v>CONTINUE LOADING</v>
          </cell>
          <cell r="R1391">
            <v>0.54166666666666663</v>
          </cell>
          <cell r="S1391" t="str">
            <v>CONTINUE LOADING</v>
          </cell>
          <cell r="U1391">
            <v>0.64583333333333337</v>
          </cell>
          <cell r="V1391" t="str">
            <v>NO COMMENCE</v>
          </cell>
          <cell r="AA1391">
            <v>0.58333333333333337</v>
          </cell>
          <cell r="AB1391" t="str">
            <v>ONGOING  ONBOARD</v>
          </cell>
          <cell r="AD1391">
            <v>0.54166666666666663</v>
          </cell>
          <cell r="AE1391" t="str">
            <v>CONTINUE LOADING</v>
          </cell>
        </row>
        <row r="1392">
          <cell r="C1392">
            <v>0.58333333333333337</v>
          </cell>
          <cell r="D1392" t="str">
            <v xml:space="preserve">STOP LOADING </v>
          </cell>
          <cell r="O1392">
            <v>0.58819444444444446</v>
          </cell>
          <cell r="P1392" t="str">
            <v>CONTINUE LOADING</v>
          </cell>
          <cell r="R1392">
            <v>0.60416666666666663</v>
          </cell>
          <cell r="S1392" t="str">
            <v>CONTINUE LOADING</v>
          </cell>
          <cell r="U1392">
            <v>0.67361111111111116</v>
          </cell>
          <cell r="V1392" t="str">
            <v>NO COMMENCE</v>
          </cell>
          <cell r="AA1392">
            <v>0.625</v>
          </cell>
          <cell r="AB1392" t="str">
            <v>NO COMMENCE</v>
          </cell>
          <cell r="AD1392">
            <v>0.58472222222222225</v>
          </cell>
          <cell r="AE1392" t="str">
            <v>CONTINUE LOADING</v>
          </cell>
        </row>
        <row r="1393">
          <cell r="C1393">
            <v>0.625</v>
          </cell>
          <cell r="D1393" t="str">
            <v xml:space="preserve">STOP LOADING </v>
          </cell>
          <cell r="O1393">
            <v>0.62847222222222221</v>
          </cell>
          <cell r="P1393" t="str">
            <v>CONTINUE LOADING</v>
          </cell>
          <cell r="R1393">
            <v>0.63541666666666663</v>
          </cell>
          <cell r="S1393" t="str">
            <v>CONTINUE LOADING</v>
          </cell>
          <cell r="U1393">
            <v>0.72916666666666663</v>
          </cell>
          <cell r="V1393" t="str">
            <v>NO COMMENCE</v>
          </cell>
          <cell r="AA1393">
            <v>0.64583333333333337</v>
          </cell>
          <cell r="AB1393" t="str">
            <v xml:space="preserve">COMMENCE LOADING </v>
          </cell>
          <cell r="AD1393">
            <v>0.62708333333333333</v>
          </cell>
          <cell r="AE1393" t="str">
            <v>STOP LOADING</v>
          </cell>
        </row>
        <row r="1394">
          <cell r="C1394">
            <v>0.66666666666666663</v>
          </cell>
          <cell r="D1394" t="str">
            <v xml:space="preserve">STOP LOADING </v>
          </cell>
          <cell r="O1394">
            <v>0.66666666666666663</v>
          </cell>
          <cell r="P1394" t="str">
            <v>CONTINUE LOADING</v>
          </cell>
          <cell r="R1394">
            <v>0.70138888888888884</v>
          </cell>
          <cell r="S1394" t="str">
            <v xml:space="preserve">CONTINUE LOADING </v>
          </cell>
          <cell r="U1394">
            <v>0.75</v>
          </cell>
          <cell r="V1394" t="str">
            <v>VESSEL BREAK</v>
          </cell>
          <cell r="AA1394">
            <v>0.67013888888888884</v>
          </cell>
          <cell r="AB1394" t="str">
            <v>CONTINUE LOADING</v>
          </cell>
          <cell r="AD1394">
            <v>0.68055555555555558</v>
          </cell>
          <cell r="AE1394" t="str">
            <v>STOP LOADING</v>
          </cell>
        </row>
        <row r="1395">
          <cell r="C1395">
            <v>0.72916666666666663</v>
          </cell>
          <cell r="D1395" t="str">
            <v xml:space="preserve">STOP LOADING </v>
          </cell>
          <cell r="O1395">
            <v>0.70833333333333337</v>
          </cell>
          <cell r="P1395" t="str">
            <v xml:space="preserve">CONTINUE LOADING </v>
          </cell>
          <cell r="R1395">
            <v>0.72499999999999998</v>
          </cell>
          <cell r="S1395" t="str">
            <v>CONTINUE LOADING</v>
          </cell>
          <cell r="U1395">
            <v>0.79166666666666663</v>
          </cell>
          <cell r="V1395" t="str">
            <v>KY PRE LOADING PREP</v>
          </cell>
          <cell r="AA1395">
            <v>0.72083333333333333</v>
          </cell>
          <cell r="AB1395" t="str">
            <v xml:space="preserve">CONTINUE LOADING </v>
          </cell>
          <cell r="AD1395">
            <v>0.72916666666666663</v>
          </cell>
          <cell r="AE1395" t="str">
            <v>STOP LOADING</v>
          </cell>
        </row>
        <row r="1396">
          <cell r="C1396">
            <v>0.75</v>
          </cell>
          <cell r="D1396" t="str">
            <v>VESSEL BREAK</v>
          </cell>
          <cell r="O1396">
            <v>0.75</v>
          </cell>
          <cell r="P1396" t="str">
            <v>VESSEL BREAK</v>
          </cell>
          <cell r="R1396">
            <v>0.75</v>
          </cell>
          <cell r="S1396" t="str">
            <v>VESSEL BREAK</v>
          </cell>
          <cell r="U1396">
            <v>0.85416666666666663</v>
          </cell>
          <cell r="V1396" t="str">
            <v xml:space="preserve">COMMENCE LOADING </v>
          </cell>
          <cell r="AA1396">
            <v>0.75</v>
          </cell>
          <cell r="AB1396" t="str">
            <v>VESSEL BREAK</v>
          </cell>
          <cell r="AD1396">
            <v>0.75</v>
          </cell>
          <cell r="AE1396" t="str">
            <v>VESSEL BREAK</v>
          </cell>
        </row>
        <row r="1397">
          <cell r="C1397">
            <v>0.79166666666666663</v>
          </cell>
          <cell r="D1397" t="str">
            <v>KY PRE LOADING PREP</v>
          </cell>
          <cell r="O1397">
            <v>0.79166666666666663</v>
          </cell>
          <cell r="P1397" t="str">
            <v>KY PRE LOADING PREP</v>
          </cell>
          <cell r="R1397">
            <v>0.79166666666666663</v>
          </cell>
          <cell r="S1397" t="str">
            <v>KY PRE LOADING PREP</v>
          </cell>
          <cell r="U1397">
            <v>0.90069444444444446</v>
          </cell>
          <cell r="V1397" t="str">
            <v xml:space="preserve">ONGOING LOADING </v>
          </cell>
          <cell r="AA1397">
            <v>0.79166666666666663</v>
          </cell>
          <cell r="AB1397" t="str">
            <v>KY PRE LOADING PREP</v>
          </cell>
          <cell r="AD1397">
            <v>0.79166666666666663</v>
          </cell>
          <cell r="AE1397" t="str">
            <v>KY PRE LOADING PREP</v>
          </cell>
        </row>
        <row r="1398">
          <cell r="C1398">
            <v>0.8125</v>
          </cell>
          <cell r="D1398" t="str">
            <v>UNABLE TO RESUME</v>
          </cell>
          <cell r="O1398">
            <v>0.87083333333333335</v>
          </cell>
          <cell r="P1398" t="str">
            <v xml:space="preserve">RESUME LOADING </v>
          </cell>
          <cell r="R1398">
            <v>0.83750000000000002</v>
          </cell>
          <cell r="S1398" t="str">
            <v xml:space="preserve">RESUME LOADING </v>
          </cell>
          <cell r="U1398">
            <v>0</v>
          </cell>
          <cell r="V1398" t="str">
            <v>STEVEDORES BREAK</v>
          </cell>
          <cell r="AA1398">
            <v>0.81736111111111109</v>
          </cell>
          <cell r="AB1398" t="str">
            <v xml:space="preserve">RESUME LOADING </v>
          </cell>
          <cell r="AD1398">
            <v>0.83125000000000004</v>
          </cell>
          <cell r="AE1398" t="str">
            <v xml:space="preserve">RESUME LOADING </v>
          </cell>
        </row>
        <row r="1399">
          <cell r="C1399">
            <v>0.85833333333333328</v>
          </cell>
          <cell r="D1399" t="str">
            <v xml:space="preserve">RESUME LOADING </v>
          </cell>
          <cell r="O1399">
            <v>0.9375</v>
          </cell>
          <cell r="P1399" t="str">
            <v xml:space="preserve">ONGOING LOADING </v>
          </cell>
          <cell r="R1399">
            <v>0.88194444444444442</v>
          </cell>
          <cell r="S1399" t="str">
            <v xml:space="preserve">ONGOING LOADING </v>
          </cell>
          <cell r="U1399">
            <v>3.6111111111111108E-2</v>
          </cell>
          <cell r="V1399" t="str">
            <v xml:space="preserve">RESUME LOADING </v>
          </cell>
          <cell r="AA1399">
            <v>0.83125000000000004</v>
          </cell>
          <cell r="AB1399" t="str">
            <v>ONGOING LOADING</v>
          </cell>
          <cell r="AD1399">
            <v>0.84861111111111109</v>
          </cell>
          <cell r="AE1399" t="str">
            <v xml:space="preserve">ONGOING LOADING </v>
          </cell>
        </row>
        <row r="1400">
          <cell r="C1400">
            <v>0.89513888888888893</v>
          </cell>
          <cell r="D1400" t="str">
            <v xml:space="preserve">ONGOING LOADING </v>
          </cell>
          <cell r="O1400">
            <v>0.96388888888888891</v>
          </cell>
          <cell r="P1400" t="str">
            <v xml:space="preserve">CONTINUE LOADING </v>
          </cell>
          <cell r="R1400">
            <v>0.93402777777777779</v>
          </cell>
          <cell r="S1400" t="str">
            <v xml:space="preserve">CONTINUE LOADING </v>
          </cell>
          <cell r="U1400">
            <v>0.1423611111111111</v>
          </cell>
          <cell r="V1400" t="str">
            <v xml:space="preserve">CONTINUE LOADING </v>
          </cell>
          <cell r="AA1400">
            <v>0.85486111111111107</v>
          </cell>
          <cell r="AB1400" t="str">
            <v xml:space="preserve">CONTINUE LOADING </v>
          </cell>
          <cell r="AD1400">
            <v>0.87013888888888891</v>
          </cell>
          <cell r="AE1400" t="str">
            <v xml:space="preserve">CONTINUE LOADING </v>
          </cell>
        </row>
        <row r="1401">
          <cell r="C1401">
            <v>0.91666666666666663</v>
          </cell>
          <cell r="D1401" t="str">
            <v xml:space="preserve">CONTINUE LOADING </v>
          </cell>
          <cell r="O1401">
            <v>0</v>
          </cell>
          <cell r="P1401" t="str">
            <v>STEVEDORES BREAK</v>
          </cell>
          <cell r="R1401">
            <v>0.94791666666666663</v>
          </cell>
          <cell r="S1401" t="str">
            <v>LOADING COMPLETE</v>
          </cell>
          <cell r="U1401">
            <v>0.25</v>
          </cell>
          <cell r="V1401" t="str">
            <v>VESSEL BREAK</v>
          </cell>
          <cell r="AA1401">
            <v>0.87291666666666667</v>
          </cell>
          <cell r="AB1401" t="str">
            <v xml:space="preserve">ONGOING LOADING </v>
          </cell>
          <cell r="AD1401">
            <v>0.90347222222222223</v>
          </cell>
          <cell r="AE1401" t="str">
            <v xml:space="preserve">ONGOING LOADING </v>
          </cell>
        </row>
        <row r="1402">
          <cell r="C1402">
            <v>0.94444444444444442</v>
          </cell>
          <cell r="D1402" t="str">
            <v xml:space="preserve">ONGOING LOADING </v>
          </cell>
          <cell r="O1402">
            <v>8.1944444444444445E-2</v>
          </cell>
          <cell r="P1402" t="str">
            <v xml:space="preserve">RESUME LOADING </v>
          </cell>
          <cell r="AA1402">
            <v>0.89166666666666672</v>
          </cell>
          <cell r="AB1402" t="str">
            <v xml:space="preserve">CONTINUE LOADING </v>
          </cell>
          <cell r="AD1402">
            <v>0.92638888888888893</v>
          </cell>
          <cell r="AE1402" t="str">
            <v xml:space="preserve">CONTINUE LOADING </v>
          </cell>
        </row>
        <row r="1403">
          <cell r="C1403">
            <v>0</v>
          </cell>
          <cell r="D1403" t="str">
            <v>STEVEDORES BREAK</v>
          </cell>
          <cell r="O1403">
            <v>0.1</v>
          </cell>
          <cell r="P1403" t="str">
            <v xml:space="preserve">ONGOING LOADING </v>
          </cell>
          <cell r="AA1403">
            <v>0.90486111111111112</v>
          </cell>
          <cell r="AB1403" t="str">
            <v xml:space="preserve">ONGOING LOADING </v>
          </cell>
          <cell r="AD1403">
            <v>0</v>
          </cell>
          <cell r="AE1403" t="str">
            <v>STEVEDORES BREAK</v>
          </cell>
        </row>
        <row r="1404">
          <cell r="C1404">
            <v>4.1666666666666664E-2</v>
          </cell>
          <cell r="D1404" t="str">
            <v xml:space="preserve">RESUME LOADING </v>
          </cell>
          <cell r="O1404">
            <v>0.12083333333333333</v>
          </cell>
          <cell r="P1404" t="str">
            <v xml:space="preserve">CONTINUE LOADING </v>
          </cell>
          <cell r="AA1404">
            <v>0.91527777777777775</v>
          </cell>
          <cell r="AB1404" t="str">
            <v>CONTINUE LOADING</v>
          </cell>
          <cell r="AD1404">
            <v>4.5138888888888888E-2</v>
          </cell>
          <cell r="AE1404" t="str">
            <v xml:space="preserve">RESUME LOADING </v>
          </cell>
        </row>
        <row r="1405">
          <cell r="C1405">
            <v>7.4999999999999997E-2</v>
          </cell>
          <cell r="D1405" t="str">
            <v xml:space="preserve">ONGOING LOADING </v>
          </cell>
          <cell r="O1405">
            <v>0.14722222222222223</v>
          </cell>
          <cell r="P1405" t="str">
            <v xml:space="preserve">ONGOING LOADING </v>
          </cell>
          <cell r="AA1405">
            <v>0.92777777777777781</v>
          </cell>
          <cell r="AB1405" t="str">
            <v xml:space="preserve">WAITING SHORECRANE </v>
          </cell>
          <cell r="AD1405">
            <v>7.0833333333333331E-2</v>
          </cell>
          <cell r="AE1405" t="str">
            <v xml:space="preserve">CONTINUE LOADING </v>
          </cell>
        </row>
        <row r="1406">
          <cell r="C1406">
            <v>9.5138888888888884E-2</v>
          </cell>
          <cell r="D1406" t="str">
            <v xml:space="preserve">CONTINUE LOADING </v>
          </cell>
          <cell r="O1406">
            <v>0.17986111111111111</v>
          </cell>
          <cell r="P1406" t="str">
            <v xml:space="preserve">CONTINUE LOADING </v>
          </cell>
          <cell r="AA1406">
            <v>0.98819444444444449</v>
          </cell>
          <cell r="AB1406" t="str">
            <v xml:space="preserve">RESUME LOADING </v>
          </cell>
          <cell r="AD1406">
            <v>8.0555555555555561E-2</v>
          </cell>
          <cell r="AE1406" t="str">
            <v>LOADING COMPLETE</v>
          </cell>
        </row>
        <row r="1407">
          <cell r="C1407">
            <v>0.13263888888888889</v>
          </cell>
          <cell r="D1407" t="str">
            <v xml:space="preserve">ONGOING LOADING </v>
          </cell>
          <cell r="O1407">
            <v>0.20069444444444445</v>
          </cell>
          <cell r="P1407" t="str">
            <v xml:space="preserve">ONGOING LOADING </v>
          </cell>
          <cell r="AA1407">
            <v>3.8194444444444448E-2</v>
          </cell>
          <cell r="AB1407" t="str">
            <v>ONGOING LOADING</v>
          </cell>
        </row>
        <row r="1408">
          <cell r="C1408">
            <v>0.14861111111111111</v>
          </cell>
          <cell r="D1408" t="str">
            <v xml:space="preserve">CONTINUE LOADING </v>
          </cell>
          <cell r="O1408">
            <v>0.23402777777777778</v>
          </cell>
          <cell r="P1408" t="str">
            <v xml:space="preserve">CONTINUE LOADING </v>
          </cell>
          <cell r="AA1408">
            <v>6.8750000000000006E-2</v>
          </cell>
          <cell r="AB1408" t="str">
            <v xml:space="preserve">CONTINUE LOADING </v>
          </cell>
        </row>
        <row r="1409">
          <cell r="C1409">
            <v>0.2013888888888889</v>
          </cell>
          <cell r="D1409" t="str">
            <v xml:space="preserve">ONGOING LOADING </v>
          </cell>
          <cell r="O1409">
            <v>0.24791666666666667</v>
          </cell>
          <cell r="P1409" t="str">
            <v>LOADING COMPLETE</v>
          </cell>
          <cell r="AA1409">
            <v>0.10416666666666667</v>
          </cell>
          <cell r="AB1409" t="str">
            <v xml:space="preserve">ONGOING LOADING </v>
          </cell>
        </row>
        <row r="1410">
          <cell r="C1410">
            <v>0.25</v>
          </cell>
          <cell r="D1410" t="str">
            <v>VESSEL BREAK</v>
          </cell>
          <cell r="AA1410">
            <v>0.12986111111111112</v>
          </cell>
          <cell r="AB1410" t="str">
            <v xml:space="preserve">CONTINUE LOADING </v>
          </cell>
        </row>
        <row r="1411">
          <cell r="AA1411">
            <v>0.18402777777777779</v>
          </cell>
          <cell r="AB1411" t="str">
            <v xml:space="preserve">ONGOING LOADING </v>
          </cell>
        </row>
        <row r="1412">
          <cell r="AA1412">
            <v>0.19583333333333333</v>
          </cell>
          <cell r="AB1412" t="str">
            <v xml:space="preserve">CONTINUE LOADING </v>
          </cell>
        </row>
        <row r="1413">
          <cell r="AA1413">
            <v>0.21875</v>
          </cell>
          <cell r="AB1413" t="str">
            <v xml:space="preserve">ONGOING LOADING </v>
          </cell>
        </row>
        <row r="1414">
          <cell r="AA1414">
            <v>0.25</v>
          </cell>
          <cell r="AB1414" t="str">
            <v>VESSEL BREAK</v>
          </cell>
        </row>
        <row r="1415">
          <cell r="D1415" t="str">
            <v>JOHANNAH 7</v>
          </cell>
          <cell r="G1415" t="str">
            <v>VACANT</v>
          </cell>
          <cell r="J1415" t="str">
            <v>VACANT</v>
          </cell>
          <cell r="M1415" t="str">
            <v>VACANT</v>
          </cell>
          <cell r="P1415" t="str">
            <v>LADY OF REMEDY</v>
          </cell>
          <cell r="S1415" t="str">
            <v>VACANT</v>
          </cell>
          <cell r="V1415" t="str">
            <v>ADOLFO SR</v>
          </cell>
          <cell r="Y1415" t="str">
            <v>STAR DINAGAT</v>
          </cell>
          <cell r="AB1415" t="str">
            <v>STAR FREEDOM</v>
          </cell>
          <cell r="AE1415" t="str">
            <v>QUEEN CAROLYN</v>
          </cell>
          <cell r="AH1415" t="str">
            <v>VACANT</v>
          </cell>
        </row>
        <row r="1416">
          <cell r="C1416">
            <v>0.30208333333333331</v>
          </cell>
          <cell r="D1416" t="str">
            <v>KY TOOLBOX</v>
          </cell>
          <cell r="F1416" t="str">
            <v xml:space="preserve">  </v>
          </cell>
          <cell r="G1416" t="str">
            <v xml:space="preserve">   </v>
          </cell>
          <cell r="I1416" t="str">
            <v xml:space="preserve">  </v>
          </cell>
          <cell r="J1416" t="str">
            <v xml:space="preserve"> </v>
          </cell>
          <cell r="L1416" t="str">
            <v xml:space="preserve">   </v>
          </cell>
          <cell r="M1416" t="str">
            <v xml:space="preserve">   </v>
          </cell>
          <cell r="O1416">
            <v>0.79166666666666663</v>
          </cell>
          <cell r="P1416" t="str">
            <v>WAITING MATERIAL</v>
          </cell>
          <cell r="R1416" t="str">
            <v xml:space="preserve">   </v>
          </cell>
          <cell r="S1416" t="str">
            <v xml:space="preserve">   </v>
          </cell>
          <cell r="U1416">
            <v>0.30208333333333331</v>
          </cell>
          <cell r="V1416" t="str">
            <v>KY TOOLBOX</v>
          </cell>
          <cell r="X1416">
            <v>0.29166666666666669</v>
          </cell>
          <cell r="Y1416" t="str">
            <v>DOCK - SECURED</v>
          </cell>
          <cell r="AA1416">
            <v>0.30208333333333331</v>
          </cell>
          <cell r="AB1416" t="str">
            <v>KY TOOLBOX</v>
          </cell>
          <cell r="AD1416">
            <v>0.79166666666666663</v>
          </cell>
          <cell r="AE1416" t="str">
            <v>WAITING MATERIAL</v>
          </cell>
          <cell r="AG1416" t="str">
            <v xml:space="preserve">      </v>
          </cell>
          <cell r="AH1416" t="str">
            <v xml:space="preserve">    </v>
          </cell>
        </row>
        <row r="1417">
          <cell r="C1417">
            <v>0.31944444444444442</v>
          </cell>
          <cell r="D1417" t="str">
            <v>RESUME LOADING</v>
          </cell>
          <cell r="O1417">
            <v>0.83333333333333337</v>
          </cell>
          <cell r="P1417" t="str">
            <v>OPENING HATCH</v>
          </cell>
          <cell r="U1417">
            <v>0.31597222222222221</v>
          </cell>
          <cell r="V1417" t="str">
            <v>RESUME LOADING</v>
          </cell>
          <cell r="X1417">
            <v>0.33333333333333331</v>
          </cell>
          <cell r="Y1417" t="str">
            <v>DOCK - SECURED</v>
          </cell>
          <cell r="AA1417">
            <v>0.3125</v>
          </cell>
          <cell r="AB1417" t="str">
            <v xml:space="preserve">RESUME LOADING </v>
          </cell>
          <cell r="AD1417">
            <v>0.9243055555555556</v>
          </cell>
          <cell r="AE1417" t="str">
            <v xml:space="preserve">COMMENCE LOADING </v>
          </cell>
        </row>
        <row r="1418">
          <cell r="C1418">
            <v>0.38611111111111113</v>
          </cell>
          <cell r="D1418" t="str">
            <v>CONTINUE LOADING</v>
          </cell>
          <cell r="O1418">
            <v>0.87569444444444444</v>
          </cell>
          <cell r="P1418" t="str">
            <v>COMMENCE LOADING</v>
          </cell>
          <cell r="U1418">
            <v>0.36736111111111114</v>
          </cell>
          <cell r="V1418" t="str">
            <v xml:space="preserve">CONTINUE LOADING </v>
          </cell>
          <cell r="X1418">
            <v>0.375</v>
          </cell>
          <cell r="Y1418" t="str">
            <v>DOCK - SECURED</v>
          </cell>
          <cell r="AA1418">
            <v>0.36666666666666664</v>
          </cell>
          <cell r="AB1418" t="str">
            <v>CONTINUE LOADING</v>
          </cell>
          <cell r="AD1418">
            <v>5.2777777777777778E-2</v>
          </cell>
          <cell r="AE1418" t="str">
            <v xml:space="preserve">ONGOING LOADING </v>
          </cell>
        </row>
        <row r="1419">
          <cell r="C1419">
            <v>0.43055555555555558</v>
          </cell>
          <cell r="D1419" t="str">
            <v>STOP LOADING</v>
          </cell>
          <cell r="O1419">
            <v>0.8930555555555556</v>
          </cell>
          <cell r="P1419" t="str">
            <v xml:space="preserve">ONGOING LOADING </v>
          </cell>
          <cell r="U1419">
            <v>0.3972222222222222</v>
          </cell>
          <cell r="V1419" t="str">
            <v xml:space="preserve">CONTINUE LOADING </v>
          </cell>
          <cell r="X1419">
            <v>0.41666666666666669</v>
          </cell>
          <cell r="Y1419" t="str">
            <v>DOCK - SECURED</v>
          </cell>
          <cell r="AA1419">
            <v>0.40972222222222221</v>
          </cell>
          <cell r="AB1419" t="str">
            <v xml:space="preserve">CONTINUE LOADING </v>
          </cell>
          <cell r="AD1419">
            <v>0.10069444444444445</v>
          </cell>
          <cell r="AE1419" t="str">
            <v xml:space="preserve">CONTINUE LOADING </v>
          </cell>
        </row>
        <row r="1420">
          <cell r="C1420">
            <v>0.47916666666666669</v>
          </cell>
          <cell r="D1420" t="str">
            <v>STOP LOADING</v>
          </cell>
          <cell r="O1420">
            <v>0.90972222222222221</v>
          </cell>
          <cell r="P1420" t="str">
            <v xml:space="preserve">CONTINUE LOADING </v>
          </cell>
          <cell r="U1420">
            <v>0.4201388888888889</v>
          </cell>
          <cell r="V1420" t="str">
            <v xml:space="preserve">CONTINUE LOADING </v>
          </cell>
          <cell r="X1420">
            <v>0.47916666666666669</v>
          </cell>
          <cell r="Y1420" t="str">
            <v>DOCK - SECURED</v>
          </cell>
          <cell r="AA1420">
            <v>0.43263888888888891</v>
          </cell>
          <cell r="AB1420" t="str">
            <v>COMPLETE LOADING</v>
          </cell>
          <cell r="AD1420">
            <v>0.15694444444444444</v>
          </cell>
          <cell r="AE1420" t="str">
            <v xml:space="preserve">ONGOING LOADING </v>
          </cell>
        </row>
        <row r="1421">
          <cell r="C1421">
            <v>0.5</v>
          </cell>
          <cell r="D1421" t="str">
            <v>LUNCH BREAK</v>
          </cell>
          <cell r="O1421">
            <v>0.95763888888888893</v>
          </cell>
          <cell r="P1421" t="str">
            <v xml:space="preserve">ONGOING LOADING </v>
          </cell>
          <cell r="U1421">
            <v>0.45833333333333331</v>
          </cell>
          <cell r="V1421" t="str">
            <v xml:space="preserve">CONTINUE LOADING </v>
          </cell>
          <cell r="X1421">
            <v>0.5</v>
          </cell>
          <cell r="Y1421" t="str">
            <v>DOCK - SECURED</v>
          </cell>
          <cell r="AD1421">
            <v>0.1875</v>
          </cell>
          <cell r="AE1421" t="str">
            <v>STOP LOADING</v>
          </cell>
        </row>
        <row r="1422">
          <cell r="C1422">
            <v>0.54166666666666663</v>
          </cell>
          <cell r="D1422" t="str">
            <v>RESUME LOADING</v>
          </cell>
          <cell r="O1422">
            <v>0.97847222222222219</v>
          </cell>
          <cell r="P1422" t="str">
            <v xml:space="preserve">CONTINUE LOADING </v>
          </cell>
          <cell r="U1422">
            <v>0.5</v>
          </cell>
          <cell r="V1422" t="str">
            <v>LUNCH BREAK</v>
          </cell>
          <cell r="X1422">
            <v>0.54166666666666663</v>
          </cell>
          <cell r="Y1422" t="str">
            <v>DOCK - SECURED</v>
          </cell>
        </row>
        <row r="1423">
          <cell r="C1423">
            <v>0.60416666666666663</v>
          </cell>
          <cell r="D1423" t="str">
            <v>CONTINUE LOADING</v>
          </cell>
          <cell r="O1423">
            <v>8.1250000000000003E-2</v>
          </cell>
          <cell r="P1423" t="str">
            <v xml:space="preserve">ONGOING LOADING </v>
          </cell>
          <cell r="U1423">
            <v>0.54166666666666663</v>
          </cell>
          <cell r="V1423" t="str">
            <v>RESUME LOADING</v>
          </cell>
          <cell r="X1423">
            <v>0.58333333333333337</v>
          </cell>
          <cell r="Y1423" t="str">
            <v>DOCK - SECURED</v>
          </cell>
        </row>
        <row r="1424">
          <cell r="C1424">
            <v>0.63541666666666663</v>
          </cell>
          <cell r="D1424" t="str">
            <v>CONTINUE LOADING</v>
          </cell>
          <cell r="O1424">
            <v>0.12361111111111112</v>
          </cell>
          <cell r="P1424" t="str">
            <v xml:space="preserve">CONTINUE LOADING </v>
          </cell>
          <cell r="U1424">
            <v>0.59375</v>
          </cell>
          <cell r="V1424" t="str">
            <v xml:space="preserve">CONTINUE LOADING </v>
          </cell>
          <cell r="X1424">
            <v>0.625</v>
          </cell>
          <cell r="Y1424" t="str">
            <v>NO COMMENCE</v>
          </cell>
        </row>
        <row r="1425">
          <cell r="C1425">
            <v>0.68402777777777779</v>
          </cell>
          <cell r="D1425" t="str">
            <v>CONTINUE LOADING</v>
          </cell>
          <cell r="O1425">
            <v>0.1763888888888889</v>
          </cell>
          <cell r="P1425" t="str">
            <v xml:space="preserve">ONGOING LOADING </v>
          </cell>
          <cell r="U1425">
            <v>0.68125000000000002</v>
          </cell>
          <cell r="V1425" t="str">
            <v xml:space="preserve">CONTINUE LOADING </v>
          </cell>
          <cell r="X1425">
            <v>0.66666666666666663</v>
          </cell>
          <cell r="Y1425" t="str">
            <v>NO COMMENCE</v>
          </cell>
        </row>
        <row r="1426">
          <cell r="C1426">
            <v>0.72916666666666663</v>
          </cell>
          <cell r="D1426" t="str">
            <v>CONTINUE LOADING</v>
          </cell>
          <cell r="O1426">
            <v>0.25</v>
          </cell>
          <cell r="P1426" t="str">
            <v>WAITING FULACHE</v>
          </cell>
          <cell r="U1426">
            <v>0.72916666666666663</v>
          </cell>
          <cell r="V1426" t="str">
            <v>CONTINUE LOADING</v>
          </cell>
          <cell r="X1426">
            <v>0.70833333333333337</v>
          </cell>
          <cell r="Y1426" t="str">
            <v>NO COMMENCE</v>
          </cell>
        </row>
        <row r="1427">
          <cell r="C1427">
            <v>0.75</v>
          </cell>
          <cell r="D1427" t="str">
            <v>VESSEL BREAK</v>
          </cell>
          <cell r="U1427">
            <v>0.75</v>
          </cell>
          <cell r="V1427" t="str">
            <v>VESSEL BREAK</v>
          </cell>
          <cell r="X1427">
            <v>0.75</v>
          </cell>
          <cell r="Y1427" t="str">
            <v>VESSEL BREAK</v>
          </cell>
        </row>
        <row r="1428">
          <cell r="C1428">
            <v>0.79166666666666663</v>
          </cell>
          <cell r="D1428" t="str">
            <v>KY TOOLBOX</v>
          </cell>
          <cell r="U1428">
            <v>0.79166666666666663</v>
          </cell>
          <cell r="V1428" t="str">
            <v>KY TOOLBOX</v>
          </cell>
          <cell r="X1428">
            <v>0.79166666666666663</v>
          </cell>
          <cell r="Y1428" t="str">
            <v>KY TOOLBOX</v>
          </cell>
        </row>
        <row r="1429">
          <cell r="C1429">
            <v>0.82777777777777772</v>
          </cell>
          <cell r="D1429" t="str">
            <v>RESUME LOADING</v>
          </cell>
          <cell r="U1429">
            <v>0.84861111111111109</v>
          </cell>
          <cell r="V1429" t="str">
            <v xml:space="preserve">RESUME LOADING </v>
          </cell>
          <cell r="X1429">
            <v>0.8125</v>
          </cell>
          <cell r="Y1429" t="str">
            <v>OPENING HATCH</v>
          </cell>
        </row>
        <row r="1430">
          <cell r="C1430">
            <v>0.85</v>
          </cell>
          <cell r="D1430" t="str">
            <v xml:space="preserve">ONGOING LOADING </v>
          </cell>
          <cell r="U1430">
            <v>0.87152777777777779</v>
          </cell>
          <cell r="V1430" t="str">
            <v xml:space="preserve">ONGOING LOADING </v>
          </cell>
          <cell r="X1430">
            <v>0.82638888888888884</v>
          </cell>
          <cell r="Y1430" t="str">
            <v xml:space="preserve">FORKLIFT ONBOARD </v>
          </cell>
        </row>
        <row r="1431">
          <cell r="C1431">
            <v>0.87152777777777779</v>
          </cell>
          <cell r="D1431" t="str">
            <v>CONTINUE LOADING</v>
          </cell>
          <cell r="U1431">
            <v>0.90138888888888891</v>
          </cell>
          <cell r="V1431" t="str">
            <v xml:space="preserve">CONTINUE LOADING </v>
          </cell>
          <cell r="X1431">
            <v>0.83333333333333337</v>
          </cell>
          <cell r="Y1431" t="str">
            <v>FL ONBOARD READY</v>
          </cell>
        </row>
        <row r="1432">
          <cell r="C1432">
            <v>0.88680555555555551</v>
          </cell>
          <cell r="D1432" t="str">
            <v xml:space="preserve">ONGOING LOADING </v>
          </cell>
          <cell r="U1432">
            <v>0.96319444444444446</v>
          </cell>
          <cell r="V1432" t="str">
            <v xml:space="preserve">ONGOING LOADING </v>
          </cell>
          <cell r="X1432">
            <v>0.84166666666666667</v>
          </cell>
          <cell r="Y1432" t="str">
            <v xml:space="preserve">COMMENCE LOADING </v>
          </cell>
        </row>
        <row r="1433">
          <cell r="C1433">
            <v>0.95763888888888893</v>
          </cell>
          <cell r="D1433" t="str">
            <v>CONTINUE LOADING</v>
          </cell>
          <cell r="U1433">
            <v>7.1527777777777773E-2</v>
          </cell>
          <cell r="V1433" t="str">
            <v xml:space="preserve">CONTINUE LOADING </v>
          </cell>
          <cell r="X1433">
            <v>0.86041666666666672</v>
          </cell>
          <cell r="Y1433" t="str">
            <v xml:space="preserve">ONGOING LOADING </v>
          </cell>
        </row>
        <row r="1434">
          <cell r="C1434">
            <v>0.97222222222222221</v>
          </cell>
          <cell r="D1434" t="str">
            <v xml:space="preserve">ONGOING LOADING </v>
          </cell>
          <cell r="U1434">
            <v>9.4444444444444442E-2</v>
          </cell>
          <cell r="V1434" t="str">
            <v xml:space="preserve">ONGOING LOADING </v>
          </cell>
          <cell r="X1434">
            <v>0.88888888888888884</v>
          </cell>
          <cell r="Y1434" t="str">
            <v xml:space="preserve">CONTINUE LOADING </v>
          </cell>
        </row>
        <row r="1435">
          <cell r="C1435">
            <v>0.5</v>
          </cell>
          <cell r="D1435" t="str">
            <v>STEVEDORES BREAK</v>
          </cell>
          <cell r="U1435">
            <v>0.14583333333333334</v>
          </cell>
          <cell r="V1435" t="str">
            <v xml:space="preserve">CONTINUE LOADING </v>
          </cell>
          <cell r="X1435">
            <v>0.91666666666666663</v>
          </cell>
          <cell r="Y1435" t="str">
            <v xml:space="preserve">ONGOING LOADING </v>
          </cell>
        </row>
        <row r="1436">
          <cell r="C1436">
            <v>5.9722222222222225E-2</v>
          </cell>
          <cell r="D1436" t="str">
            <v>RESUME LOADING</v>
          </cell>
          <cell r="U1436">
            <v>0.18055555555555555</v>
          </cell>
          <cell r="V1436" t="str">
            <v xml:space="preserve">ONGOING LOADING </v>
          </cell>
          <cell r="X1436">
            <v>0</v>
          </cell>
          <cell r="Y1436" t="str">
            <v xml:space="preserve">CONTINUE LOADING </v>
          </cell>
        </row>
        <row r="1437">
          <cell r="C1437">
            <v>7.6388888888888895E-2</v>
          </cell>
          <cell r="D1437" t="str">
            <v xml:space="preserve">ONGOING LOADING </v>
          </cell>
          <cell r="U1437">
            <v>0.25</v>
          </cell>
          <cell r="V1437" t="str">
            <v>VESSEL BREAK</v>
          </cell>
          <cell r="X1437">
            <v>7.1527777777777773E-2</v>
          </cell>
          <cell r="Y1437" t="str">
            <v xml:space="preserve">ONGOING LOADING </v>
          </cell>
        </row>
        <row r="1438">
          <cell r="C1438">
            <v>9.930555555555555E-2</v>
          </cell>
          <cell r="D1438" t="str">
            <v>CONTINUE LOADING</v>
          </cell>
          <cell r="X1438">
            <v>0.11180555555555556</v>
          </cell>
          <cell r="Y1438" t="str">
            <v xml:space="preserve">CONTINUE LOADING </v>
          </cell>
        </row>
        <row r="1439">
          <cell r="C1439">
            <v>0.11805555555555555</v>
          </cell>
          <cell r="D1439" t="str">
            <v xml:space="preserve">ONGOING LOADING </v>
          </cell>
          <cell r="X1439">
            <v>0.18263888888888888</v>
          </cell>
          <cell r="Y1439" t="str">
            <v xml:space="preserve">ONGOING LOADING </v>
          </cell>
        </row>
        <row r="1440">
          <cell r="C1440">
            <v>0.15555555555555556</v>
          </cell>
          <cell r="D1440" t="str">
            <v>CONTINUE LOADING</v>
          </cell>
          <cell r="X1440">
            <v>0.19791666666666666</v>
          </cell>
          <cell r="Y1440" t="str">
            <v xml:space="preserve">WAITING GEO </v>
          </cell>
        </row>
        <row r="1441">
          <cell r="C1441">
            <v>0.1875</v>
          </cell>
          <cell r="D1441" t="str">
            <v xml:space="preserve">ONGOING LOADING </v>
          </cell>
        </row>
        <row r="1442">
          <cell r="C1442">
            <v>0.2048611111111111</v>
          </cell>
          <cell r="D1442" t="str">
            <v>CONTINUE LOADING</v>
          </cell>
        </row>
        <row r="1443">
          <cell r="C1443">
            <v>0.25</v>
          </cell>
          <cell r="D1443" t="str">
            <v>VESSEL BREAK</v>
          </cell>
        </row>
        <row r="1444">
          <cell r="D1444" t="str">
            <v>JOHANNAH 7</v>
          </cell>
          <cell r="G1444" t="str">
            <v>VACANT</v>
          </cell>
          <cell r="J1444" t="str">
            <v>VACANT</v>
          </cell>
          <cell r="M1444" t="str">
            <v>VACANT</v>
          </cell>
          <cell r="P1444" t="str">
            <v>LADY OF REMEDY</v>
          </cell>
          <cell r="S1444" t="str">
            <v>STAR ILIGAN</v>
          </cell>
          <cell r="V1444" t="str">
            <v>ADOLFO SR</v>
          </cell>
          <cell r="Y1444" t="str">
            <v>STAR DINAGAT</v>
          </cell>
          <cell r="AB1444" t="str">
            <v>LADY OF ROSARY</v>
          </cell>
          <cell r="AE1444" t="str">
            <v>QUEEN CAROLYN</v>
          </cell>
          <cell r="AH1444" t="str">
            <v>VACANT</v>
          </cell>
        </row>
        <row r="1445">
          <cell r="C1445">
            <v>0.30555555555555558</v>
          </cell>
          <cell r="D1445" t="str">
            <v>KY TOOLBOX</v>
          </cell>
          <cell r="F1445" t="str">
            <v xml:space="preserve"> </v>
          </cell>
          <cell r="O1445">
            <v>0.30555555555555558</v>
          </cell>
          <cell r="P1445" t="str">
            <v>KY TOOLBOX</v>
          </cell>
          <cell r="R1445">
            <v>0.79166666666666663</v>
          </cell>
          <cell r="S1445" t="str">
            <v>WAITING MATERIAL</v>
          </cell>
          <cell r="U1445">
            <v>0.30555555555555558</v>
          </cell>
          <cell r="V1445" t="str">
            <v>KY TOOLBOX</v>
          </cell>
          <cell r="X1445">
            <v>0.30555555555555558</v>
          </cell>
          <cell r="Y1445" t="str">
            <v>KY TOOLBOX</v>
          </cell>
          <cell r="AA1445">
            <v>0.54166666666666663</v>
          </cell>
          <cell r="AB1445" t="str">
            <v xml:space="preserve">COMMENCE LOADING </v>
          </cell>
          <cell r="AD1445">
            <v>0.30555555555555558</v>
          </cell>
          <cell r="AE1445" t="str">
            <v>KY TOOLBOX</v>
          </cell>
          <cell r="AG1445" t="str">
            <v xml:space="preserve"> </v>
          </cell>
          <cell r="AH1445" t="str">
            <v xml:space="preserve"> </v>
          </cell>
        </row>
        <row r="1446">
          <cell r="C1446">
            <v>0.31944444444444442</v>
          </cell>
          <cell r="D1446" t="str">
            <v>RESUME LOADING</v>
          </cell>
          <cell r="O1446">
            <v>0.31944444444444442</v>
          </cell>
          <cell r="P1446" t="str">
            <v>RESUME LOADING</v>
          </cell>
          <cell r="R1446">
            <v>0.875</v>
          </cell>
          <cell r="S1446" t="str">
            <v>ONBOARD FORKLIFT</v>
          </cell>
          <cell r="U1446">
            <v>0.31944444444444442</v>
          </cell>
          <cell r="V1446" t="str">
            <v xml:space="preserve">RESUME LOADING </v>
          </cell>
          <cell r="X1446">
            <v>0.31944444444444442</v>
          </cell>
          <cell r="Y1446" t="str">
            <v xml:space="preserve">RESUME LOADING </v>
          </cell>
          <cell r="AA1446">
            <v>0.59583333333333333</v>
          </cell>
          <cell r="AB1446" t="str">
            <v>CONTINUE LOADING</v>
          </cell>
          <cell r="AD1446">
            <v>0.31944444444444442</v>
          </cell>
          <cell r="AE1446" t="str">
            <v xml:space="preserve">RESUME LOADING </v>
          </cell>
        </row>
        <row r="1447">
          <cell r="C1447">
            <v>0.35138888888888886</v>
          </cell>
          <cell r="D1447" t="str">
            <v xml:space="preserve">CONTINUE LOADING </v>
          </cell>
          <cell r="O1447">
            <v>0.35416666666666669</v>
          </cell>
          <cell r="P1447" t="str">
            <v xml:space="preserve">CONTINUE LOADING </v>
          </cell>
          <cell r="R1447">
            <v>0.89583333333333337</v>
          </cell>
          <cell r="S1447" t="str">
            <v>FL ONBOARD READY</v>
          </cell>
          <cell r="U1447">
            <v>0.35069444444444442</v>
          </cell>
          <cell r="V1447" t="str">
            <v xml:space="preserve">CONTINUE LOADING </v>
          </cell>
          <cell r="X1447">
            <v>0.35416666666666669</v>
          </cell>
          <cell r="Y1447" t="str">
            <v xml:space="preserve">CONTINUE LOADING </v>
          </cell>
          <cell r="AA1447">
            <v>0.63541666666666663</v>
          </cell>
          <cell r="AB1447" t="str">
            <v xml:space="preserve">CONTINUE LOADING </v>
          </cell>
          <cell r="AD1447">
            <v>0.34930555555555554</v>
          </cell>
          <cell r="AE1447" t="str">
            <v xml:space="preserve">CONTINUE LOADING </v>
          </cell>
        </row>
        <row r="1448">
          <cell r="C1448">
            <v>0.38194444444444442</v>
          </cell>
          <cell r="D1448" t="str">
            <v>WAITING MATERIALS</v>
          </cell>
          <cell r="O1448">
            <v>0.40208333333333335</v>
          </cell>
          <cell r="P1448" t="str">
            <v xml:space="preserve">CONTINUE LOADING </v>
          </cell>
          <cell r="R1448">
            <v>0.92222222222222228</v>
          </cell>
          <cell r="S1448" t="str">
            <v>COMMENCE LOADING</v>
          </cell>
          <cell r="U1448">
            <v>0.375</v>
          </cell>
          <cell r="V1448" t="str">
            <v>CONTINUE LOADING</v>
          </cell>
          <cell r="X1448">
            <v>0.3923611111111111</v>
          </cell>
          <cell r="Y1448" t="str">
            <v xml:space="preserve">CONTINUE LOADING </v>
          </cell>
          <cell r="AA1448">
            <v>0.68194444444444446</v>
          </cell>
          <cell r="AB1448" t="str">
            <v>CONTINUE LOADING</v>
          </cell>
          <cell r="AD1448">
            <v>0.39583333333333331</v>
          </cell>
          <cell r="AE1448" t="str">
            <v xml:space="preserve">CONTINUE LOADING </v>
          </cell>
        </row>
        <row r="1449">
          <cell r="C1449">
            <v>0.43194444444444446</v>
          </cell>
          <cell r="D1449" t="str">
            <v>WAITING MATERIALS</v>
          </cell>
          <cell r="O1449">
            <v>0.43125000000000002</v>
          </cell>
          <cell r="P1449" t="str">
            <v xml:space="preserve">CONTINUE LOADING </v>
          </cell>
          <cell r="R1449">
            <v>0.94513888888888886</v>
          </cell>
          <cell r="S1449" t="str">
            <v>WAITING MATERIAL</v>
          </cell>
          <cell r="U1449">
            <v>0.43125000000000002</v>
          </cell>
          <cell r="V1449" t="str">
            <v xml:space="preserve">CONTINUE LOADING </v>
          </cell>
          <cell r="X1449">
            <v>0.42708333333333331</v>
          </cell>
          <cell r="Y1449" t="str">
            <v xml:space="preserve">CONTINUE LOADING </v>
          </cell>
          <cell r="AA1449">
            <v>0.75</v>
          </cell>
          <cell r="AB1449" t="str">
            <v>VESSEL BREAK</v>
          </cell>
          <cell r="AD1449">
            <v>0.45694444444444443</v>
          </cell>
          <cell r="AE1449" t="str">
            <v xml:space="preserve">CONTINUE LOADING </v>
          </cell>
        </row>
        <row r="1450">
          <cell r="C1450">
            <v>0.47222222222222221</v>
          </cell>
          <cell r="D1450" t="str">
            <v>WAITING MATERIALS</v>
          </cell>
          <cell r="O1450">
            <v>0.47222222222222221</v>
          </cell>
          <cell r="P1450" t="str">
            <v xml:space="preserve">CONTINUE LOADING </v>
          </cell>
          <cell r="R1450">
            <v>7.1527777777777773E-2</v>
          </cell>
          <cell r="S1450" t="str">
            <v xml:space="preserve">RESUME LOADING </v>
          </cell>
          <cell r="U1450">
            <v>0.46875</v>
          </cell>
          <cell r="V1450" t="str">
            <v xml:space="preserve">CONTNIUE LOADING </v>
          </cell>
          <cell r="X1450">
            <v>0.5</v>
          </cell>
          <cell r="Y1450" t="str">
            <v>LUNCH BREAK</v>
          </cell>
          <cell r="AA1450">
            <v>0.79166666666666663</v>
          </cell>
          <cell r="AB1450" t="str">
            <v>KY TOOLBOX</v>
          </cell>
          <cell r="AD1450">
            <v>0.5</v>
          </cell>
          <cell r="AE1450" t="str">
            <v>LUNCH BREAK</v>
          </cell>
        </row>
        <row r="1451">
          <cell r="C1451">
            <v>0.5</v>
          </cell>
          <cell r="D1451" t="str">
            <v>LUNCH BREAK</v>
          </cell>
          <cell r="O1451">
            <v>0.5</v>
          </cell>
          <cell r="P1451" t="str">
            <v>LUNCH BREAK</v>
          </cell>
          <cell r="R1451">
            <v>0.11527777777777778</v>
          </cell>
          <cell r="S1451" t="str">
            <v xml:space="preserve">ONGOING LOADING </v>
          </cell>
          <cell r="U1451">
            <v>0.5</v>
          </cell>
          <cell r="V1451" t="str">
            <v>LUNCH BREAK</v>
          </cell>
          <cell r="X1451">
            <v>0.54861111111111116</v>
          </cell>
          <cell r="Y1451" t="str">
            <v>RESUME LOADING</v>
          </cell>
          <cell r="AA1451">
            <v>0.82708333333333328</v>
          </cell>
          <cell r="AB1451" t="str">
            <v xml:space="preserve">RESUME LOADING </v>
          </cell>
          <cell r="AD1451">
            <v>0.54861111111111116</v>
          </cell>
          <cell r="AE1451" t="str">
            <v>RESUME LOADING</v>
          </cell>
        </row>
        <row r="1452">
          <cell r="C1452">
            <v>0.54861111111111116</v>
          </cell>
          <cell r="D1452" t="str">
            <v>RESUME LOADING</v>
          </cell>
          <cell r="O1452">
            <v>0.54861111111111116</v>
          </cell>
          <cell r="P1452" t="str">
            <v>RESUME LOADING</v>
          </cell>
          <cell r="R1452">
            <v>0.14444444444444443</v>
          </cell>
          <cell r="S1452" t="str">
            <v xml:space="preserve">CONTINUE LOADING </v>
          </cell>
          <cell r="U1452">
            <v>0.54861111111111116</v>
          </cell>
          <cell r="V1452" t="str">
            <v>RESUME LOADING</v>
          </cell>
          <cell r="X1452">
            <v>0.62013888888888891</v>
          </cell>
          <cell r="Y1452" t="str">
            <v>CONTINUE LOADING</v>
          </cell>
          <cell r="AA1452">
            <v>0.91388888888888886</v>
          </cell>
          <cell r="AB1452" t="str">
            <v xml:space="preserve">ONGOING LOADING </v>
          </cell>
          <cell r="AD1452">
            <v>0.61805555555555558</v>
          </cell>
          <cell r="AE1452" t="str">
            <v xml:space="preserve">CONTINUE LOADING </v>
          </cell>
        </row>
        <row r="1453">
          <cell r="C1453">
            <v>0.58888888888888891</v>
          </cell>
          <cell r="D1453" t="str">
            <v>CONTINUE LOADING</v>
          </cell>
          <cell r="O1453">
            <v>0.60347222222222219</v>
          </cell>
          <cell r="P1453" t="str">
            <v xml:space="preserve">CONTINUE LOADING </v>
          </cell>
          <cell r="R1453">
            <v>0.20208333333333334</v>
          </cell>
          <cell r="S1453" t="str">
            <v xml:space="preserve">ONGOING LOADING </v>
          </cell>
          <cell r="U1453">
            <v>0.6166666666666667</v>
          </cell>
          <cell r="V1453" t="str">
            <v>CONTINUE LOADING</v>
          </cell>
          <cell r="X1453">
            <v>0.70833333333333337</v>
          </cell>
          <cell r="Y1453" t="str">
            <v>CONTINUE LOADING</v>
          </cell>
          <cell r="AA1453">
            <v>0.9375</v>
          </cell>
          <cell r="AB1453" t="str">
            <v>WAITING MATERIAL</v>
          </cell>
          <cell r="AD1453">
            <v>0.73333333333333328</v>
          </cell>
          <cell r="AE1453" t="str">
            <v>CONTINUE LOADING</v>
          </cell>
        </row>
        <row r="1454">
          <cell r="C1454">
            <v>0.64027777777777772</v>
          </cell>
          <cell r="D1454" t="str">
            <v xml:space="preserve">CONTINUE LOADING </v>
          </cell>
          <cell r="O1454">
            <v>0.64027777777777772</v>
          </cell>
          <cell r="P1454" t="str">
            <v xml:space="preserve">CONTINUE LOADING </v>
          </cell>
          <cell r="R1454">
            <v>0.22291666666666668</v>
          </cell>
          <cell r="S1454" t="str">
            <v>WAITING MATERIAL</v>
          </cell>
          <cell r="U1454">
            <v>0.625</v>
          </cell>
          <cell r="V1454" t="str">
            <v>COMPLETE LOADING</v>
          </cell>
          <cell r="X1454">
            <v>0.75</v>
          </cell>
          <cell r="Y1454" t="str">
            <v>VESSEL BREAK</v>
          </cell>
          <cell r="AA1454">
            <v>4.1666666666666664E-2</v>
          </cell>
          <cell r="AB1454" t="str">
            <v xml:space="preserve">WAITING FL ONBOARD </v>
          </cell>
          <cell r="AD1454">
            <v>0.75</v>
          </cell>
          <cell r="AE1454" t="str">
            <v>VESSEL BREAK</v>
          </cell>
        </row>
        <row r="1455">
          <cell r="C1455">
            <v>0.68333333333333335</v>
          </cell>
          <cell r="D1455" t="str">
            <v xml:space="preserve">CONTINUE LOADING </v>
          </cell>
          <cell r="O1455">
            <v>0.67708333333333337</v>
          </cell>
          <cell r="P1455" t="str">
            <v xml:space="preserve">CONTINUE LOADING </v>
          </cell>
          <cell r="R1455">
            <v>0.23680555555555555</v>
          </cell>
          <cell r="S1455" t="str">
            <v xml:space="preserve">RESUME LOADING </v>
          </cell>
          <cell r="X1455">
            <v>0.79166666666666663</v>
          </cell>
          <cell r="Y1455" t="str">
            <v>KY TOOLBOX</v>
          </cell>
          <cell r="AA1455">
            <v>0.16666666666666666</v>
          </cell>
          <cell r="AB1455" t="str">
            <v>ONBOARD FL</v>
          </cell>
          <cell r="AD1455">
            <v>0.79166666666666663</v>
          </cell>
          <cell r="AE1455" t="str">
            <v>KY TOOLBOX</v>
          </cell>
        </row>
        <row r="1456">
          <cell r="C1456">
            <v>0.72430555555555554</v>
          </cell>
          <cell r="D1456" t="str">
            <v xml:space="preserve">CONTINUE LOADING </v>
          </cell>
          <cell r="O1456">
            <v>0.71805555555555556</v>
          </cell>
          <cell r="P1456" t="str">
            <v xml:space="preserve">CONTINUE LOADING </v>
          </cell>
          <cell r="X1456">
            <v>0.83333333333333337</v>
          </cell>
          <cell r="Y1456" t="str">
            <v xml:space="preserve">RESUME LOADING </v>
          </cell>
          <cell r="AA1456">
            <v>0.18055555555555555</v>
          </cell>
          <cell r="AB1456" t="str">
            <v>FL ONBOARD READY</v>
          </cell>
          <cell r="AD1456">
            <v>0.83333333333333337</v>
          </cell>
          <cell r="AE1456" t="str">
            <v>ONBOARD FORKLIFT</v>
          </cell>
        </row>
        <row r="1457">
          <cell r="C1457">
            <v>0.75</v>
          </cell>
          <cell r="D1457" t="str">
            <v>VESSEL BREAK</v>
          </cell>
          <cell r="O1457">
            <v>0.75</v>
          </cell>
          <cell r="P1457" t="str">
            <v>VESSEL BREAK</v>
          </cell>
          <cell r="X1457">
            <v>0.85416666666666663</v>
          </cell>
          <cell r="Y1457" t="str">
            <v xml:space="preserve">ONGOING LOADING </v>
          </cell>
          <cell r="AA1457">
            <v>0.19097222222222221</v>
          </cell>
          <cell r="AB1457" t="str">
            <v xml:space="preserve">RESUME LOADING </v>
          </cell>
          <cell r="AD1457">
            <v>0.84375</v>
          </cell>
          <cell r="AE1457" t="str">
            <v>FL ONBOARD READY</v>
          </cell>
        </row>
        <row r="1458">
          <cell r="C1458">
            <v>0.79166666666666663</v>
          </cell>
          <cell r="D1458" t="str">
            <v>KY TOOLBOX</v>
          </cell>
          <cell r="O1458">
            <v>0.79166666666666663</v>
          </cell>
          <cell r="P1458" t="str">
            <v>KY TOOLBOX</v>
          </cell>
          <cell r="X1458">
            <v>0.87847222222222221</v>
          </cell>
          <cell r="Y1458" t="str">
            <v xml:space="preserve">CONTINUE LOADING </v>
          </cell>
          <cell r="AA1458">
            <v>0.21944444444444444</v>
          </cell>
          <cell r="AB1458" t="str">
            <v xml:space="preserve">CONTINUE LOADING </v>
          </cell>
          <cell r="AD1458">
            <v>0.84930555555555554</v>
          </cell>
          <cell r="AE1458" t="str">
            <v xml:space="preserve">RESUME LOADING </v>
          </cell>
        </row>
        <row r="1459">
          <cell r="C1459">
            <v>0.83194444444444449</v>
          </cell>
          <cell r="D1459" t="str">
            <v xml:space="preserve">RESUME LOADING </v>
          </cell>
          <cell r="O1459">
            <v>0.83611111111111114</v>
          </cell>
          <cell r="P1459" t="str">
            <v xml:space="preserve">RESUME LOADING </v>
          </cell>
          <cell r="X1459">
            <v>0.90625</v>
          </cell>
          <cell r="Y1459" t="str">
            <v xml:space="preserve">ONGOING LOADING </v>
          </cell>
          <cell r="AA1459">
            <v>0.25</v>
          </cell>
          <cell r="AB1459" t="str">
            <v>VESSEL BREAK</v>
          </cell>
          <cell r="AD1459">
            <v>0.9375</v>
          </cell>
          <cell r="AE1459" t="str">
            <v xml:space="preserve">ONGOING LOADING </v>
          </cell>
        </row>
        <row r="1460">
          <cell r="C1460">
            <v>0.84583333333333333</v>
          </cell>
          <cell r="D1460" t="str">
            <v xml:space="preserve">ONGOING LOADING </v>
          </cell>
          <cell r="O1460">
            <v>0.87986111111111109</v>
          </cell>
          <cell r="P1460" t="str">
            <v xml:space="preserve">ONGOING LOADING </v>
          </cell>
          <cell r="X1460">
            <v>0.96180555555555558</v>
          </cell>
          <cell r="Y1460" t="str">
            <v xml:space="preserve">CONTINUE LOADING </v>
          </cell>
          <cell r="AD1460">
            <v>0.95833333333333337</v>
          </cell>
          <cell r="AE1460" t="str">
            <v>WAITING MATERIAL</v>
          </cell>
        </row>
        <row r="1461">
          <cell r="C1461">
            <v>0.8618055555555556</v>
          </cell>
          <cell r="D1461" t="str">
            <v xml:space="preserve">CONTINUE LOADING </v>
          </cell>
          <cell r="O1461">
            <v>0.89722222222222225</v>
          </cell>
          <cell r="P1461" t="str">
            <v xml:space="preserve">CONTINUE LOADING </v>
          </cell>
          <cell r="X1461">
            <v>0.98472222222222228</v>
          </cell>
          <cell r="Y1461" t="str">
            <v xml:space="preserve">ONGOING LOADING </v>
          </cell>
          <cell r="AD1461">
            <v>6.3194444444444442E-2</v>
          </cell>
          <cell r="AE1461" t="str">
            <v xml:space="preserve">RESUME LOADING </v>
          </cell>
        </row>
        <row r="1462">
          <cell r="C1462">
            <v>0.87777777777777777</v>
          </cell>
          <cell r="D1462" t="str">
            <v>ONGOING LOADING</v>
          </cell>
          <cell r="O1462">
            <v>0.91180555555555554</v>
          </cell>
          <cell r="P1462" t="str">
            <v xml:space="preserve">ONGOING LOADING </v>
          </cell>
          <cell r="X1462">
            <v>0.5</v>
          </cell>
          <cell r="Y1462" t="str">
            <v>STEVEDORES BREAK</v>
          </cell>
          <cell r="AD1462">
            <v>8.7499999999999994E-2</v>
          </cell>
          <cell r="AE1462" t="str">
            <v xml:space="preserve">ONGOING  LOADING </v>
          </cell>
        </row>
        <row r="1463">
          <cell r="C1463">
            <v>0.89513888888888893</v>
          </cell>
          <cell r="D1463" t="str">
            <v xml:space="preserve">CONTINUE LOADING </v>
          </cell>
          <cell r="O1463">
            <v>0.97083333333333333</v>
          </cell>
          <cell r="P1463" t="str">
            <v xml:space="preserve">CONTINUE LOADING </v>
          </cell>
          <cell r="X1463">
            <v>6.6666666666666666E-2</v>
          </cell>
          <cell r="Y1463" t="str">
            <v xml:space="preserve">RESUME LOADING </v>
          </cell>
          <cell r="AD1463">
            <v>0.1111111111111111</v>
          </cell>
          <cell r="AE1463" t="str">
            <v xml:space="preserve">CONTINUE LOADING </v>
          </cell>
        </row>
        <row r="1464">
          <cell r="C1464">
            <v>0.90902777777777777</v>
          </cell>
          <cell r="D1464" t="str">
            <v>LOADING COMPLETE</v>
          </cell>
          <cell r="O1464">
            <v>0.5</v>
          </cell>
          <cell r="P1464" t="str">
            <v>STEVEDORES BREAK</v>
          </cell>
          <cell r="X1464">
            <v>9.583333333333334E-2</v>
          </cell>
          <cell r="Y1464" t="str">
            <v xml:space="preserve">ONGOING LOADING </v>
          </cell>
          <cell r="AD1464">
            <v>0.13402777777777777</v>
          </cell>
          <cell r="AE1464" t="str">
            <v>WAITING MATERIAL</v>
          </cell>
        </row>
        <row r="1465">
          <cell r="O1465">
            <v>5.6250000000000001E-2</v>
          </cell>
          <cell r="P1465" t="str">
            <v xml:space="preserve">RESUME LOADING </v>
          </cell>
          <cell r="X1465">
            <v>0.12361111111111112</v>
          </cell>
          <cell r="Y1465" t="str">
            <v xml:space="preserve">CONTINUE LOADING </v>
          </cell>
        </row>
        <row r="1466">
          <cell r="O1466">
            <v>8.1944444444444445E-2</v>
          </cell>
          <cell r="P1466" t="str">
            <v xml:space="preserve">ONGOING LOADING </v>
          </cell>
          <cell r="X1466">
            <v>0.14583333333333334</v>
          </cell>
          <cell r="Y1466" t="str">
            <v>WAITING LAPULAPU</v>
          </cell>
        </row>
        <row r="1467">
          <cell r="O1467">
            <v>0.10069444444444445</v>
          </cell>
          <cell r="P1467" t="str">
            <v xml:space="preserve">CONTINUE LOADING </v>
          </cell>
          <cell r="X1467">
            <v>0.20972222222222223</v>
          </cell>
          <cell r="Y1467" t="str">
            <v xml:space="preserve">RESUME LOADING </v>
          </cell>
        </row>
        <row r="1468">
          <cell r="O1468">
            <v>0.11527777777777778</v>
          </cell>
          <cell r="P1468" t="str">
            <v>LOADING COMPLETE</v>
          </cell>
          <cell r="X1468">
            <v>0.2326388888888889</v>
          </cell>
          <cell r="Y1468" t="str">
            <v xml:space="preserve">ONGOING LOADING </v>
          </cell>
        </row>
        <row r="1469">
          <cell r="X1469">
            <v>0.25</v>
          </cell>
          <cell r="Y1469" t="str">
            <v>VESSEL BREAK</v>
          </cell>
        </row>
        <row r="1470">
          <cell r="D1470" t="str">
            <v>VACANT</v>
          </cell>
          <cell r="G1470" t="str">
            <v>VACANT</v>
          </cell>
          <cell r="J1470" t="str">
            <v>VACANT</v>
          </cell>
          <cell r="M1470" t="str">
            <v>LADY OF PEACE</v>
          </cell>
          <cell r="P1470" t="str">
            <v>JISA</v>
          </cell>
          <cell r="S1470" t="str">
            <v>STAR ILIGAN</v>
          </cell>
          <cell r="V1470" t="str">
            <v>LADY OF WISDOM</v>
          </cell>
          <cell r="Y1470" t="str">
            <v>STAR DINAGAT</v>
          </cell>
          <cell r="AB1470" t="str">
            <v>LADY OF ROSARY</v>
          </cell>
          <cell r="AE1470" t="str">
            <v>QUEEN CAROLYN</v>
          </cell>
          <cell r="AH1470" t="str">
            <v>VACANT</v>
          </cell>
        </row>
        <row r="1471">
          <cell r="C1471" t="str">
            <v xml:space="preserve">  </v>
          </cell>
          <cell r="D1471" t="str">
            <v xml:space="preserve">  </v>
          </cell>
          <cell r="F1471" t="str">
            <v xml:space="preserve">  </v>
          </cell>
          <cell r="L1471">
            <v>0.79166666666666663</v>
          </cell>
          <cell r="M1471" t="str">
            <v>WAITING MATERIAL</v>
          </cell>
          <cell r="O1471">
            <v>0.57013888888888886</v>
          </cell>
          <cell r="P1471" t="str">
            <v>DOCK - SECURED</v>
          </cell>
          <cell r="R1471">
            <v>0.30555555555555558</v>
          </cell>
          <cell r="S1471" t="str">
            <v>KY TOOLBOX</v>
          </cell>
          <cell r="U1471">
            <v>0.33333333333333331</v>
          </cell>
          <cell r="V1471" t="str">
            <v>DOCK - SECURE</v>
          </cell>
          <cell r="X1471">
            <v>0.30555555555555558</v>
          </cell>
          <cell r="Y1471" t="str">
            <v>KY TOOLBOX</v>
          </cell>
          <cell r="AA1471">
            <v>0.30555555555555558</v>
          </cell>
          <cell r="AB1471" t="str">
            <v>KY TOOLBOX</v>
          </cell>
          <cell r="AD1471">
            <v>0.30555555555555558</v>
          </cell>
          <cell r="AE1471" t="str">
            <v>KY TOOLBOX</v>
          </cell>
          <cell r="AG1471" t="str">
            <v xml:space="preserve">     </v>
          </cell>
          <cell r="AH1471" t="str">
            <v xml:space="preserve">   </v>
          </cell>
        </row>
        <row r="1472">
          <cell r="L1472">
            <v>0.83333333333333337</v>
          </cell>
          <cell r="M1472" t="str">
            <v>WAITING FL ONBOARD</v>
          </cell>
          <cell r="O1472">
            <v>0.79166666666666663</v>
          </cell>
          <cell r="P1472" t="str">
            <v>WAITING MATERIAL</v>
          </cell>
          <cell r="R1472">
            <v>0.31944444444444442</v>
          </cell>
          <cell r="S1472" t="str">
            <v>WAITING MATERIAL</v>
          </cell>
          <cell r="U1472">
            <v>0.375</v>
          </cell>
          <cell r="V1472" t="str">
            <v>DOCK - SECURE</v>
          </cell>
          <cell r="X1472">
            <v>0.31944444444444442</v>
          </cell>
          <cell r="Y1472" t="str">
            <v>RESUME LOADING</v>
          </cell>
          <cell r="AA1472">
            <v>0.31944444444444442</v>
          </cell>
          <cell r="AB1472" t="str">
            <v xml:space="preserve">RESUME LOADING </v>
          </cell>
          <cell r="AD1472">
            <v>0.31944444444444442</v>
          </cell>
          <cell r="AE1472" t="str">
            <v>WAITING MATERIAL</v>
          </cell>
        </row>
        <row r="1473">
          <cell r="L1473">
            <v>6.25E-2</v>
          </cell>
          <cell r="M1473" t="str">
            <v>OPENING HATCHES</v>
          </cell>
          <cell r="O1473">
            <v>0.85416666666666663</v>
          </cell>
          <cell r="P1473" t="str">
            <v xml:space="preserve">COMMENCE LOADING </v>
          </cell>
          <cell r="R1473">
            <v>0.33333333333333331</v>
          </cell>
          <cell r="S1473" t="str">
            <v>WAITING MATERIAL</v>
          </cell>
          <cell r="U1473">
            <v>0.41666666666666669</v>
          </cell>
          <cell r="V1473" t="str">
            <v>DOCK - SECURE</v>
          </cell>
          <cell r="X1473">
            <v>0.39930555555555558</v>
          </cell>
          <cell r="Y1473" t="str">
            <v xml:space="preserve">CONTINUE LOADING </v>
          </cell>
          <cell r="AA1473">
            <v>0.35347222222222224</v>
          </cell>
          <cell r="AB1473" t="str">
            <v xml:space="preserve">CONTINUE LOADING </v>
          </cell>
          <cell r="AD1473">
            <v>0.33333333333333331</v>
          </cell>
          <cell r="AE1473" t="str">
            <v>WAITING MATERIAL</v>
          </cell>
        </row>
        <row r="1474">
          <cell r="L1474">
            <v>8.3333333333333329E-2</v>
          </cell>
          <cell r="M1474" t="str">
            <v>ONBOARD FL</v>
          </cell>
          <cell r="O1474">
            <v>0.87430555555555556</v>
          </cell>
          <cell r="P1474" t="str">
            <v xml:space="preserve">ONGOING LOADING </v>
          </cell>
          <cell r="R1474">
            <v>0.375</v>
          </cell>
          <cell r="S1474" t="str">
            <v>WAITING MATERIAL</v>
          </cell>
          <cell r="U1474">
            <v>0.45833333333333331</v>
          </cell>
          <cell r="V1474" t="str">
            <v>DOCK - SECURE</v>
          </cell>
          <cell r="X1474">
            <v>0.41666666666666669</v>
          </cell>
          <cell r="Y1474" t="str">
            <v>WAITING MATERIAL</v>
          </cell>
          <cell r="AA1474">
            <v>0.375</v>
          </cell>
          <cell r="AB1474" t="str">
            <v>WAITING MATERIAL</v>
          </cell>
          <cell r="AD1474">
            <v>0.375</v>
          </cell>
          <cell r="AE1474" t="str">
            <v>WAITING MATERIAL</v>
          </cell>
        </row>
        <row r="1475">
          <cell r="L1475">
            <v>0.10972222222222222</v>
          </cell>
          <cell r="M1475" t="str">
            <v xml:space="preserve">COMMENCE LOADING </v>
          </cell>
          <cell r="O1475">
            <v>0.89513888888888893</v>
          </cell>
          <cell r="P1475" t="str">
            <v xml:space="preserve">CONTINUE LOADING </v>
          </cell>
          <cell r="R1475">
            <v>0.41666666666666669</v>
          </cell>
          <cell r="S1475" t="str">
            <v>WAITING MATERIAL</v>
          </cell>
          <cell r="U1475">
            <v>0.5</v>
          </cell>
          <cell r="V1475" t="str">
            <v>LUNCH BREAK</v>
          </cell>
          <cell r="X1475">
            <v>0.45833333333333331</v>
          </cell>
          <cell r="Y1475" t="str">
            <v>WAITING MATERIAL</v>
          </cell>
          <cell r="AA1475">
            <v>0.41666666666666669</v>
          </cell>
          <cell r="AB1475" t="str">
            <v>WAITING MATERIAL</v>
          </cell>
          <cell r="AD1475">
            <v>0.4375</v>
          </cell>
          <cell r="AE1475" t="str">
            <v>CONTINUE LOADING</v>
          </cell>
        </row>
        <row r="1476">
          <cell r="L1476">
            <v>0.15555555555555556</v>
          </cell>
          <cell r="M1476" t="str">
            <v xml:space="preserve">ONGOING LOADING </v>
          </cell>
          <cell r="O1476">
            <v>0.95416666666666672</v>
          </cell>
          <cell r="P1476" t="str">
            <v xml:space="preserve">ONGOING LOADING </v>
          </cell>
          <cell r="R1476">
            <v>0.45833333333333331</v>
          </cell>
          <cell r="S1476" t="str">
            <v>WAITING MATERIAL</v>
          </cell>
          <cell r="U1476">
            <v>0.54166666666666663</v>
          </cell>
          <cell r="V1476" t="str">
            <v xml:space="preserve">COMMENCE LOADING </v>
          </cell>
          <cell r="X1476">
            <v>0.5</v>
          </cell>
          <cell r="Y1476" t="str">
            <v>LUNCH BREAK</v>
          </cell>
          <cell r="AA1476">
            <v>0.45833333333333331</v>
          </cell>
          <cell r="AB1476" t="str">
            <v>WAITING MATERIAL</v>
          </cell>
          <cell r="AD1476">
            <v>0.45833333333333331</v>
          </cell>
          <cell r="AE1476" t="str">
            <v>CONTINUE LOADING</v>
          </cell>
        </row>
        <row r="1477">
          <cell r="L1477">
            <v>0.1986111111111111</v>
          </cell>
          <cell r="M1477" t="str">
            <v xml:space="preserve">CONTINUE LOADING </v>
          </cell>
          <cell r="O1477">
            <v>0</v>
          </cell>
          <cell r="P1477" t="str">
            <v>STEVEDORES BREAK</v>
          </cell>
          <cell r="R1477">
            <v>0.5</v>
          </cell>
          <cell r="S1477" t="str">
            <v>LUNCH BREAL</v>
          </cell>
          <cell r="U1477">
            <v>0.59652777777777777</v>
          </cell>
          <cell r="V1477" t="str">
            <v xml:space="preserve">CONTINUE LOADING </v>
          </cell>
          <cell r="X1477">
            <v>0.54166666666666663</v>
          </cell>
          <cell r="Y1477" t="str">
            <v>WAITING MATERIAL</v>
          </cell>
          <cell r="AA1477">
            <v>0.5</v>
          </cell>
          <cell r="AB1477" t="str">
            <v>LUNCH BREAK</v>
          </cell>
          <cell r="AD1477">
            <v>0.5</v>
          </cell>
          <cell r="AE1477" t="str">
            <v>LUNCH BREAK</v>
          </cell>
        </row>
        <row r="1478">
          <cell r="O1478">
            <v>5.7638888888888892E-2</v>
          </cell>
          <cell r="P1478" t="str">
            <v xml:space="preserve">RESUME LOADING </v>
          </cell>
          <cell r="R1478">
            <v>0.54166666666666663</v>
          </cell>
          <cell r="S1478" t="str">
            <v>WAITING MATERIAL</v>
          </cell>
          <cell r="U1478">
            <v>0.62986111111111109</v>
          </cell>
          <cell r="V1478" t="str">
            <v>CONTINUE LOADING</v>
          </cell>
          <cell r="X1478">
            <v>0.58333333333333337</v>
          </cell>
          <cell r="Y1478" t="str">
            <v>WAITING MATERIAL</v>
          </cell>
          <cell r="AA1478">
            <v>0.54166666666666663</v>
          </cell>
          <cell r="AB1478" t="str">
            <v xml:space="preserve">RESUME LOADING </v>
          </cell>
          <cell r="AD1478">
            <v>0.54166666666666663</v>
          </cell>
          <cell r="AE1478" t="str">
            <v>CONTINUE LOADING</v>
          </cell>
        </row>
        <row r="1479">
          <cell r="O1479">
            <v>7.4305555555555555E-2</v>
          </cell>
          <cell r="P1479" t="str">
            <v xml:space="preserve">ONGOING LOADING </v>
          </cell>
          <cell r="R1479">
            <v>0.56319444444444444</v>
          </cell>
          <cell r="S1479" t="str">
            <v>CONTINUE LOADING</v>
          </cell>
          <cell r="U1479">
            <v>0.69166666666666665</v>
          </cell>
          <cell r="V1479" t="str">
            <v xml:space="preserve">CONTINUE LOADING </v>
          </cell>
          <cell r="X1479">
            <v>0.625</v>
          </cell>
          <cell r="Y1479" t="str">
            <v>WAITING MATERIAL</v>
          </cell>
          <cell r="AA1479">
            <v>0.66319444444444442</v>
          </cell>
          <cell r="AB1479" t="str">
            <v xml:space="preserve">CONTINUE LOADING </v>
          </cell>
          <cell r="AD1479">
            <v>0.64097222222222228</v>
          </cell>
          <cell r="AE1479" t="str">
            <v>CONTINUE LOADING</v>
          </cell>
        </row>
        <row r="1480">
          <cell r="O1480">
            <v>9.375E-2</v>
          </cell>
          <cell r="P1480" t="str">
            <v xml:space="preserve">CONTINUE LOADING </v>
          </cell>
          <cell r="R1480">
            <v>0.58333333333333337</v>
          </cell>
          <cell r="S1480" t="str">
            <v>WAITING MATERIAL</v>
          </cell>
          <cell r="U1480">
            <v>0.7006944444444444</v>
          </cell>
          <cell r="V1480" t="str">
            <v>VESSEL CLOSE</v>
          </cell>
          <cell r="X1480">
            <v>0.66805555555555551</v>
          </cell>
          <cell r="Y1480" t="str">
            <v>LOADING COMPLETE</v>
          </cell>
          <cell r="AA1480">
            <v>0.7006944444444444</v>
          </cell>
          <cell r="AB1480" t="str">
            <v>VESSEL CLOSE</v>
          </cell>
          <cell r="AD1480">
            <v>0.7006944444444444</v>
          </cell>
          <cell r="AE1480" t="str">
            <v>VESSEL CLOSE</v>
          </cell>
        </row>
        <row r="1481">
          <cell r="O1481">
            <v>0.10972222222222222</v>
          </cell>
          <cell r="P1481" t="str">
            <v xml:space="preserve">ONGOING LOADING </v>
          </cell>
          <cell r="R1481">
            <v>0.625</v>
          </cell>
          <cell r="S1481" t="str">
            <v>WAITING MATERIAL</v>
          </cell>
          <cell r="U1481">
            <v>0.79166666666666663</v>
          </cell>
          <cell r="V1481" t="str">
            <v>KY TOOLBOX</v>
          </cell>
          <cell r="AA1481">
            <v>0.79166666666666663</v>
          </cell>
          <cell r="AB1481" t="str">
            <v>KY TOOLBOX</v>
          </cell>
          <cell r="AD1481">
            <v>0.79166666666666663</v>
          </cell>
          <cell r="AE1481" t="str">
            <v>WAITING MATERIAL</v>
          </cell>
        </row>
        <row r="1482">
          <cell r="O1482">
            <v>0.12291666666666666</v>
          </cell>
          <cell r="P1482" t="str">
            <v xml:space="preserve">CONTINUE LOADING </v>
          </cell>
          <cell r="R1482">
            <v>0.66666666666666663</v>
          </cell>
          <cell r="S1482" t="str">
            <v>WAITING MATERIAL</v>
          </cell>
          <cell r="U1482">
            <v>0.83333333333333337</v>
          </cell>
          <cell r="V1482" t="str">
            <v>ONBOARD FORKLIFT</v>
          </cell>
          <cell r="AA1482">
            <v>0.82638888888888884</v>
          </cell>
          <cell r="AB1482" t="str">
            <v>OPENING HATCH</v>
          </cell>
          <cell r="AD1482">
            <v>0.86944444444444446</v>
          </cell>
          <cell r="AE1482" t="str">
            <v xml:space="preserve">RESUME LOADING </v>
          </cell>
        </row>
        <row r="1483">
          <cell r="O1483">
            <v>0.13958333333333334</v>
          </cell>
          <cell r="P1483" t="str">
            <v>ONGOING LOADI</v>
          </cell>
          <cell r="R1483">
            <v>0.7006944444444444</v>
          </cell>
          <cell r="S1483" t="str">
            <v>VESSEL CLOSE</v>
          </cell>
          <cell r="U1483">
            <v>0.85416666666666663</v>
          </cell>
          <cell r="V1483" t="str">
            <v>FL ONBOARD READY</v>
          </cell>
          <cell r="AA1483">
            <v>0.83263888888888893</v>
          </cell>
          <cell r="AB1483" t="str">
            <v xml:space="preserve">RESUME LOADING </v>
          </cell>
          <cell r="AD1483">
            <v>0.88680555555555551</v>
          </cell>
          <cell r="AE1483" t="str">
            <v xml:space="preserve">WAITING GEO </v>
          </cell>
        </row>
        <row r="1484">
          <cell r="O1484">
            <v>0.19930555555555557</v>
          </cell>
          <cell r="P1484" t="str">
            <v xml:space="preserve">CONTINUE LOADING </v>
          </cell>
          <cell r="R1484">
            <v>0.79166666666666663</v>
          </cell>
          <cell r="S1484" t="str">
            <v>WAITING MATERIAL</v>
          </cell>
          <cell r="U1484">
            <v>0.8833333333333333</v>
          </cell>
          <cell r="V1484" t="str">
            <v xml:space="preserve">RESUME LOADING </v>
          </cell>
          <cell r="AA1484">
            <v>0.8569444444444444</v>
          </cell>
          <cell r="AB1484" t="str">
            <v xml:space="preserve">ONGOING LOADING </v>
          </cell>
          <cell r="AD1484">
            <v>0.91666666666666663</v>
          </cell>
          <cell r="AE1484" t="str">
            <v xml:space="preserve">RESUME LOADING </v>
          </cell>
        </row>
        <row r="1485">
          <cell r="O1485">
            <v>0.21111111111111111</v>
          </cell>
          <cell r="P1485" t="str">
            <v xml:space="preserve">ONGOING LOADING </v>
          </cell>
          <cell r="U1485">
            <v>0.89930555555555558</v>
          </cell>
          <cell r="V1485" t="str">
            <v xml:space="preserve">ONGOING LOADING </v>
          </cell>
          <cell r="AA1485">
            <v>0.89166666666666672</v>
          </cell>
          <cell r="AB1485" t="str">
            <v xml:space="preserve">CONTINUE LOADING </v>
          </cell>
          <cell r="AD1485">
            <v>0.93402777777777779</v>
          </cell>
          <cell r="AE1485" t="str">
            <v>WAITING MATERIAL</v>
          </cell>
        </row>
        <row r="1486">
          <cell r="U1486">
            <v>0.92222222222222228</v>
          </cell>
          <cell r="V1486" t="str">
            <v xml:space="preserve">CONTINUE LOADING </v>
          </cell>
          <cell r="AA1486">
            <v>0.91666666666666663</v>
          </cell>
          <cell r="AB1486" t="str">
            <v xml:space="preserve">ONGOING LOADING </v>
          </cell>
          <cell r="AD1486">
            <v>7.4305555555555555E-2</v>
          </cell>
          <cell r="AE1486" t="str">
            <v xml:space="preserve">RESUME LOADING </v>
          </cell>
        </row>
        <row r="1487">
          <cell r="U1487">
            <v>0.9375</v>
          </cell>
          <cell r="V1487" t="str">
            <v xml:space="preserve">ONGOING LOADING </v>
          </cell>
          <cell r="AA1487">
            <v>0</v>
          </cell>
          <cell r="AB1487" t="str">
            <v>STEVEDORES BREAK</v>
          </cell>
          <cell r="AD1487">
            <v>9.6527777777777782E-2</v>
          </cell>
          <cell r="AE1487" t="str">
            <v>WAITING MATERIAL</v>
          </cell>
        </row>
        <row r="1488">
          <cell r="U1488">
            <v>0.9604166666666667</v>
          </cell>
          <cell r="V1488" t="str">
            <v xml:space="preserve">CONTINUE LOADING </v>
          </cell>
          <cell r="AA1488">
            <v>5.5555555555555552E-2</v>
          </cell>
          <cell r="AB1488" t="str">
            <v xml:space="preserve">RESUME LOADING </v>
          </cell>
        </row>
        <row r="1489">
          <cell r="U1489">
            <v>0.9770833333333333</v>
          </cell>
          <cell r="V1489" t="str">
            <v xml:space="preserve">ONGOING LOADING </v>
          </cell>
          <cell r="AA1489">
            <v>6.458333333333334E-2</v>
          </cell>
          <cell r="AB1489" t="str">
            <v xml:space="preserve">ONGOING LOADING </v>
          </cell>
        </row>
        <row r="1490">
          <cell r="U1490">
            <v>0</v>
          </cell>
          <cell r="V1490" t="str">
            <v xml:space="preserve">CONTINUE LOADING </v>
          </cell>
          <cell r="AA1490">
            <v>0.12708333333333333</v>
          </cell>
          <cell r="AB1490" t="str">
            <v xml:space="preserve">CONTINUE LOADING </v>
          </cell>
        </row>
        <row r="1491">
          <cell r="U1491">
            <v>5.5555555555555552E-2</v>
          </cell>
          <cell r="V1491" t="str">
            <v xml:space="preserve">RESUME LOADING </v>
          </cell>
          <cell r="AA1491">
            <v>0.16597222222222222</v>
          </cell>
          <cell r="AB1491" t="str">
            <v xml:space="preserve">ONGOING LOADING </v>
          </cell>
        </row>
        <row r="1492">
          <cell r="U1492">
            <v>7.5694444444444439E-2</v>
          </cell>
          <cell r="V1492" t="str">
            <v xml:space="preserve">ONGOING LOADING </v>
          </cell>
        </row>
        <row r="1493">
          <cell r="U1493">
            <v>0.1076388888888889</v>
          </cell>
          <cell r="V1493" t="str">
            <v xml:space="preserve">CONTINUE LOADING </v>
          </cell>
        </row>
        <row r="1494">
          <cell r="U1494">
            <v>0.12152777777777778</v>
          </cell>
          <cell r="V1494" t="str">
            <v xml:space="preserve">ONGOING LOADING </v>
          </cell>
        </row>
        <row r="1495">
          <cell r="U1495">
            <v>0.2</v>
          </cell>
          <cell r="V1495" t="str">
            <v xml:space="preserve">CONTINUE LOADING </v>
          </cell>
        </row>
        <row r="1496">
          <cell r="U1496">
            <v>0.21805555555555556</v>
          </cell>
          <cell r="V1496" t="str">
            <v xml:space="preserve">ONGOING LOADING </v>
          </cell>
        </row>
        <row r="1497">
          <cell r="D1497" t="str">
            <v>VACANT</v>
          </cell>
          <cell r="G1497" t="str">
            <v>VACANT</v>
          </cell>
          <cell r="J1497" t="str">
            <v>VACANT</v>
          </cell>
          <cell r="M1497" t="str">
            <v>LADY OF PEACE</v>
          </cell>
          <cell r="P1497" t="str">
            <v>JISA</v>
          </cell>
          <cell r="S1497" t="str">
            <v>STAR ILIGAN</v>
          </cell>
          <cell r="V1497" t="str">
            <v>LADY OF WISDOM</v>
          </cell>
          <cell r="Y1497" t="str">
            <v>VACANT</v>
          </cell>
          <cell r="AB1497" t="str">
            <v>LADY OF ROSARY</v>
          </cell>
          <cell r="AE1497" t="str">
            <v>QUEEN CAROLYN</v>
          </cell>
          <cell r="AH1497" t="str">
            <v>VACANT</v>
          </cell>
        </row>
        <row r="1498">
          <cell r="C1498" t="str">
            <v xml:space="preserve">  </v>
          </cell>
          <cell r="D1498" t="str">
            <v xml:space="preserve">   </v>
          </cell>
          <cell r="F1498" t="str">
            <v xml:space="preserve">   </v>
          </cell>
          <cell r="L1498">
            <v>0.30555555555555558</v>
          </cell>
          <cell r="M1498" t="str">
            <v>KY TOOLBOX</v>
          </cell>
          <cell r="O1498">
            <v>0.30555555555555558</v>
          </cell>
          <cell r="P1498" t="str">
            <v>KY TOOLBOX</v>
          </cell>
          <cell r="R1498">
            <v>0.30555555555555558</v>
          </cell>
          <cell r="S1498" t="str">
            <v>KY TOOLBOX</v>
          </cell>
          <cell r="U1498">
            <v>0.30555555555555558</v>
          </cell>
          <cell r="V1498" t="str">
            <v>KY TOOLBOX</v>
          </cell>
          <cell r="X1498" t="str">
            <v xml:space="preserve">  </v>
          </cell>
          <cell r="Y1498" t="str">
            <v xml:space="preserve">   </v>
          </cell>
          <cell r="AA1498">
            <v>0.30555555555555558</v>
          </cell>
          <cell r="AB1498" t="str">
            <v>KY TOOLBOX</v>
          </cell>
          <cell r="AD1498">
            <v>0.30555555555555558</v>
          </cell>
          <cell r="AE1498" t="str">
            <v>KY TOOLBOX</v>
          </cell>
          <cell r="AG1498" t="str">
            <v xml:space="preserve">   </v>
          </cell>
          <cell r="AH1498" t="str">
            <v xml:space="preserve">   </v>
          </cell>
        </row>
        <row r="1499">
          <cell r="L1499">
            <v>0.33333333333333331</v>
          </cell>
          <cell r="M1499" t="str">
            <v>RESUME LOADING</v>
          </cell>
          <cell r="O1499">
            <v>0.33333333333333331</v>
          </cell>
          <cell r="P1499" t="str">
            <v>RESUME LOADING</v>
          </cell>
          <cell r="R1499">
            <v>0.33333333333333331</v>
          </cell>
          <cell r="S1499" t="str">
            <v>WAITING MATERIAL</v>
          </cell>
          <cell r="U1499">
            <v>0.33333333333333331</v>
          </cell>
          <cell r="V1499" t="str">
            <v>RESUME LOADING</v>
          </cell>
          <cell r="AA1499">
            <v>0.33333333333333331</v>
          </cell>
          <cell r="AB1499" t="str">
            <v xml:space="preserve">RESUME LOADING </v>
          </cell>
          <cell r="AD1499">
            <v>0.33333333333333331</v>
          </cell>
          <cell r="AE1499" t="str">
            <v>WAITING MATERIAL</v>
          </cell>
        </row>
        <row r="1500">
          <cell r="L1500">
            <v>0.37569444444444444</v>
          </cell>
          <cell r="M1500" t="str">
            <v xml:space="preserve">CONTINUE LOADING </v>
          </cell>
          <cell r="O1500">
            <v>0.37638888888888888</v>
          </cell>
          <cell r="P1500" t="str">
            <v>CONTINUE LOADING</v>
          </cell>
          <cell r="R1500">
            <v>0.375</v>
          </cell>
          <cell r="S1500" t="str">
            <v>WAITING MATERIAL</v>
          </cell>
          <cell r="U1500">
            <v>0.37569444444444444</v>
          </cell>
          <cell r="V1500" t="str">
            <v xml:space="preserve">CONTINUE LOADING </v>
          </cell>
          <cell r="AA1500">
            <v>0.38680555555555557</v>
          </cell>
          <cell r="AB1500" t="str">
            <v xml:space="preserve">CONTINUE LOADING </v>
          </cell>
          <cell r="AD1500">
            <v>0.375</v>
          </cell>
          <cell r="AE1500" t="str">
            <v>WAITING MATERIAL</v>
          </cell>
        </row>
        <row r="1501">
          <cell r="L1501">
            <v>0.43194444444444446</v>
          </cell>
          <cell r="M1501" t="str">
            <v xml:space="preserve">CONTINUE LOADING </v>
          </cell>
          <cell r="O1501">
            <v>0.4375</v>
          </cell>
          <cell r="P1501" t="str">
            <v>CONTINUE LOADING</v>
          </cell>
          <cell r="R1501">
            <v>0.41666666666666669</v>
          </cell>
          <cell r="S1501" t="str">
            <v>WAITING MATERIAL</v>
          </cell>
          <cell r="U1501">
            <v>0.41736111111111113</v>
          </cell>
          <cell r="V1501" t="str">
            <v>WAITING MATERIAL</v>
          </cell>
          <cell r="AA1501">
            <v>0.42708333333333331</v>
          </cell>
          <cell r="AB1501" t="str">
            <v xml:space="preserve">CONTINUE LOADING </v>
          </cell>
          <cell r="AD1501">
            <v>0.41666666666666669</v>
          </cell>
          <cell r="AE1501" t="str">
            <v>WAITING MATERIAL</v>
          </cell>
        </row>
        <row r="1502">
          <cell r="L1502">
            <v>0.45833333333333331</v>
          </cell>
          <cell r="M1502" t="str">
            <v xml:space="preserve">CONTINUE LOADING </v>
          </cell>
          <cell r="O1502">
            <v>0.46527777777777779</v>
          </cell>
          <cell r="P1502" t="str">
            <v>CONTINUE LOADING</v>
          </cell>
          <cell r="R1502">
            <v>0.45833333333333331</v>
          </cell>
          <cell r="S1502" t="str">
            <v>WAITING MATERIAL</v>
          </cell>
          <cell r="U1502">
            <v>0.45833333333333331</v>
          </cell>
          <cell r="V1502" t="str">
            <v>WAITING MATERIAL</v>
          </cell>
          <cell r="AA1502">
            <v>0.46527777777777779</v>
          </cell>
          <cell r="AB1502" t="str">
            <v>COMPLETE LOADING</v>
          </cell>
          <cell r="AD1502">
            <v>0.45833333333333331</v>
          </cell>
          <cell r="AE1502" t="str">
            <v>WAITING MATERIAL</v>
          </cell>
        </row>
        <row r="1503">
          <cell r="L1503">
            <v>0.5</v>
          </cell>
          <cell r="M1503" t="str">
            <v>LUNCH BREAK</v>
          </cell>
          <cell r="O1503">
            <v>0.5</v>
          </cell>
          <cell r="P1503" t="str">
            <v>LUNCH BREAK</v>
          </cell>
          <cell r="R1503">
            <v>0.5</v>
          </cell>
          <cell r="S1503" t="str">
            <v>LUNCH BREAK</v>
          </cell>
          <cell r="U1503">
            <v>0.5</v>
          </cell>
          <cell r="V1503" t="str">
            <v>LUNCH BREAK</v>
          </cell>
          <cell r="AD1503">
            <v>0.5</v>
          </cell>
          <cell r="AE1503" t="str">
            <v>LUNCH BREAK</v>
          </cell>
        </row>
        <row r="1504">
          <cell r="L1504">
            <v>0.55555555555555558</v>
          </cell>
          <cell r="M1504" t="str">
            <v>STOP LOADING</v>
          </cell>
          <cell r="O1504">
            <v>0.55555555555555558</v>
          </cell>
          <cell r="P1504" t="str">
            <v>RESUME LOADING</v>
          </cell>
          <cell r="R1504">
            <v>0.54166666666666663</v>
          </cell>
          <cell r="S1504" t="str">
            <v>WAITING MATERIAL</v>
          </cell>
          <cell r="U1504">
            <v>0.54166666666666663</v>
          </cell>
          <cell r="V1504" t="str">
            <v>WAITING MATERIAL</v>
          </cell>
          <cell r="AD1504">
            <v>0.55555555555555558</v>
          </cell>
          <cell r="AE1504" t="str">
            <v>RESUME LOADING</v>
          </cell>
        </row>
        <row r="1505">
          <cell r="L1505">
            <v>0.58333333333333337</v>
          </cell>
          <cell r="M1505" t="str">
            <v>STOP LOADING</v>
          </cell>
          <cell r="O1505">
            <v>0.59861111111111109</v>
          </cell>
          <cell r="P1505" t="str">
            <v>CONTINUE LOADING</v>
          </cell>
          <cell r="R1505">
            <v>0.58333333333333337</v>
          </cell>
          <cell r="S1505" t="str">
            <v xml:space="preserve">STOP LOADING </v>
          </cell>
          <cell r="U1505">
            <v>0.58333333333333337</v>
          </cell>
          <cell r="V1505" t="str">
            <v>WAITING MATERIAL</v>
          </cell>
          <cell r="AD1505">
            <v>0.59166666666666667</v>
          </cell>
          <cell r="AE1505" t="str">
            <v>CONTINUE LOADING</v>
          </cell>
        </row>
        <row r="1506">
          <cell r="L1506">
            <v>0.625</v>
          </cell>
          <cell r="M1506" t="str">
            <v>STOP LOADING</v>
          </cell>
          <cell r="O1506">
            <v>0.63541666666666663</v>
          </cell>
          <cell r="P1506" t="str">
            <v>CONTINUE LOADING</v>
          </cell>
          <cell r="R1506">
            <v>0.625</v>
          </cell>
          <cell r="S1506" t="str">
            <v xml:space="preserve">STOP LOADING </v>
          </cell>
          <cell r="U1506">
            <v>0.625</v>
          </cell>
          <cell r="V1506" t="str">
            <v>WAITING MATERIAL</v>
          </cell>
          <cell r="AD1506">
            <v>0.625</v>
          </cell>
          <cell r="AE1506" t="str">
            <v>CONTINUE LOADING</v>
          </cell>
        </row>
        <row r="1507">
          <cell r="L1507">
            <v>0.66666666666666663</v>
          </cell>
          <cell r="M1507" t="str">
            <v>STOP LOADING</v>
          </cell>
          <cell r="O1507">
            <v>0.66736111111111107</v>
          </cell>
          <cell r="P1507" t="str">
            <v xml:space="preserve">CONTINUE LOADING </v>
          </cell>
          <cell r="R1507">
            <v>0.66666666666666663</v>
          </cell>
          <cell r="S1507" t="str">
            <v xml:space="preserve">STOP LOADING </v>
          </cell>
          <cell r="U1507">
            <v>0.66666666666666663</v>
          </cell>
          <cell r="V1507" t="str">
            <v>WAITING MATERIAL</v>
          </cell>
          <cell r="AD1507">
            <v>0.66666666666666663</v>
          </cell>
          <cell r="AE1507" t="str">
            <v>WAITING MATERIAL</v>
          </cell>
        </row>
        <row r="1508">
          <cell r="L1508">
            <v>0.70833333333333337</v>
          </cell>
          <cell r="M1508" t="str">
            <v>STOP LOADING</v>
          </cell>
          <cell r="O1508">
            <v>0.72916666666666663</v>
          </cell>
          <cell r="P1508" t="str">
            <v>CONTINUE LOADING</v>
          </cell>
          <cell r="R1508">
            <v>0.70833333333333337</v>
          </cell>
          <cell r="S1508" t="str">
            <v xml:space="preserve">STOP LOADING </v>
          </cell>
          <cell r="U1508">
            <v>0.70833333333333337</v>
          </cell>
          <cell r="V1508" t="str">
            <v>WAITING MATERIAL</v>
          </cell>
          <cell r="AD1508">
            <v>0.70833333333333337</v>
          </cell>
          <cell r="AE1508" t="str">
            <v>WAITING MATERIAL</v>
          </cell>
        </row>
        <row r="1509">
          <cell r="L1509">
            <v>0.75</v>
          </cell>
          <cell r="M1509" t="str">
            <v>STOP LOADING</v>
          </cell>
          <cell r="O1509">
            <v>0.75</v>
          </cell>
          <cell r="P1509" t="str">
            <v>VESSEL BREAK</v>
          </cell>
          <cell r="R1509">
            <v>0.75</v>
          </cell>
          <cell r="S1509" t="str">
            <v xml:space="preserve">STOP LOADING </v>
          </cell>
          <cell r="U1509">
            <v>0.75</v>
          </cell>
          <cell r="V1509" t="str">
            <v>WAITING MATERIAL</v>
          </cell>
          <cell r="AD1509">
            <v>0.75</v>
          </cell>
          <cell r="AE1509" t="str">
            <v>WAITING MATERIAL</v>
          </cell>
        </row>
        <row r="1510">
          <cell r="L1510">
            <v>0.79166666666666663</v>
          </cell>
          <cell r="M1510" t="str">
            <v>KY TOOLBOX</v>
          </cell>
          <cell r="O1510">
            <v>0.79166666666666663</v>
          </cell>
          <cell r="P1510" t="str">
            <v>KY TOOLBOX</v>
          </cell>
          <cell r="R1510">
            <v>0.79166666666666663</v>
          </cell>
          <cell r="S1510" t="str">
            <v>KY TOOLBOX</v>
          </cell>
          <cell r="U1510">
            <v>0.79166666666666663</v>
          </cell>
          <cell r="V1510" t="str">
            <v>WAITING MATERIAL</v>
          </cell>
        </row>
        <row r="1511">
          <cell r="L1511">
            <v>0.83333333333333337</v>
          </cell>
          <cell r="M1511" t="str">
            <v>STOP LOADING</v>
          </cell>
          <cell r="O1511">
            <v>0.83333333333333337</v>
          </cell>
          <cell r="P1511" t="str">
            <v>CONTINUE LOADING</v>
          </cell>
          <cell r="R1511">
            <v>0.83333333333333337</v>
          </cell>
          <cell r="S1511" t="str">
            <v xml:space="preserve">STOP LOADING </v>
          </cell>
        </row>
        <row r="1512">
          <cell r="L1512">
            <v>0.875</v>
          </cell>
          <cell r="M1512" t="str">
            <v>STOP LOADING</v>
          </cell>
          <cell r="O1512">
            <v>0.88888888888888884</v>
          </cell>
          <cell r="P1512" t="str">
            <v>COMPLETE LOADING</v>
          </cell>
          <cell r="R1512">
            <v>0.875</v>
          </cell>
          <cell r="S1512" t="str">
            <v xml:space="preserve">STOP LOADING </v>
          </cell>
        </row>
        <row r="1513">
          <cell r="L1513">
            <v>0.91666666666666663</v>
          </cell>
          <cell r="M1513" t="str">
            <v>STOP LOADING</v>
          </cell>
          <cell r="R1513">
            <v>0.91666666666666663</v>
          </cell>
          <cell r="S1513" t="str">
            <v xml:space="preserve">STOP LOADING </v>
          </cell>
        </row>
        <row r="1514">
          <cell r="L1514">
            <v>0.95833333333333337</v>
          </cell>
          <cell r="M1514" t="str">
            <v>STOP LOADING</v>
          </cell>
          <cell r="R1514">
            <v>0.95833333333333337</v>
          </cell>
          <cell r="S1514" t="str">
            <v xml:space="preserve">STOP LOADING </v>
          </cell>
        </row>
        <row r="1515">
          <cell r="L1515">
            <v>0</v>
          </cell>
          <cell r="M1515" t="str">
            <v>STOP LOADING</v>
          </cell>
          <cell r="R1515">
            <v>0</v>
          </cell>
          <cell r="S1515" t="str">
            <v xml:space="preserve">STOP LOADING </v>
          </cell>
        </row>
        <row r="1516">
          <cell r="L1516">
            <v>4.1666666666666664E-2</v>
          </cell>
          <cell r="M1516" t="str">
            <v>STOP LOADING</v>
          </cell>
          <cell r="R1516">
            <v>4.1666666666666664E-2</v>
          </cell>
          <cell r="S1516" t="str">
            <v xml:space="preserve">STOP LOADING </v>
          </cell>
        </row>
        <row r="1517">
          <cell r="L1517">
            <v>8.3333333333333329E-2</v>
          </cell>
          <cell r="M1517" t="str">
            <v>STOP LOADING</v>
          </cell>
          <cell r="R1517">
            <v>8.3333333333333329E-2</v>
          </cell>
          <cell r="S1517" t="str">
            <v xml:space="preserve">STOP LOADING </v>
          </cell>
        </row>
        <row r="1518">
          <cell r="D1518" t="str">
            <v>SF NAVIGATOR</v>
          </cell>
          <cell r="G1518" t="str">
            <v>EFG 7</v>
          </cell>
          <cell r="J1518" t="str">
            <v>VACANT</v>
          </cell>
          <cell r="M1518" t="str">
            <v>VACANT</v>
          </cell>
          <cell r="P1518" t="str">
            <v>LADY OF PEACE</v>
          </cell>
          <cell r="S1518" t="str">
            <v>STAR ILIGAN</v>
          </cell>
          <cell r="V1518" t="str">
            <v>LADY OF WISDOM</v>
          </cell>
          <cell r="Y1518" t="str">
            <v>VACANT</v>
          </cell>
          <cell r="AB1518" t="str">
            <v>VACANT</v>
          </cell>
          <cell r="AE1518" t="str">
            <v>QUEEN CAROLYN</v>
          </cell>
          <cell r="AH1518" t="str">
            <v>VACANT</v>
          </cell>
        </row>
        <row r="1519">
          <cell r="C1519">
            <v>0.29166666666666669</v>
          </cell>
          <cell r="D1519" t="str">
            <v>NEWLY SECURED</v>
          </cell>
          <cell r="F1519">
            <v>5.5555555555555552E-2</v>
          </cell>
          <cell r="G1519" t="str">
            <v>CONTINUE LOADING</v>
          </cell>
          <cell r="J1519" t="str">
            <v xml:space="preserve"> </v>
          </cell>
          <cell r="M1519" t="str">
            <v xml:space="preserve"> </v>
          </cell>
          <cell r="O1519">
            <v>0.29166666666666669</v>
          </cell>
          <cell r="P1519" t="str">
            <v>KY TOOLBOX</v>
          </cell>
          <cell r="R1519">
            <v>0.29166666666666669</v>
          </cell>
          <cell r="S1519" t="str">
            <v>KY TOOLBOX</v>
          </cell>
          <cell r="U1519">
            <v>0.29166666666666669</v>
          </cell>
          <cell r="V1519" t="str">
            <v>WAITING MATERIAL</v>
          </cell>
          <cell r="X1519" t="str">
            <v xml:space="preserve">  </v>
          </cell>
          <cell r="Y1519" t="str">
            <v xml:space="preserve"> </v>
          </cell>
          <cell r="AA1519" t="str">
            <v xml:space="preserve">  </v>
          </cell>
          <cell r="AB1519" t="str">
            <v xml:space="preserve"> </v>
          </cell>
          <cell r="AD1519">
            <v>0.29166666666666669</v>
          </cell>
          <cell r="AE1519" t="str">
            <v>WAITING MATERIAL</v>
          </cell>
          <cell r="AG1519" t="str">
            <v xml:space="preserve">   </v>
          </cell>
          <cell r="AH1519" t="str">
            <v xml:space="preserve"> </v>
          </cell>
        </row>
        <row r="1520">
          <cell r="C1520">
            <v>0.54166666666666663</v>
          </cell>
          <cell r="D1520" t="str">
            <v>WAITING MATERIAL</v>
          </cell>
          <cell r="O1520">
            <v>0.33333333333333331</v>
          </cell>
          <cell r="P1520" t="str">
            <v>UNSAFE TO LOAD</v>
          </cell>
          <cell r="R1520">
            <v>0.33333333333333331</v>
          </cell>
          <cell r="S1520" t="str">
            <v>OPENING HATCH</v>
          </cell>
          <cell r="U1520">
            <v>0.41041666666666665</v>
          </cell>
          <cell r="V1520" t="str">
            <v xml:space="preserve">RESUME LOADING </v>
          </cell>
          <cell r="AD1520">
            <v>0.41666666666666669</v>
          </cell>
          <cell r="AE1520" t="str">
            <v>WAITING LAPU LAPU</v>
          </cell>
        </row>
        <row r="1521">
          <cell r="C1521">
            <v>0.80208333333333337</v>
          </cell>
          <cell r="D1521" t="str">
            <v>KY TOOLBOX</v>
          </cell>
          <cell r="O1521">
            <v>0.54166666666666663</v>
          </cell>
          <cell r="P1521" t="str">
            <v>UNSAFE TO LOAD</v>
          </cell>
          <cell r="R1521">
            <v>0.375</v>
          </cell>
          <cell r="S1521" t="str">
            <v>WAITING FOR ADVISE</v>
          </cell>
          <cell r="U1521">
            <v>0.42986111111111114</v>
          </cell>
          <cell r="V1521" t="str">
            <v xml:space="preserve">ONGOING LOADING </v>
          </cell>
          <cell r="AD1521">
            <v>0.43402777777777779</v>
          </cell>
          <cell r="AE1521" t="str">
            <v xml:space="preserve">RESUME LOADING </v>
          </cell>
        </row>
        <row r="1522">
          <cell r="C1522">
            <v>0.8125</v>
          </cell>
          <cell r="D1522" t="str">
            <v>NO COMMENCE</v>
          </cell>
          <cell r="O1522">
            <v>0.80208333333333337</v>
          </cell>
          <cell r="P1522" t="str">
            <v>KY TOOLBOX</v>
          </cell>
          <cell r="R1522">
            <v>0.54166666666666663</v>
          </cell>
          <cell r="S1522" t="str">
            <v>WAITING FOR ADVISE</v>
          </cell>
          <cell r="U1522">
            <v>0.4465277777777778</v>
          </cell>
          <cell r="V1522" t="str">
            <v xml:space="preserve">CONTINUE LOADING </v>
          </cell>
          <cell r="AD1522">
            <v>0.45902777777777776</v>
          </cell>
          <cell r="AE1522" t="str">
            <v xml:space="preserve">CONTINUE LOADING </v>
          </cell>
        </row>
        <row r="1523">
          <cell r="C1523">
            <v>0.83333333333333337</v>
          </cell>
          <cell r="D1523" t="str">
            <v>NO COMMENCE</v>
          </cell>
          <cell r="O1523">
            <v>0.8125</v>
          </cell>
          <cell r="P1523" t="str">
            <v>CONTINUE LOADING</v>
          </cell>
          <cell r="R1523">
            <v>0.58333333333333337</v>
          </cell>
          <cell r="S1523" t="str">
            <v xml:space="preserve">RESUME LOADING </v>
          </cell>
          <cell r="U1523">
            <v>0.5</v>
          </cell>
          <cell r="V1523" t="str">
            <v>LUNCHBREAK</v>
          </cell>
          <cell r="AD1523">
            <v>0.54166666666666663</v>
          </cell>
          <cell r="AE1523" t="str">
            <v>WAITING MATERIAL</v>
          </cell>
        </row>
        <row r="1524">
          <cell r="C1524">
            <v>0.875</v>
          </cell>
          <cell r="D1524" t="str">
            <v>NO COMMENCE</v>
          </cell>
          <cell r="O1524">
            <v>0.84097222222222223</v>
          </cell>
          <cell r="P1524" t="str">
            <v>CONTINUE LOADING</v>
          </cell>
          <cell r="R1524">
            <v>0.625</v>
          </cell>
          <cell r="S1524" t="str">
            <v xml:space="preserve">STOP LOADING </v>
          </cell>
          <cell r="U1524">
            <v>0.54166666666666663</v>
          </cell>
          <cell r="V1524" t="str">
            <v xml:space="preserve">STOP LOADING </v>
          </cell>
          <cell r="AD1524">
            <v>0.56736111111111109</v>
          </cell>
          <cell r="AE1524" t="str">
            <v xml:space="preserve">RESUME LOADING </v>
          </cell>
        </row>
        <row r="1525">
          <cell r="C1525">
            <v>0.91666666666666663</v>
          </cell>
          <cell r="D1525" t="str">
            <v>NO COMMENCE</v>
          </cell>
          <cell r="O1525">
            <v>0.90625</v>
          </cell>
          <cell r="P1525" t="str">
            <v>CONTINUE LOADING</v>
          </cell>
          <cell r="R1525">
            <v>0.80208333333333337</v>
          </cell>
          <cell r="S1525" t="str">
            <v>KY TOOLBOX</v>
          </cell>
          <cell r="U1525">
            <v>0.58819444444444446</v>
          </cell>
          <cell r="V1525" t="str">
            <v xml:space="preserve">RESUME LOADING </v>
          </cell>
          <cell r="AD1525">
            <v>0.58888888888888891</v>
          </cell>
          <cell r="AE1525" t="str">
            <v xml:space="preserve">ONGOING LOADING </v>
          </cell>
        </row>
        <row r="1526">
          <cell r="C1526">
            <v>0.95833333333333337</v>
          </cell>
          <cell r="D1526" t="str">
            <v>NO COMMENCE</v>
          </cell>
          <cell r="O1526">
            <v>0.93402777777777779</v>
          </cell>
          <cell r="P1526" t="str">
            <v xml:space="preserve">CONTINUE LOADING </v>
          </cell>
          <cell r="R1526">
            <v>0.8125</v>
          </cell>
          <cell r="S1526" t="str">
            <v xml:space="preserve">STOP LOADING </v>
          </cell>
          <cell r="U1526">
            <v>0.625</v>
          </cell>
          <cell r="V1526" t="str">
            <v xml:space="preserve">STOP LOADING </v>
          </cell>
          <cell r="AD1526">
            <v>0.625</v>
          </cell>
          <cell r="AE1526" t="str">
            <v xml:space="preserve">STOP LOADING </v>
          </cell>
        </row>
        <row r="1527">
          <cell r="C1527">
            <v>3.125E-2</v>
          </cell>
          <cell r="D1527" t="str">
            <v>COMMENCE LOADING</v>
          </cell>
          <cell r="O1527">
            <v>0.96875</v>
          </cell>
          <cell r="P1527" t="str">
            <v xml:space="preserve">CONTINUE LOADING </v>
          </cell>
          <cell r="R1527">
            <v>0.83333333333333337</v>
          </cell>
          <cell r="S1527" t="str">
            <v xml:space="preserve">STOP LOADING </v>
          </cell>
          <cell r="U1527">
            <v>0.70625000000000004</v>
          </cell>
          <cell r="V1527" t="str">
            <v xml:space="preserve">RESUME LOADING </v>
          </cell>
          <cell r="AD1527">
            <v>0.80208333333333337</v>
          </cell>
          <cell r="AE1527" t="str">
            <v>KY TOOLBOX</v>
          </cell>
        </row>
        <row r="1528">
          <cell r="C1528">
            <v>5.9722222222222225E-2</v>
          </cell>
          <cell r="D1528" t="str">
            <v>CONTINUE LOADING</v>
          </cell>
          <cell r="O1528">
            <v>3.0555555555555555E-2</v>
          </cell>
          <cell r="P1528" t="str">
            <v>CONTINUE LOADING</v>
          </cell>
          <cell r="R1528">
            <v>0.875</v>
          </cell>
          <cell r="S1528" t="str">
            <v xml:space="preserve">STOP LOADING </v>
          </cell>
          <cell r="U1528">
            <v>0.71736111111111112</v>
          </cell>
          <cell r="V1528" t="str">
            <v xml:space="preserve">CONTINUE LOADING </v>
          </cell>
          <cell r="AD1528">
            <v>0.8125</v>
          </cell>
          <cell r="AE1528" t="str">
            <v xml:space="preserve">CONTINUE LOADING </v>
          </cell>
        </row>
        <row r="1529">
          <cell r="C1529">
            <v>0.20833333333333334</v>
          </cell>
          <cell r="D1529" t="str">
            <v>STOP LOADING</v>
          </cell>
          <cell r="O1529">
            <v>5.6944444444444443E-2</v>
          </cell>
          <cell r="P1529" t="str">
            <v xml:space="preserve">CONTINUE LOADING </v>
          </cell>
          <cell r="R1529">
            <v>0.91666666666666663</v>
          </cell>
          <cell r="S1529" t="str">
            <v xml:space="preserve">STOP LOADING </v>
          </cell>
          <cell r="U1529">
            <v>0.75</v>
          </cell>
          <cell r="V1529" t="str">
            <v>VESSEL BREAK</v>
          </cell>
          <cell r="AD1529">
            <v>0.83680555555555558</v>
          </cell>
          <cell r="AE1529" t="str">
            <v xml:space="preserve">CONTINUE LOADING </v>
          </cell>
        </row>
        <row r="1530">
          <cell r="O1530">
            <v>0.10625</v>
          </cell>
          <cell r="P1530" t="str">
            <v>CONTINUE LOADING</v>
          </cell>
          <cell r="R1530">
            <v>0.95833333333333337</v>
          </cell>
          <cell r="S1530" t="str">
            <v xml:space="preserve">STOP LOADING </v>
          </cell>
          <cell r="U1530">
            <v>0.80208333333333337</v>
          </cell>
          <cell r="V1530" t="str">
            <v>KY TOOLBOX</v>
          </cell>
          <cell r="AD1530">
            <v>0.89027777777777772</v>
          </cell>
          <cell r="AE1530" t="str">
            <v xml:space="preserve">CONTINUE LOADING </v>
          </cell>
        </row>
        <row r="1531">
          <cell r="O1531">
            <v>0.13541666666666666</v>
          </cell>
          <cell r="P1531" t="str">
            <v>CONTINUE LOADING</v>
          </cell>
          <cell r="R1531">
            <v>0</v>
          </cell>
          <cell r="S1531" t="str">
            <v xml:space="preserve">STOP LOADING </v>
          </cell>
          <cell r="U1531">
            <v>0.8125</v>
          </cell>
          <cell r="V1531" t="str">
            <v>CONTINUE LOADING</v>
          </cell>
          <cell r="AD1531">
            <v>0.9194444444444444</v>
          </cell>
          <cell r="AE1531" t="str">
            <v xml:space="preserve">CONTINUE LOADING </v>
          </cell>
        </row>
        <row r="1532">
          <cell r="O1532">
            <v>0.19791666666666666</v>
          </cell>
          <cell r="P1532" t="str">
            <v xml:space="preserve">CONTINUE LOADING </v>
          </cell>
          <cell r="R1532">
            <v>4.1666666666666664E-2</v>
          </cell>
          <cell r="S1532" t="str">
            <v xml:space="preserve">STOP LOADING </v>
          </cell>
          <cell r="U1532">
            <v>0.83333333333333337</v>
          </cell>
          <cell r="V1532" t="str">
            <v>CONTINUE LOADING</v>
          </cell>
          <cell r="AD1532">
            <v>0.96597222222222223</v>
          </cell>
          <cell r="AE1532" t="str">
            <v xml:space="preserve">CONTINUE LOADING </v>
          </cell>
        </row>
        <row r="1533">
          <cell r="O1533">
            <v>0.20833333333333334</v>
          </cell>
          <cell r="P1533" t="str">
            <v xml:space="preserve">STOP LOADING </v>
          </cell>
          <cell r="R1533">
            <v>8.3333333333333329E-2</v>
          </cell>
          <cell r="S1533" t="str">
            <v xml:space="preserve">STOP LOADING </v>
          </cell>
          <cell r="U1533">
            <v>0.88194444444444442</v>
          </cell>
          <cell r="V1533" t="str">
            <v>CONTINUE LOADING</v>
          </cell>
          <cell r="AD1533">
            <v>1.0416666666666666E-2</v>
          </cell>
          <cell r="AE1533" t="str">
            <v xml:space="preserve">CONTINUE LOADING </v>
          </cell>
        </row>
        <row r="1534">
          <cell r="R1534">
            <v>0.125</v>
          </cell>
          <cell r="S1534" t="str">
            <v xml:space="preserve">STOP LOADING </v>
          </cell>
          <cell r="U1534">
            <v>0.91736111111111107</v>
          </cell>
          <cell r="V1534" t="str">
            <v>COMPLETE LOADING</v>
          </cell>
          <cell r="AD1534">
            <v>7.9861111111111105E-2</v>
          </cell>
          <cell r="AE1534" t="str">
            <v xml:space="preserve">CONTINUE LOADING </v>
          </cell>
        </row>
        <row r="1535">
          <cell r="R1535">
            <v>0.20833333333333334</v>
          </cell>
          <cell r="S1535" t="str">
            <v xml:space="preserve">STOP LOADING </v>
          </cell>
          <cell r="AD1535">
            <v>9.2361111111111116E-2</v>
          </cell>
          <cell r="AE1535" t="str">
            <v xml:space="preserve">CONTINUE LOADING </v>
          </cell>
        </row>
        <row r="1536">
          <cell r="AD1536">
            <v>0.14027777777777778</v>
          </cell>
          <cell r="AE1536" t="str">
            <v xml:space="preserve">CONTINUE LOADING </v>
          </cell>
        </row>
        <row r="1537">
          <cell r="AD1537">
            <v>0.18958333333333333</v>
          </cell>
          <cell r="AE1537" t="str">
            <v xml:space="preserve">CONTINUE LOADING </v>
          </cell>
        </row>
        <row r="1538">
          <cell r="AD1538">
            <v>0.20833333333333334</v>
          </cell>
          <cell r="AE1538" t="str">
            <v xml:space="preserve">STOP LOADING </v>
          </cell>
        </row>
        <row r="1539">
          <cell r="D1539" t="str">
            <v>SF NAVIGATOR</v>
          </cell>
          <cell r="G1539" t="str">
            <v>EFG 7</v>
          </cell>
          <cell r="P1539" t="str">
            <v>LADY OF PEACE</v>
          </cell>
          <cell r="S1539" t="str">
            <v>STAR ILIGAN</v>
          </cell>
          <cell r="V1539" t="str">
            <v>LADY OF WISDOM</v>
          </cell>
          <cell r="AB1539" t="str">
            <v>EMERALD STAR</v>
          </cell>
          <cell r="AE1539" t="str">
            <v>QUEEN CAROLYN</v>
          </cell>
        </row>
        <row r="1540">
          <cell r="C1540">
            <v>0.29166666666666669</v>
          </cell>
          <cell r="D1540" t="str">
            <v>KY TOOLBOX</v>
          </cell>
          <cell r="F1540">
            <v>5.5555555555555552E-2</v>
          </cell>
          <cell r="G1540" t="str">
            <v>CONTINUE LOADING</v>
          </cell>
          <cell r="O1540">
            <v>0.29166666666666669</v>
          </cell>
          <cell r="P1540" t="str">
            <v>KY TOOLBOX</v>
          </cell>
          <cell r="R1540">
            <v>0.29166666666666669</v>
          </cell>
          <cell r="S1540" t="str">
            <v>KY TOOLBOX</v>
          </cell>
          <cell r="U1540">
            <v>0.91736111111111107</v>
          </cell>
          <cell r="V1540" t="str">
            <v>LOADING COMPLETE</v>
          </cell>
          <cell r="AA1540">
            <v>0.54166666666666663</v>
          </cell>
          <cell r="AB1540" t="str">
            <v>WAITING MATERIAL</v>
          </cell>
          <cell r="AD1540">
            <v>0.29166666666666669</v>
          </cell>
          <cell r="AE1540" t="str">
            <v>KY TOOLBOX</v>
          </cell>
        </row>
        <row r="1541">
          <cell r="C1541">
            <v>0.34236111111111112</v>
          </cell>
          <cell r="D1541" t="str">
            <v>RESUME LOADING</v>
          </cell>
          <cell r="F1541">
            <v>0.10625</v>
          </cell>
          <cell r="G1541" t="str">
            <v>CONTINUE LOADING</v>
          </cell>
          <cell r="O1541">
            <v>0.35069444444444442</v>
          </cell>
          <cell r="P1541" t="str">
            <v xml:space="preserve">RESUME LOADING </v>
          </cell>
          <cell r="R1541">
            <v>0.33333333333333331</v>
          </cell>
          <cell r="S1541" t="str">
            <v xml:space="preserve">UNLOADING </v>
          </cell>
          <cell r="AA1541">
            <v>0.5625</v>
          </cell>
          <cell r="AB1541" t="str">
            <v>WAITING GEO</v>
          </cell>
          <cell r="AD1541">
            <v>0.34236111111111112</v>
          </cell>
          <cell r="AE1541" t="str">
            <v xml:space="preserve">RESUME LOADING </v>
          </cell>
        </row>
        <row r="1542">
          <cell r="C1542">
            <v>0.3576388888888889</v>
          </cell>
          <cell r="D1542" t="str">
            <v xml:space="preserve">ONGOING LOADING </v>
          </cell>
          <cell r="F1542">
            <v>0.1423611111111111</v>
          </cell>
          <cell r="G1542" t="str">
            <v>CONTINUE LOADING</v>
          </cell>
          <cell r="O1542">
            <v>0.36736111111111114</v>
          </cell>
          <cell r="P1542" t="str">
            <v xml:space="preserve">ONGOING LOADING </v>
          </cell>
          <cell r="R1542">
            <v>0.5</v>
          </cell>
          <cell r="S1542" t="str">
            <v>LUCNHBREAK</v>
          </cell>
          <cell r="AA1542">
            <v>0.58402777777777781</v>
          </cell>
          <cell r="AB1542" t="str">
            <v xml:space="preserve">COMMENCE LOADING </v>
          </cell>
          <cell r="AD1542">
            <v>0.37361111111111112</v>
          </cell>
          <cell r="AE1542" t="str">
            <v xml:space="preserve">ONGOING LOADING </v>
          </cell>
        </row>
        <row r="1543">
          <cell r="C1543">
            <v>0.37777777777777777</v>
          </cell>
          <cell r="D1543" t="str">
            <v xml:space="preserve">CONTINUE LOADING </v>
          </cell>
          <cell r="F1543">
            <v>0.19722222222222222</v>
          </cell>
          <cell r="G1543" t="str">
            <v>CONTINUE LOADING</v>
          </cell>
          <cell r="O1543">
            <v>0.40833333333333333</v>
          </cell>
          <cell r="P1543" t="str">
            <v xml:space="preserve">CONTINUE LOADING </v>
          </cell>
          <cell r="R1543">
            <v>0.54166666666666663</v>
          </cell>
          <cell r="S1543" t="str">
            <v xml:space="preserve">STOP UNLOADING </v>
          </cell>
          <cell r="AA1543">
            <v>0.625</v>
          </cell>
          <cell r="AB1543" t="str">
            <v xml:space="preserve">ONGOING LOADING </v>
          </cell>
          <cell r="AD1543">
            <v>0.39791666666666664</v>
          </cell>
          <cell r="AE1543" t="str">
            <v xml:space="preserve">CONTINUE LOADING </v>
          </cell>
        </row>
        <row r="1544">
          <cell r="C1544">
            <v>0.43611111111111112</v>
          </cell>
          <cell r="D1544" t="str">
            <v xml:space="preserve">ONGOING LOADING </v>
          </cell>
          <cell r="F1544">
            <v>0.22916666666666666</v>
          </cell>
          <cell r="G1544" t="str">
            <v>CONTINUE LOADING</v>
          </cell>
          <cell r="O1544">
            <v>0.45555555555555555</v>
          </cell>
          <cell r="P1544" t="str">
            <v xml:space="preserve">ONGOING LOADING </v>
          </cell>
          <cell r="R1544">
            <v>0.6166666666666667</v>
          </cell>
          <cell r="S1544" t="str">
            <v xml:space="preserve">RESUME LOADING </v>
          </cell>
          <cell r="AA1544">
            <v>0.66180555555555554</v>
          </cell>
          <cell r="AB1544" t="str">
            <v xml:space="preserve">CONTINUE LOADING </v>
          </cell>
          <cell r="AD1544">
            <v>0.42152777777777778</v>
          </cell>
          <cell r="AE1544" t="str">
            <v>LOADING COMPLETE</v>
          </cell>
        </row>
        <row r="1545">
          <cell r="C1545">
            <v>0.5</v>
          </cell>
          <cell r="D1545" t="str">
            <v>LUNCHBREAK</v>
          </cell>
          <cell r="O1545">
            <v>0.5</v>
          </cell>
          <cell r="P1545" t="str">
            <v>LUNCHBREAK</v>
          </cell>
          <cell r="R1545" t="str">
            <v xml:space="preserve"> </v>
          </cell>
          <cell r="S1545" t="str">
            <v xml:space="preserve"> </v>
          </cell>
          <cell r="AA1545">
            <v>0.69236111111111109</v>
          </cell>
          <cell r="AB1545" t="str">
            <v xml:space="preserve">ONGOING LOADING </v>
          </cell>
          <cell r="AD1545">
            <v>0.58333333333333337</v>
          </cell>
          <cell r="AE1545" t="str">
            <v xml:space="preserve">VESSEL PULLED OUT </v>
          </cell>
        </row>
        <row r="1546">
          <cell r="C1546">
            <v>0.54166666666666663</v>
          </cell>
          <cell r="D1546" t="str">
            <v>RESUME LOADING</v>
          </cell>
          <cell r="O1546">
            <v>0.56805555555555554</v>
          </cell>
          <cell r="P1546" t="str">
            <v xml:space="preserve">RESUME LOADING </v>
          </cell>
          <cell r="R1546">
            <v>0.64513888888888893</v>
          </cell>
          <cell r="S1546" t="str">
            <v xml:space="preserve">ONGOING LOADING </v>
          </cell>
          <cell r="AA1546">
            <v>0.72222222222222221</v>
          </cell>
          <cell r="AB1546" t="str">
            <v xml:space="preserve">CONTINUE LOADING </v>
          </cell>
        </row>
        <row r="1547">
          <cell r="C1547">
            <v>0.58333333333333337</v>
          </cell>
          <cell r="D1547" t="str">
            <v xml:space="preserve">STOP LOADING </v>
          </cell>
          <cell r="O1547">
            <v>0.59097222222222223</v>
          </cell>
          <cell r="P1547" t="str">
            <v xml:space="preserve">ONGOING LOADING </v>
          </cell>
          <cell r="R1547">
            <v>0.6645833333333333</v>
          </cell>
          <cell r="S1547" t="str">
            <v xml:space="preserve">CONTINUE LOADING </v>
          </cell>
          <cell r="AA1547">
            <v>0.75</v>
          </cell>
          <cell r="AB1547" t="str">
            <v>VESSEL BREAK</v>
          </cell>
        </row>
        <row r="1548">
          <cell r="C1548">
            <v>0.72916666666666663</v>
          </cell>
          <cell r="D1548" t="str">
            <v>RESUME LOADING</v>
          </cell>
          <cell r="O1548">
            <v>0.61805555555555558</v>
          </cell>
          <cell r="P1548" t="str">
            <v xml:space="preserve">CONTINUE LOADING </v>
          </cell>
          <cell r="R1548">
            <v>0.69236111111111109</v>
          </cell>
          <cell r="S1548" t="str">
            <v xml:space="preserve">ONGOING LOADING </v>
          </cell>
          <cell r="AA1548">
            <v>0.80208333333333337</v>
          </cell>
          <cell r="AB1548" t="str">
            <v>KY TOOLBOX</v>
          </cell>
        </row>
        <row r="1549">
          <cell r="C1549">
            <v>0.75</v>
          </cell>
          <cell r="D1549" t="str">
            <v>VESSEL BREAK</v>
          </cell>
          <cell r="O1549">
            <v>0.65972222222222221</v>
          </cell>
          <cell r="P1549" t="str">
            <v xml:space="preserve">ONGOING LOADING </v>
          </cell>
          <cell r="R1549">
            <v>0.75</v>
          </cell>
          <cell r="S1549" t="str">
            <v>VESSEL BREAK</v>
          </cell>
          <cell r="AA1549">
            <v>0.8125</v>
          </cell>
          <cell r="AB1549" t="str">
            <v>RESUME LOADING</v>
          </cell>
        </row>
        <row r="1550">
          <cell r="C1550">
            <v>0.80208333333333337</v>
          </cell>
          <cell r="D1550" t="str">
            <v>KY TOOLBOX</v>
          </cell>
          <cell r="O1550">
            <v>0.68194444444444446</v>
          </cell>
          <cell r="P1550" t="str">
            <v>LOADING COMPLETE</v>
          </cell>
          <cell r="R1550">
            <v>0.80208333333333337</v>
          </cell>
          <cell r="S1550" t="str">
            <v>KY TOOLBOX</v>
          </cell>
          <cell r="AA1550">
            <v>0.84861111111111109</v>
          </cell>
          <cell r="AB1550" t="str">
            <v xml:space="preserve">CONTINUE LOADING </v>
          </cell>
        </row>
        <row r="1551">
          <cell r="C1551">
            <v>0.82291666666666663</v>
          </cell>
          <cell r="D1551" t="str">
            <v xml:space="preserve">CONTINUE LOADING </v>
          </cell>
          <cell r="R1551">
            <v>0.8125</v>
          </cell>
          <cell r="S1551" t="str">
            <v xml:space="preserve">RESUME LOADING </v>
          </cell>
          <cell r="AA1551">
            <v>0.88958333333333328</v>
          </cell>
          <cell r="AB1551" t="str">
            <v xml:space="preserve">CONTINUE LOADING </v>
          </cell>
        </row>
        <row r="1552">
          <cell r="C1552">
            <v>0.84097222222222223</v>
          </cell>
          <cell r="D1552" t="str">
            <v xml:space="preserve">CONTINUE LOADING </v>
          </cell>
          <cell r="R1552">
            <v>0.84930555555555554</v>
          </cell>
          <cell r="S1552" t="str">
            <v xml:space="preserve">CONTINUE LOADING </v>
          </cell>
          <cell r="AA1552">
            <v>0.93819444444444444</v>
          </cell>
          <cell r="AB1552" t="str">
            <v xml:space="preserve">CONTINUE LOADING </v>
          </cell>
        </row>
        <row r="1553">
          <cell r="C1553">
            <v>0.88472222222222219</v>
          </cell>
          <cell r="D1553" t="str">
            <v xml:space="preserve">CONTINUE LOADING </v>
          </cell>
          <cell r="R1553">
            <v>0.875</v>
          </cell>
          <cell r="S1553" t="str">
            <v>VESSEL CLOSE</v>
          </cell>
          <cell r="AA1553">
            <v>0.95902777777777781</v>
          </cell>
          <cell r="AB1553" t="str">
            <v xml:space="preserve">CONTINUE LOADING </v>
          </cell>
        </row>
        <row r="1554">
          <cell r="C1554">
            <v>0.94513888888888886</v>
          </cell>
          <cell r="D1554" t="str">
            <v xml:space="preserve">CONTINUE LOADING </v>
          </cell>
          <cell r="R1554">
            <v>0.91666666666666663</v>
          </cell>
          <cell r="S1554" t="str">
            <v>VESSEL CLOSE</v>
          </cell>
          <cell r="AA1554">
            <v>4.1666666666666664E-2</v>
          </cell>
          <cell r="AB1554" t="str">
            <v xml:space="preserve">CONTINUE LOADING </v>
          </cell>
        </row>
        <row r="1555">
          <cell r="C1555">
            <v>0.95902777777777781</v>
          </cell>
          <cell r="D1555" t="str">
            <v xml:space="preserve">CONTINUE LOADING </v>
          </cell>
          <cell r="R1555">
            <v>0.95833333333333337</v>
          </cell>
          <cell r="S1555" t="str">
            <v>VESSEL CLOSE</v>
          </cell>
          <cell r="AA1555">
            <v>8.7499999999999994E-2</v>
          </cell>
          <cell r="AB1555" t="str">
            <v xml:space="preserve">CONTINUE LOADING </v>
          </cell>
        </row>
        <row r="1556">
          <cell r="C1556">
            <v>1.5277777777777777E-2</v>
          </cell>
          <cell r="D1556" t="str">
            <v xml:space="preserve">CONTINUE LOADING </v>
          </cell>
          <cell r="R1556">
            <v>0</v>
          </cell>
          <cell r="S1556" t="str">
            <v>VESSEL CLOSE</v>
          </cell>
          <cell r="AA1556">
            <v>0.15069444444444444</v>
          </cell>
          <cell r="AB1556" t="str">
            <v xml:space="preserve">CONTINUE LOADING </v>
          </cell>
        </row>
        <row r="1557">
          <cell r="C1557">
            <v>6.25E-2</v>
          </cell>
          <cell r="D1557" t="str">
            <v xml:space="preserve">CONTINUE LOADING </v>
          </cell>
          <cell r="R1557">
            <v>4.1666666666666664E-2</v>
          </cell>
          <cell r="S1557" t="str">
            <v>VESSEL CLOSE</v>
          </cell>
        </row>
        <row r="1558">
          <cell r="C1558">
            <v>9.930555555555555E-2</v>
          </cell>
          <cell r="D1558" t="str">
            <v xml:space="preserve">CONTINUE LOADING </v>
          </cell>
          <cell r="R1558">
            <v>8.3333333333333329E-2</v>
          </cell>
          <cell r="S1558" t="str">
            <v>VESSEL CLOSE</v>
          </cell>
        </row>
        <row r="1559">
          <cell r="C1559">
            <v>0.13750000000000001</v>
          </cell>
          <cell r="D1559" t="str">
            <v xml:space="preserve">CONTINUE LOADING </v>
          </cell>
          <cell r="R1559">
            <v>0.125</v>
          </cell>
          <cell r="S1559" t="str">
            <v>VESSEL CLOSE</v>
          </cell>
        </row>
        <row r="1560">
          <cell r="C1560">
            <v>0.18055555555555555</v>
          </cell>
          <cell r="D1560" t="str">
            <v xml:space="preserve">CONTINUE LOADING </v>
          </cell>
          <cell r="R1560">
            <v>0.16666666666666666</v>
          </cell>
          <cell r="S1560" t="str">
            <v>VESSEL CLOSE</v>
          </cell>
        </row>
        <row r="1561">
          <cell r="C1561">
            <v>0.22916666666666666</v>
          </cell>
          <cell r="D1561" t="str">
            <v xml:space="preserve">CONTINUE LOADING </v>
          </cell>
          <cell r="R1561">
            <v>0.20833333333333334</v>
          </cell>
          <cell r="S1561" t="str">
            <v>VESSEL CLOSE</v>
          </cell>
        </row>
        <row r="1562">
          <cell r="D1562" t="str">
            <v>SF NAVIGATOR</v>
          </cell>
          <cell r="G1562" t="str">
            <v>EFG 7</v>
          </cell>
          <cell r="P1562" t="str">
            <v>EASTERN CEBU</v>
          </cell>
          <cell r="S1562" t="str">
            <v>STAR ILIGAN</v>
          </cell>
          <cell r="V1562" t="str">
            <v>STAR SOGOD</v>
          </cell>
          <cell r="AB1562" t="str">
            <v>EMERALD STAR</v>
          </cell>
          <cell r="AE1562" t="str">
            <v>EFG 8</v>
          </cell>
        </row>
        <row r="1563">
          <cell r="C1563">
            <v>0.29166666666666669</v>
          </cell>
          <cell r="D1563" t="str">
            <v>KY TOOLBOX</v>
          </cell>
          <cell r="F1563">
            <v>0.29166666666666669</v>
          </cell>
          <cell r="G1563" t="str">
            <v>KY TOOLBOX</v>
          </cell>
          <cell r="O1563">
            <v>0.5625</v>
          </cell>
          <cell r="P1563" t="str">
            <v>DOCKED &amp; SECURE</v>
          </cell>
          <cell r="R1563">
            <v>0.29166666666666669</v>
          </cell>
          <cell r="S1563" t="str">
            <v>KY TOOLBOX</v>
          </cell>
          <cell r="U1563">
            <v>0.29166666666666669</v>
          </cell>
          <cell r="V1563" t="str">
            <v>DOCKED &amp; SECURED</v>
          </cell>
          <cell r="AA1563">
            <v>0.29166666666666669</v>
          </cell>
          <cell r="AB1563" t="str">
            <v>KY TOOLBOX</v>
          </cell>
          <cell r="AD1563">
            <v>0.41666666666666669</v>
          </cell>
          <cell r="AE1563" t="str">
            <v>DOCKED &amp; SECURED</v>
          </cell>
        </row>
        <row r="1564">
          <cell r="C1564">
            <v>0.33680555555555558</v>
          </cell>
          <cell r="D1564" t="str">
            <v xml:space="preserve">RESUME LOADING </v>
          </cell>
          <cell r="F1564">
            <v>0.34375</v>
          </cell>
          <cell r="G1564" t="str">
            <v xml:space="preserve">RESUME LOADING </v>
          </cell>
          <cell r="O1564">
            <v>0.58333333333333337</v>
          </cell>
          <cell r="P1564" t="str">
            <v>WAITING MATERIAL</v>
          </cell>
          <cell r="R1564">
            <v>0.33958333333333335</v>
          </cell>
          <cell r="S1564" t="str">
            <v xml:space="preserve">RESUME LOADING </v>
          </cell>
          <cell r="AA1564">
            <v>0.33333333333333331</v>
          </cell>
          <cell r="AB1564" t="str">
            <v>WAITING MATERIAL</v>
          </cell>
          <cell r="AD1564">
            <v>0.54166666666666663</v>
          </cell>
          <cell r="AE1564" t="str">
            <v>WAITING MATERIAL</v>
          </cell>
        </row>
        <row r="1565">
          <cell r="C1565">
            <v>0.35</v>
          </cell>
          <cell r="D1565" t="str">
            <v xml:space="preserve">ONGOING LOADING </v>
          </cell>
          <cell r="F1565">
            <v>0.36666666666666664</v>
          </cell>
          <cell r="G1565" t="str">
            <v xml:space="preserve">ONGOING LOADING </v>
          </cell>
          <cell r="O1565">
            <v>0.6958333333333333</v>
          </cell>
          <cell r="P1565" t="str">
            <v xml:space="preserve">COMMENCE LOADING </v>
          </cell>
          <cell r="R1565">
            <v>0.38750000000000001</v>
          </cell>
          <cell r="S1565" t="str">
            <v xml:space="preserve">ONGOING LOADING </v>
          </cell>
          <cell r="AA1565">
            <v>0.42499999999999999</v>
          </cell>
          <cell r="AB1565" t="str">
            <v xml:space="preserve">RESUME LOADING </v>
          </cell>
          <cell r="AD1565">
            <v>0.58333333333333337</v>
          </cell>
          <cell r="AE1565" t="str">
            <v>ONBOARD FORKLIFT READY</v>
          </cell>
        </row>
        <row r="1566">
          <cell r="C1566">
            <v>0.36458333333333331</v>
          </cell>
          <cell r="D1566" t="str">
            <v xml:space="preserve">CONTINUE LOADING </v>
          </cell>
          <cell r="F1566">
            <v>0.39583333333333331</v>
          </cell>
          <cell r="G1566" t="str">
            <v>FL ONBOARD</v>
          </cell>
          <cell r="O1566">
            <v>0.8125</v>
          </cell>
          <cell r="P1566" t="str">
            <v xml:space="preserve">CONTINUE LOADING </v>
          </cell>
          <cell r="R1566">
            <v>0.5</v>
          </cell>
          <cell r="S1566" t="str">
            <v>LUNCHBREAK</v>
          </cell>
          <cell r="AA1566">
            <v>0.45833333333333331</v>
          </cell>
          <cell r="AB1566" t="str">
            <v>WAITING MATERIAL</v>
          </cell>
          <cell r="AD1566">
            <v>0.60277777777777775</v>
          </cell>
          <cell r="AE1566" t="str">
            <v xml:space="preserve">COMMENCE LOADING </v>
          </cell>
        </row>
        <row r="1567">
          <cell r="C1567">
            <v>0.38194444444444442</v>
          </cell>
          <cell r="D1567" t="str">
            <v xml:space="preserve">ONGOING LOADING </v>
          </cell>
          <cell r="F1567">
            <v>0.40972222222222221</v>
          </cell>
          <cell r="G1567" t="str">
            <v>FL ONBOARD READY</v>
          </cell>
          <cell r="O1567">
            <v>0.83958333333333335</v>
          </cell>
          <cell r="P1567" t="str">
            <v xml:space="preserve">CONTINUE LOADING </v>
          </cell>
          <cell r="R1567">
            <v>0.57638888888888884</v>
          </cell>
          <cell r="S1567" t="str">
            <v xml:space="preserve">RESUME LOADING </v>
          </cell>
          <cell r="AA1567">
            <v>0.56597222222222221</v>
          </cell>
          <cell r="AB1567" t="str">
            <v xml:space="preserve">RESUME LOADING </v>
          </cell>
          <cell r="AD1567">
            <v>0.62777777777777777</v>
          </cell>
          <cell r="AE1567" t="str">
            <v>ONBOARD FORKLIFT READY</v>
          </cell>
        </row>
        <row r="1568">
          <cell r="C1568">
            <v>0.4201388888888889</v>
          </cell>
          <cell r="D1568" t="str">
            <v xml:space="preserve">CONTINUE LOADING </v>
          </cell>
          <cell r="F1568">
            <v>0.42152777777777778</v>
          </cell>
          <cell r="G1568" t="str">
            <v xml:space="preserve">RESUME LOADING </v>
          </cell>
          <cell r="O1568">
            <v>0.89375000000000004</v>
          </cell>
          <cell r="P1568" t="str">
            <v xml:space="preserve">CONTINUE LOADING </v>
          </cell>
          <cell r="R1568">
            <v>0.63263888888888886</v>
          </cell>
          <cell r="S1568" t="str">
            <v xml:space="preserve">ONGOING LOADING </v>
          </cell>
          <cell r="AA1568">
            <v>0.59236111111111112</v>
          </cell>
          <cell r="AB1568" t="str">
            <v xml:space="preserve">ONGOING LOADING </v>
          </cell>
          <cell r="AD1568">
            <v>0.65555555555555556</v>
          </cell>
          <cell r="AE1568" t="str">
            <v xml:space="preserve">RESUME LOADING </v>
          </cell>
        </row>
        <row r="1569">
          <cell r="C1569">
            <v>0.43958333333333333</v>
          </cell>
          <cell r="D1569" t="str">
            <v xml:space="preserve">ONGOING LOADING </v>
          </cell>
          <cell r="F1569">
            <v>0.44513888888888886</v>
          </cell>
          <cell r="G1569" t="str">
            <v xml:space="preserve">ONGOING LOADING </v>
          </cell>
          <cell r="O1569">
            <v>0.94444444444444442</v>
          </cell>
          <cell r="P1569" t="str">
            <v xml:space="preserve">CONTINUE LOADING </v>
          </cell>
          <cell r="R1569">
            <v>0.68125000000000002</v>
          </cell>
          <cell r="S1569" t="str">
            <v xml:space="preserve">CONTINUE LOADING </v>
          </cell>
          <cell r="AA1569">
            <v>0.61944444444444446</v>
          </cell>
          <cell r="AB1569" t="str">
            <v xml:space="preserve">CONTINUE LOADING </v>
          </cell>
          <cell r="AD1569">
            <v>0.69861111111111107</v>
          </cell>
          <cell r="AE1569" t="str">
            <v xml:space="preserve">ONGOING LOADING </v>
          </cell>
        </row>
        <row r="1570">
          <cell r="C1570">
            <v>0.4513888888888889</v>
          </cell>
          <cell r="D1570" t="str">
            <v xml:space="preserve">CONTINUE LOADING </v>
          </cell>
          <cell r="F1570">
            <v>0.5</v>
          </cell>
          <cell r="G1570" t="str">
            <v>LUNCHBREAK</v>
          </cell>
          <cell r="O1570">
            <v>0.97222222222222221</v>
          </cell>
          <cell r="P1570" t="str">
            <v xml:space="preserve">CONTINUE LOADING </v>
          </cell>
          <cell r="R1570">
            <v>0.75</v>
          </cell>
          <cell r="S1570" t="str">
            <v>VESSEL BREAK</v>
          </cell>
          <cell r="AA1570">
            <v>0.64722222222222225</v>
          </cell>
          <cell r="AB1570" t="str">
            <v xml:space="preserve">ONGOING LOADING </v>
          </cell>
          <cell r="AD1570">
            <v>0.71250000000000002</v>
          </cell>
          <cell r="AE1570" t="str">
            <v xml:space="preserve">CONTINUE LOADING </v>
          </cell>
        </row>
        <row r="1571">
          <cell r="C1571">
            <v>0.5</v>
          </cell>
          <cell r="D1571" t="str">
            <v>LUNCHBREAK</v>
          </cell>
          <cell r="F1571">
            <v>0.56111111111111112</v>
          </cell>
          <cell r="G1571" t="str">
            <v xml:space="preserve">RESUME LOADING </v>
          </cell>
          <cell r="O1571">
            <v>6.458333333333334E-2</v>
          </cell>
          <cell r="P1571" t="str">
            <v xml:space="preserve">CONTINUE LOADING </v>
          </cell>
          <cell r="R1571">
            <v>0.81458333333333333</v>
          </cell>
          <cell r="S1571" t="str">
            <v xml:space="preserve">CONTINUE LOADING </v>
          </cell>
          <cell r="AA1571">
            <v>0.69166666666666665</v>
          </cell>
          <cell r="AB1571" t="str">
            <v xml:space="preserve">CONTINUE LOADING </v>
          </cell>
          <cell r="AD1571">
            <v>0.75</v>
          </cell>
          <cell r="AE1571" t="str">
            <v>VESSEL BREAK</v>
          </cell>
        </row>
        <row r="1572">
          <cell r="C1572">
            <v>0.56597222222222221</v>
          </cell>
          <cell r="D1572" t="str">
            <v xml:space="preserve">RESUME LOADING </v>
          </cell>
          <cell r="F1572">
            <v>0.5854166666666667</v>
          </cell>
          <cell r="G1572" t="str">
            <v xml:space="preserve">ONGOING LOADING </v>
          </cell>
          <cell r="O1572">
            <v>9.8611111111111108E-2</v>
          </cell>
          <cell r="P1572" t="str">
            <v xml:space="preserve">CONTINUE LOADING </v>
          </cell>
          <cell r="R1572">
            <v>0.84166666666666667</v>
          </cell>
          <cell r="S1572" t="str">
            <v xml:space="preserve">CONTINUE LOADING </v>
          </cell>
          <cell r="AA1572">
            <v>0.75</v>
          </cell>
          <cell r="AB1572" t="str">
            <v>VESSEL BREAK</v>
          </cell>
          <cell r="AD1572">
            <v>0.8125</v>
          </cell>
          <cell r="AE1572" t="str">
            <v xml:space="preserve">CONTINUE LOADING </v>
          </cell>
        </row>
        <row r="1573">
          <cell r="C1573" t="str">
            <v>14;11</v>
          </cell>
          <cell r="D1573" t="str">
            <v xml:space="preserve">ONGOING LOADING </v>
          </cell>
          <cell r="F1573">
            <v>0.61111111111111116</v>
          </cell>
          <cell r="G1573" t="str">
            <v>CONTINUE LOADING</v>
          </cell>
          <cell r="O1573">
            <v>0.13402777777777777</v>
          </cell>
          <cell r="P1573" t="str">
            <v xml:space="preserve">CONTINUE LOADING </v>
          </cell>
          <cell r="R1573">
            <v>0.90208333333333335</v>
          </cell>
          <cell r="S1573" t="str">
            <v xml:space="preserve">CONTINUE LOADING </v>
          </cell>
          <cell r="AA1573">
            <v>0.81597222222222221</v>
          </cell>
          <cell r="AB1573" t="str">
            <v xml:space="preserve">CONTINUE LOADING </v>
          </cell>
          <cell r="AD1573">
            <v>0.84791666666666665</v>
          </cell>
          <cell r="AE1573" t="str">
            <v xml:space="preserve">CONTINUE LOADING </v>
          </cell>
        </row>
        <row r="1574">
          <cell r="C1574">
            <v>0.6166666666666667</v>
          </cell>
          <cell r="D1574" t="str">
            <v xml:space="preserve">CONTINUE LOADING </v>
          </cell>
          <cell r="F1574">
            <v>0.65555555555555556</v>
          </cell>
          <cell r="G1574" t="str">
            <v xml:space="preserve">ONGOING LOADING </v>
          </cell>
          <cell r="O1574">
            <v>0.19444444444444445</v>
          </cell>
          <cell r="P1574" t="str">
            <v xml:space="preserve">CONTINUE LOADING </v>
          </cell>
          <cell r="R1574">
            <v>0.99861111111111112</v>
          </cell>
          <cell r="S1574" t="str">
            <v>COMPLETE LOADING</v>
          </cell>
          <cell r="AA1574">
            <v>0.85486111111111107</v>
          </cell>
          <cell r="AB1574" t="str">
            <v xml:space="preserve">CONTINUE LOADING </v>
          </cell>
          <cell r="AD1574">
            <v>0.89027777777777772</v>
          </cell>
          <cell r="AE1574" t="str">
            <v xml:space="preserve">CONTINUE LOADING </v>
          </cell>
        </row>
        <row r="1575">
          <cell r="C1575">
            <v>0.68055555555555558</v>
          </cell>
          <cell r="D1575" t="str">
            <v xml:space="preserve">ONGOING LOADING </v>
          </cell>
          <cell r="F1575">
            <v>0.68055555555555558</v>
          </cell>
          <cell r="G1575" t="str">
            <v xml:space="preserve">STOP LOADING </v>
          </cell>
          <cell r="O1575">
            <v>0.21875</v>
          </cell>
          <cell r="P1575" t="str">
            <v xml:space="preserve">CONTINUE LOADING </v>
          </cell>
          <cell r="AA1575">
            <v>0.87916666666666665</v>
          </cell>
          <cell r="AB1575" t="str">
            <v xml:space="preserve">CONTINUE LOADING </v>
          </cell>
          <cell r="AD1575">
            <v>0.92708333333333337</v>
          </cell>
          <cell r="AE1575" t="str">
            <v xml:space="preserve">CONTINUE LOADING </v>
          </cell>
        </row>
        <row r="1576">
          <cell r="C1576">
            <v>0.70972222222222225</v>
          </cell>
          <cell r="D1576" t="str">
            <v xml:space="preserve">CONTINUE LOADING </v>
          </cell>
          <cell r="F1576">
            <v>0.81597222222222221</v>
          </cell>
          <cell r="G1576" t="str">
            <v>CONTINUE LOADING</v>
          </cell>
          <cell r="AA1576">
            <v>0.95138888888888884</v>
          </cell>
          <cell r="AB1576" t="str">
            <v xml:space="preserve">CONTINUE LOADING </v>
          </cell>
          <cell r="AD1576">
            <v>0.97986111111111107</v>
          </cell>
          <cell r="AE1576" t="str">
            <v xml:space="preserve">CONTINUE LOADING </v>
          </cell>
        </row>
        <row r="1577">
          <cell r="C1577">
            <v>0.75</v>
          </cell>
          <cell r="D1577" t="str">
            <v>VESSEL BREAK</v>
          </cell>
          <cell r="F1577">
            <v>0.89652777777777781</v>
          </cell>
          <cell r="G1577" t="str">
            <v>CONTINUE LOADING</v>
          </cell>
          <cell r="AA1577">
            <v>0.98124999999999996</v>
          </cell>
          <cell r="AB1577" t="str">
            <v xml:space="preserve">CONTINUE LOADING </v>
          </cell>
          <cell r="AD1577">
            <v>1.6666666666666666E-2</v>
          </cell>
          <cell r="AE1577" t="str">
            <v xml:space="preserve">CONTINUE LOADING </v>
          </cell>
        </row>
        <row r="1578">
          <cell r="C1578">
            <v>0.8125</v>
          </cell>
          <cell r="D1578" t="str">
            <v xml:space="preserve">CONTINUE LOADING </v>
          </cell>
          <cell r="F1578">
            <v>5.9722222222222225E-2</v>
          </cell>
          <cell r="G1578" t="str">
            <v>CONTINUE LOADING</v>
          </cell>
          <cell r="AA1578">
            <v>5.5555555555555558E-3</v>
          </cell>
          <cell r="AB1578" t="str">
            <v>COMPLETE LOADING</v>
          </cell>
          <cell r="AD1578">
            <v>0.17291666666666666</v>
          </cell>
          <cell r="AE1578" t="str">
            <v xml:space="preserve">CONTINUE LOADING </v>
          </cell>
        </row>
        <row r="1579">
          <cell r="C1579">
            <v>0.86111111111111116</v>
          </cell>
          <cell r="D1579" t="str">
            <v xml:space="preserve">CONTINUE LOADING </v>
          </cell>
          <cell r="F1579">
            <v>0.10902777777777778</v>
          </cell>
          <cell r="G1579" t="str">
            <v>CONTINUE LOADING</v>
          </cell>
          <cell r="AD1579">
            <v>0.23472222222222222</v>
          </cell>
          <cell r="AE1579" t="str">
            <v xml:space="preserve">CONTINUE LOADING </v>
          </cell>
        </row>
        <row r="1580">
          <cell r="C1580">
            <v>0.88402777777777775</v>
          </cell>
          <cell r="D1580" t="str">
            <v xml:space="preserve">CONTINUE LOADING </v>
          </cell>
          <cell r="F1580">
            <v>0.14374999999999999</v>
          </cell>
          <cell r="G1580" t="str">
            <v>CONTINUE LOADING</v>
          </cell>
        </row>
        <row r="1581">
          <cell r="C1581">
            <v>9.375E-2</v>
          </cell>
          <cell r="D1581" t="str">
            <v xml:space="preserve">CONTINUE LOADING </v>
          </cell>
          <cell r="F1581">
            <v>0.20833333333333334</v>
          </cell>
          <cell r="G1581" t="str">
            <v>CONTINUE LOADING</v>
          </cell>
        </row>
        <row r="1582">
          <cell r="C1582">
            <v>0.14027777777777778</v>
          </cell>
          <cell r="D1582" t="str">
            <v xml:space="preserve">CONTINUE LOADING </v>
          </cell>
        </row>
        <row r="1583">
          <cell r="D1583" t="str">
            <v>SF NAVIGATOR</v>
          </cell>
          <cell r="G1583" t="str">
            <v>EFG 7</v>
          </cell>
          <cell r="P1583" t="str">
            <v>EASTERN CEBU</v>
          </cell>
          <cell r="R1583" t="str">
            <v xml:space="preserve">  </v>
          </cell>
          <cell r="S1583" t="str">
            <v>LADY OF DIVINE GRACE</v>
          </cell>
          <cell r="V1583" t="str">
            <v>STAR SOGOD</v>
          </cell>
          <cell r="Y1583" t="str">
            <v xml:space="preserve">NIEVES </v>
          </cell>
          <cell r="AB1583" t="str">
            <v>NAPOLI</v>
          </cell>
          <cell r="AE1583" t="str">
            <v>EFG 8</v>
          </cell>
        </row>
        <row r="1584">
          <cell r="C1584">
            <v>0.29166666666666669</v>
          </cell>
          <cell r="D1584" t="str">
            <v>KY TOOLBOX</v>
          </cell>
          <cell r="F1584">
            <v>0.29166666666666669</v>
          </cell>
          <cell r="G1584" t="str">
            <v>KY TOOLBOX</v>
          </cell>
          <cell r="O1584">
            <v>0.29166666666666669</v>
          </cell>
          <cell r="P1584" t="str">
            <v>KY TOOLBOX</v>
          </cell>
          <cell r="R1584">
            <v>0.80208333333333337</v>
          </cell>
          <cell r="S1584" t="str">
            <v>KY TOOLBOX</v>
          </cell>
          <cell r="U1584">
            <v>0.29166666666666669</v>
          </cell>
          <cell r="V1584" t="str">
            <v>WAITING BOOKING</v>
          </cell>
          <cell r="X1584">
            <v>0.29166666666666669</v>
          </cell>
          <cell r="Y1584" t="str">
            <v>WAITING BOOKING</v>
          </cell>
          <cell r="AA1584">
            <v>0.29166666666666669</v>
          </cell>
          <cell r="AB1584" t="str">
            <v xml:space="preserve">WAITING BOOKING </v>
          </cell>
          <cell r="AD1584">
            <v>0.29166666666666669</v>
          </cell>
          <cell r="AE1584" t="str">
            <v>KY TOOLBOX</v>
          </cell>
        </row>
        <row r="1585">
          <cell r="C1585">
            <v>0.34305555555555556</v>
          </cell>
          <cell r="D1585" t="str">
            <v xml:space="preserve">RESUME LOADING </v>
          </cell>
          <cell r="F1585">
            <v>0.33819444444444446</v>
          </cell>
          <cell r="G1585" t="str">
            <v xml:space="preserve">RESUME LOADING </v>
          </cell>
          <cell r="O1585">
            <v>0.34652777777777777</v>
          </cell>
          <cell r="P1585" t="str">
            <v xml:space="preserve">RESUME LOADING </v>
          </cell>
          <cell r="R1585">
            <v>0.8125</v>
          </cell>
          <cell r="S1585" t="str">
            <v>COMMENCE LOADING</v>
          </cell>
          <cell r="X1585">
            <v>0.75</v>
          </cell>
          <cell r="Y1585" t="str">
            <v>WAITING MATERIAL</v>
          </cell>
          <cell r="AA1585">
            <v>0.70833333333333337</v>
          </cell>
          <cell r="AB1585" t="str">
            <v>OPENING HATCH</v>
          </cell>
          <cell r="AD1585">
            <v>0.33888888888888891</v>
          </cell>
          <cell r="AE1585" t="str">
            <v xml:space="preserve">RESUME LOADING </v>
          </cell>
        </row>
        <row r="1586">
          <cell r="C1586">
            <v>0.37291666666666667</v>
          </cell>
          <cell r="D1586" t="str">
            <v xml:space="preserve">ONGOING LOADING </v>
          </cell>
          <cell r="F1586">
            <v>0.3659722222222222</v>
          </cell>
          <cell r="G1586" t="str">
            <v xml:space="preserve">ONGOING LOADING </v>
          </cell>
          <cell r="O1586">
            <v>0.375</v>
          </cell>
          <cell r="P1586" t="str">
            <v>WAITING MATERIAL</v>
          </cell>
          <cell r="R1586">
            <v>0.88888888888888884</v>
          </cell>
          <cell r="S1586" t="str">
            <v>LOADING S49 SLING BAGS</v>
          </cell>
          <cell r="X1586">
            <v>0.80208333333333337</v>
          </cell>
          <cell r="Y1586" t="str">
            <v>KY TOOLBOX</v>
          </cell>
          <cell r="AA1586">
            <v>0.72291666666666665</v>
          </cell>
          <cell r="AB1586" t="str">
            <v>COMMENCE ;SLING B5</v>
          </cell>
          <cell r="AD1586">
            <v>0.39305555555555555</v>
          </cell>
          <cell r="AE1586" t="str">
            <v xml:space="preserve">ONGOING LOADING </v>
          </cell>
        </row>
        <row r="1587">
          <cell r="C1587">
            <v>0.44444444444444442</v>
          </cell>
          <cell r="D1587" t="str">
            <v xml:space="preserve">CONTINUE LOADING </v>
          </cell>
          <cell r="F1587">
            <v>0.375</v>
          </cell>
          <cell r="G1587" t="str">
            <v xml:space="preserve">TEMP STOP LOADING </v>
          </cell>
          <cell r="O1587">
            <v>0.42777777777777776</v>
          </cell>
          <cell r="P1587" t="str">
            <v xml:space="preserve">RESUME LOADING </v>
          </cell>
          <cell r="R1587">
            <v>0.94097222222222221</v>
          </cell>
          <cell r="S1587" t="str">
            <v>LOADING S45 SLING BAGS</v>
          </cell>
          <cell r="X1587">
            <v>0.8125</v>
          </cell>
          <cell r="Y1587" t="str">
            <v xml:space="preserve">COMMENCE LOADING </v>
          </cell>
          <cell r="AA1587">
            <v>0.75</v>
          </cell>
          <cell r="AB1587" t="str">
            <v>VESSEL BREAK</v>
          </cell>
          <cell r="AD1587">
            <v>0.44374999999999998</v>
          </cell>
          <cell r="AE1587" t="str">
            <v xml:space="preserve">CONTINUE LOADING </v>
          </cell>
        </row>
        <row r="1588">
          <cell r="C1588">
            <v>0.5</v>
          </cell>
          <cell r="D1588" t="str">
            <v>LUNCHBREAK</v>
          </cell>
          <cell r="F1588">
            <v>0.45694444444444443</v>
          </cell>
          <cell r="G1588" t="str">
            <v xml:space="preserve">RESUME LOADING </v>
          </cell>
          <cell r="O1588">
            <v>0.5</v>
          </cell>
          <cell r="P1588" t="str">
            <v>LUNCHBREAK</v>
          </cell>
          <cell r="R1588">
            <v>0.97222222222222221</v>
          </cell>
          <cell r="S1588" t="str">
            <v>LOADING S61 SLING BAGS</v>
          </cell>
          <cell r="X1588">
            <v>0.83333333333333337</v>
          </cell>
          <cell r="Y1588" t="str">
            <v>LOADING G5 SLING BAGS</v>
          </cell>
          <cell r="AA1588">
            <v>0.80208333333333337</v>
          </cell>
          <cell r="AB1588" t="str">
            <v>KY TOOLBOX</v>
          </cell>
          <cell r="AD1588">
            <v>0.5</v>
          </cell>
          <cell r="AE1588" t="str">
            <v>LUNCHBREAK</v>
          </cell>
        </row>
        <row r="1589">
          <cell r="C1589">
            <v>0.5708333333333333</v>
          </cell>
          <cell r="D1589" t="str">
            <v>LOADING TONNER S4</v>
          </cell>
          <cell r="F1589">
            <v>0.5</v>
          </cell>
          <cell r="G1589" t="str">
            <v>LUNCHBREAK</v>
          </cell>
          <cell r="O1589">
            <v>0.54166666666666663</v>
          </cell>
          <cell r="P1589" t="str">
            <v xml:space="preserve">WAITING GEO </v>
          </cell>
          <cell r="R1589">
            <v>9.7222222222222224E-3</v>
          </cell>
          <cell r="S1589" t="str">
            <v>LOADING S54 SLING BAGS</v>
          </cell>
          <cell r="X1589">
            <v>0.89236111111111116</v>
          </cell>
          <cell r="Y1589" t="str">
            <v>LOADING S4 SLING BAGS</v>
          </cell>
          <cell r="AA1589">
            <v>0.8125</v>
          </cell>
          <cell r="AB1589" t="str">
            <v>CONTINUE LOADING</v>
          </cell>
          <cell r="AD1589">
            <v>0.56180555555555556</v>
          </cell>
          <cell r="AE1589" t="str">
            <v xml:space="preserve">RESUME LOADING </v>
          </cell>
        </row>
        <row r="1590">
          <cell r="C1590">
            <v>0.61319444444444449</v>
          </cell>
          <cell r="D1590" t="str">
            <v>LOADING TONNER S6</v>
          </cell>
          <cell r="F1590">
            <v>0.56180555555555556</v>
          </cell>
          <cell r="G1590" t="str">
            <v>LOADING TONNER S59</v>
          </cell>
          <cell r="O1590">
            <v>0.6118055555555556</v>
          </cell>
          <cell r="P1590" t="str">
            <v>LOADING POUCH GEO 1</v>
          </cell>
          <cell r="R1590">
            <v>5.6944444444444443E-2</v>
          </cell>
          <cell r="S1590" t="str">
            <v>LOADING S32 SLING BAGS</v>
          </cell>
          <cell r="X1590">
            <v>0.91666666666666663</v>
          </cell>
          <cell r="Y1590" t="str">
            <v>LOADING L37 SLING BAGS</v>
          </cell>
          <cell r="AA1590">
            <v>0.84236111111111112</v>
          </cell>
          <cell r="AB1590" t="str">
            <v>LOADING S51 SLING BAGS</v>
          </cell>
          <cell r="AD1590">
            <v>0.59583333333333333</v>
          </cell>
          <cell r="AE1590" t="str">
            <v>LOADING LOOSEBAGS S55</v>
          </cell>
        </row>
        <row r="1591">
          <cell r="C1591">
            <v>0.64375000000000004</v>
          </cell>
          <cell r="D1591" t="str">
            <v>LOADING TONNER A17</v>
          </cell>
          <cell r="F1591">
            <v>0.60277777777777775</v>
          </cell>
          <cell r="G1591" t="str">
            <v>LOADING TONNER S39</v>
          </cell>
          <cell r="O1591">
            <v>0.64583333333333337</v>
          </cell>
          <cell r="P1591" t="str">
            <v xml:space="preserve">VESSEL BUNKERING </v>
          </cell>
          <cell r="R1591">
            <v>9.7222222222222224E-2</v>
          </cell>
          <cell r="S1591" t="str">
            <v>LOADING S6 SLING BAGS</v>
          </cell>
          <cell r="X1591">
            <v>0.98333333333333328</v>
          </cell>
          <cell r="Y1591" t="str">
            <v>LOADING  S56 SLING BAGS</v>
          </cell>
          <cell r="AA1591">
            <v>0.875</v>
          </cell>
          <cell r="AB1591" t="str">
            <v>LOADING S9 SLING BAGS</v>
          </cell>
          <cell r="AD1591">
            <v>0.68819444444444444</v>
          </cell>
          <cell r="AE1591" t="str">
            <v>LOADING SLINGBAGS S32</v>
          </cell>
        </row>
        <row r="1592">
          <cell r="C1592">
            <v>0.68611111111111112</v>
          </cell>
          <cell r="D1592" t="str">
            <v>LOADING TONNER GEO 2</v>
          </cell>
          <cell r="F1592">
            <v>0.62361111111111112</v>
          </cell>
          <cell r="G1592" t="str">
            <v>LOADING TONNER S19</v>
          </cell>
          <cell r="O1592">
            <v>0.70416666666666672</v>
          </cell>
          <cell r="P1592" t="str">
            <v>LOADING POUCH L50</v>
          </cell>
          <cell r="R1592">
            <v>0.14583333333333334</v>
          </cell>
          <cell r="S1592" t="str">
            <v>LOADING S2 SLING BAGS</v>
          </cell>
          <cell r="X1592">
            <v>1.2500000000000001E-2</v>
          </cell>
          <cell r="Y1592" t="str">
            <v>LOADING A1 SLING BAGS</v>
          </cell>
          <cell r="AA1592">
            <v>0.91666666666666663</v>
          </cell>
          <cell r="AB1592" t="str">
            <v>LOADING S19 SLING BAGS</v>
          </cell>
          <cell r="AD1592">
            <v>0.69097222222222221</v>
          </cell>
          <cell r="AE1592" t="str">
            <v>LOADING SLINGBAGS S56</v>
          </cell>
        </row>
        <row r="1593">
          <cell r="C1593">
            <v>0.75</v>
          </cell>
          <cell r="D1593" t="str">
            <v>VESSEL BREAK</v>
          </cell>
          <cell r="F1593">
            <v>0.69791666666666663</v>
          </cell>
          <cell r="G1593" t="str">
            <v>LOADING TONNERBAGS L5</v>
          </cell>
          <cell r="O1593">
            <v>0.75</v>
          </cell>
          <cell r="P1593" t="str">
            <v>VESSEL BREAK</v>
          </cell>
          <cell r="R1593">
            <v>0.17708333333333334</v>
          </cell>
          <cell r="S1593" t="str">
            <v>LOADING S58 SLING BAGS</v>
          </cell>
          <cell r="X1593">
            <v>0.10486111111111111</v>
          </cell>
          <cell r="Y1593" t="str">
            <v>LOADING L50 SLING BAGS</v>
          </cell>
          <cell r="AA1593">
            <v>0.96805555555555556</v>
          </cell>
          <cell r="AB1593" t="str">
            <v>LOADING L51 SLING BAGS</v>
          </cell>
          <cell r="AD1593">
            <v>0.71180555555555558</v>
          </cell>
          <cell r="AE1593" t="str">
            <v>LOADING SLINGBAGS S54</v>
          </cell>
        </row>
        <row r="1594">
          <cell r="F1594">
            <v>0.75</v>
          </cell>
          <cell r="G1594" t="str">
            <v>VESSEL BREAK</v>
          </cell>
          <cell r="O1594">
            <v>0.80208333333333337</v>
          </cell>
          <cell r="P1594" t="str">
            <v>KY TOOLBOX</v>
          </cell>
          <cell r="R1594">
            <v>0.21527777777777779</v>
          </cell>
          <cell r="S1594" t="str">
            <v>LOADING S36 SLING BAGS</v>
          </cell>
          <cell r="X1594">
            <v>0.14097222222222222</v>
          </cell>
          <cell r="Y1594" t="str">
            <v>LOADING S39 SLING BAGS</v>
          </cell>
          <cell r="AA1594">
            <v>1.5277777777777777E-2</v>
          </cell>
          <cell r="AB1594" t="str">
            <v>LOADING S59 SLING BAGS</v>
          </cell>
          <cell r="AD1594">
            <v>0.75</v>
          </cell>
          <cell r="AE1594" t="str">
            <v>VESSEL BREAK</v>
          </cell>
        </row>
        <row r="1595">
          <cell r="C1595">
            <v>0.80208333333333337</v>
          </cell>
          <cell r="D1595" t="str">
            <v>KY TOOLBOX</v>
          </cell>
          <cell r="F1595">
            <v>0.80208333333333337</v>
          </cell>
          <cell r="G1595" t="str">
            <v>KY TOOLBOX</v>
          </cell>
          <cell r="O1595">
            <v>0.8125</v>
          </cell>
          <cell r="P1595" t="str">
            <v>CONTINUE LOADING</v>
          </cell>
          <cell r="X1595">
            <v>0.1875</v>
          </cell>
          <cell r="Y1595" t="str">
            <v>LOADING S29 SLING BAGS</v>
          </cell>
          <cell r="AA1595">
            <v>6.3194444444444442E-2</v>
          </cell>
          <cell r="AB1595" t="str">
            <v>LOADING L48 SLING BAGS</v>
          </cell>
          <cell r="AD1595">
            <v>0.80208333333333337</v>
          </cell>
          <cell r="AE1595" t="str">
            <v>KY TOOLBOX</v>
          </cell>
        </row>
        <row r="1596">
          <cell r="C1596">
            <v>0.8125</v>
          </cell>
          <cell r="D1596" t="str">
            <v>CONTINUE LOADING</v>
          </cell>
          <cell r="F1596">
            <v>0.8125</v>
          </cell>
          <cell r="G1596" t="str">
            <v>CONTINUE LOADING</v>
          </cell>
          <cell r="O1596">
            <v>0.84791666666666665</v>
          </cell>
          <cell r="P1596" t="str">
            <v>LOADING S29 SLING BAGS</v>
          </cell>
          <cell r="AA1596">
            <v>9.7222222222222224E-2</v>
          </cell>
          <cell r="AB1596" t="str">
            <v>LOADING B5 SLING BAGS</v>
          </cell>
          <cell r="AD1596">
            <v>0.8125</v>
          </cell>
          <cell r="AE1596" t="str">
            <v>CONTINUE LOADING</v>
          </cell>
        </row>
        <row r="1597">
          <cell r="C1597">
            <v>0.83611111111111114</v>
          </cell>
          <cell r="D1597" t="str">
            <v>LOADING  S38 TONNER BAGS</v>
          </cell>
          <cell r="F1597">
            <v>0.84375</v>
          </cell>
          <cell r="G1597" t="str">
            <v>LOADING S8 TONNER BAGS</v>
          </cell>
          <cell r="O1597">
            <v>0.88541666666666663</v>
          </cell>
          <cell r="P1597" t="str">
            <v>LOADING L39 SLING BAGS</v>
          </cell>
          <cell r="AA1597">
            <v>0.16527777777777777</v>
          </cell>
          <cell r="AB1597" t="str">
            <v>LOADING L5 SLING BAGS</v>
          </cell>
          <cell r="AD1597">
            <v>0.83680555555555558</v>
          </cell>
          <cell r="AE1597" t="str">
            <v>LOADING S44 SLING BAGS</v>
          </cell>
        </row>
        <row r="1598">
          <cell r="C1598">
            <v>0.89513888888888893</v>
          </cell>
          <cell r="D1598" t="str">
            <v>LOADING G4 TONNER BAGS</v>
          </cell>
          <cell r="F1598">
            <v>0.89097222222222228</v>
          </cell>
          <cell r="G1598" t="str">
            <v>LOADING S58 TONNER BAGS</v>
          </cell>
          <cell r="O1598">
            <v>0.97361111111111109</v>
          </cell>
          <cell r="P1598" t="str">
            <v>LOADING S47 TONNER BAGS</v>
          </cell>
          <cell r="AA1598">
            <v>0.22361111111111112</v>
          </cell>
          <cell r="AB1598" t="str">
            <v>LOADING S51 SLING BAGS</v>
          </cell>
          <cell r="AD1598">
            <v>0.89375000000000004</v>
          </cell>
          <cell r="AE1598" t="str">
            <v>LOADING S22 SLING BAGS</v>
          </cell>
        </row>
        <row r="1599">
          <cell r="C1599">
            <v>0.91666666666666663</v>
          </cell>
          <cell r="D1599" t="str">
            <v>LOADING L39 TONNER BAGS</v>
          </cell>
          <cell r="F1599">
            <v>0.91736111111111107</v>
          </cell>
          <cell r="G1599" t="str">
            <v>LOADING L48 TONNER BAGS</v>
          </cell>
          <cell r="AD1599">
            <v>0.92222222222222228</v>
          </cell>
          <cell r="AE1599" t="str">
            <v>LOADING S17 SLING BAGS</v>
          </cell>
        </row>
        <row r="1600">
          <cell r="C1600">
            <v>0.96180555555555558</v>
          </cell>
          <cell r="D1600" t="str">
            <v>LOADING S57 TONNER</v>
          </cell>
          <cell r="F1600">
            <v>0.96527777777777779</v>
          </cell>
          <cell r="G1600" t="str">
            <v>LOADING B5 TONNER BAGS</v>
          </cell>
          <cell r="AD1600">
            <v>0.96875</v>
          </cell>
          <cell r="AE1600" t="str">
            <v>LOADING S7 SLING BAGS</v>
          </cell>
        </row>
        <row r="1601">
          <cell r="C1601">
            <v>0.21458333333333332</v>
          </cell>
          <cell r="D1601" t="str">
            <v>LOADING S57 TONNER</v>
          </cell>
          <cell r="F1601">
            <v>1.5277777777777777E-2</v>
          </cell>
          <cell r="G1601" t="str">
            <v>LOADING S36 TONNER BAGS</v>
          </cell>
          <cell r="AD1601">
            <v>1.3194444444444444E-2</v>
          </cell>
          <cell r="AE1601" t="str">
            <v>LOADING S26 SLING BAGS</v>
          </cell>
        </row>
        <row r="1602">
          <cell r="F1602">
            <v>5.2083333333333336E-2</v>
          </cell>
          <cell r="G1602" t="str">
            <v>LOADING S30 TONNER BAGS</v>
          </cell>
          <cell r="AD1602">
            <v>0.10486111111111111</v>
          </cell>
          <cell r="AE1602" t="str">
            <v>LOADING S60 SLING BAGS</v>
          </cell>
        </row>
        <row r="1603">
          <cell r="AD1603">
            <v>0.12708333333333333</v>
          </cell>
          <cell r="AE1603" t="str">
            <v>LOADING S35 SLING BAGS</v>
          </cell>
        </row>
        <row r="1604">
          <cell r="AD1604">
            <v>0.19027777777777777</v>
          </cell>
          <cell r="AE1604" t="str">
            <v>LOADING S21 SLING BAGS</v>
          </cell>
        </row>
        <row r="1605">
          <cell r="D1605" t="str">
            <v>SF NAVIGATOR</v>
          </cell>
          <cell r="G1605" t="str">
            <v>EFG 7</v>
          </cell>
          <cell r="M1605" t="str">
            <v>LADY OF PROSPERITY</v>
          </cell>
          <cell r="P1605" t="str">
            <v>EASTERN CEBU</v>
          </cell>
          <cell r="S1605" t="str">
            <v>LADY OF DIVINE GRACE</v>
          </cell>
          <cell r="V1605" t="str">
            <v>STAR SOGOD</v>
          </cell>
          <cell r="Y1605" t="str">
            <v xml:space="preserve">NIEVES </v>
          </cell>
          <cell r="AB1605" t="str">
            <v>NAPOLI</v>
          </cell>
          <cell r="AE1605" t="str">
            <v>EFG 8</v>
          </cell>
        </row>
        <row r="1606">
          <cell r="C1606">
            <v>0.29166666666666669</v>
          </cell>
          <cell r="D1606" t="str">
            <v>WAITING MATERIAL</v>
          </cell>
          <cell r="F1606">
            <v>0.29166666666666669</v>
          </cell>
          <cell r="G1606" t="str">
            <v>WAITING MATERIAL</v>
          </cell>
          <cell r="L1606">
            <v>0.29166666666666669</v>
          </cell>
          <cell r="M1606" t="str">
            <v>VESSEL CRANE INSPECTION</v>
          </cell>
          <cell r="O1606">
            <v>0.29166666666666669</v>
          </cell>
          <cell r="P1606" t="str">
            <v>WAITING MATERIAL</v>
          </cell>
          <cell r="R1606">
            <v>0.29166666666666669</v>
          </cell>
          <cell r="S1606" t="str">
            <v>KY TOOLBOX</v>
          </cell>
          <cell r="U1606">
            <v>0.29166666666666669</v>
          </cell>
          <cell r="V1606" t="str">
            <v>KY TOOLBOX</v>
          </cell>
          <cell r="X1606">
            <v>0.29166666666666669</v>
          </cell>
          <cell r="Y1606" t="str">
            <v>WAITING MATERIAL</v>
          </cell>
          <cell r="AA1606">
            <v>0.29166666666666669</v>
          </cell>
          <cell r="AB1606" t="str">
            <v>KY TOOLBOX</v>
          </cell>
          <cell r="AD1606">
            <v>0.29166666666666669</v>
          </cell>
          <cell r="AE1606" t="str">
            <v>KY TOOLBOX</v>
          </cell>
        </row>
        <row r="1607">
          <cell r="C1607">
            <v>0.41666666666666669</v>
          </cell>
          <cell r="D1607" t="str">
            <v>LOADING TONNER F2</v>
          </cell>
          <cell r="F1607">
            <v>0.44583333333333336</v>
          </cell>
          <cell r="G1607" t="str">
            <v>LOADING TONNER S40</v>
          </cell>
          <cell r="L1607">
            <v>0.54166666666666663</v>
          </cell>
          <cell r="M1607" t="str">
            <v>WAITING FL ONBOARD</v>
          </cell>
          <cell r="O1607">
            <v>0.34652777777777777</v>
          </cell>
          <cell r="P1607" t="str">
            <v>LOADING TONNER S7</v>
          </cell>
          <cell r="R1607">
            <v>0.3611111111111111</v>
          </cell>
          <cell r="S1607" t="str">
            <v>LOADING SLING S30</v>
          </cell>
          <cell r="U1607">
            <v>0.33333333333333331</v>
          </cell>
          <cell r="V1607" t="str">
            <v xml:space="preserve">WAITING FL ONBOARD </v>
          </cell>
          <cell r="X1607">
            <v>0.41111111111111109</v>
          </cell>
          <cell r="Y1607" t="str">
            <v>LOADING SLING L37</v>
          </cell>
          <cell r="AA1607">
            <v>0.33333333333333331</v>
          </cell>
          <cell r="AB1607" t="str">
            <v>LOADING SLING GEO 2</v>
          </cell>
          <cell r="AD1607">
            <v>0.34375</v>
          </cell>
          <cell r="AE1607" t="str">
            <v>LOADING LOOSEBAGS S53</v>
          </cell>
        </row>
        <row r="1608">
          <cell r="C1608">
            <v>0.43611111111111112</v>
          </cell>
          <cell r="D1608" t="str">
            <v>WAITING MATERIAL</v>
          </cell>
          <cell r="F1608">
            <v>0.5</v>
          </cell>
          <cell r="G1608" t="str">
            <v>LUNCHBREAK</v>
          </cell>
          <cell r="O1608">
            <v>0.37013888888888891</v>
          </cell>
          <cell r="P1608" t="str">
            <v>LOADING TONNER S38</v>
          </cell>
          <cell r="R1608">
            <v>0.38263888888888886</v>
          </cell>
          <cell r="S1608" t="str">
            <v>LOADING SLING S55</v>
          </cell>
          <cell r="U1608">
            <v>0.4375</v>
          </cell>
          <cell r="V1608" t="str">
            <v>FORKLIFT ONBOARD</v>
          </cell>
          <cell r="X1608">
            <v>0.45833333333333331</v>
          </cell>
          <cell r="Y1608" t="str">
            <v>CLOSE HATCH</v>
          </cell>
          <cell r="AA1608">
            <v>0.37361111111111112</v>
          </cell>
          <cell r="AB1608" t="str">
            <v>LOADING SLING S44</v>
          </cell>
          <cell r="AD1608">
            <v>0.5</v>
          </cell>
          <cell r="AE1608" t="str">
            <v>LUNCHBREAK</v>
          </cell>
        </row>
        <row r="1609">
          <cell r="C1609">
            <v>0.5</v>
          </cell>
          <cell r="D1609" t="str">
            <v>LUNCHBREAK</v>
          </cell>
          <cell r="F1609">
            <v>0.57430555555555551</v>
          </cell>
          <cell r="G1609" t="str">
            <v>LOADING TONNER S3</v>
          </cell>
          <cell r="O1609">
            <v>0.42291666666666666</v>
          </cell>
          <cell r="P1609" t="str">
            <v>LOADING TONNER L39</v>
          </cell>
          <cell r="R1609">
            <v>0.4236111111111111</v>
          </cell>
          <cell r="S1609" t="str">
            <v>LOADING SLING S8</v>
          </cell>
          <cell r="U1609">
            <v>0.4548611111111111</v>
          </cell>
          <cell r="V1609" t="str">
            <v>COMMENCE LOADING S47</v>
          </cell>
          <cell r="X1609">
            <v>0.56666666666666665</v>
          </cell>
          <cell r="Y1609" t="str">
            <v>LOADING SLING L17</v>
          </cell>
          <cell r="AA1609">
            <v>0.43958333333333333</v>
          </cell>
          <cell r="AB1609" t="str">
            <v>LOADING SLING L47</v>
          </cell>
          <cell r="AD1609">
            <v>0.57499999999999996</v>
          </cell>
          <cell r="AE1609" t="str">
            <v>LOADING LOOSEBAGS S48</v>
          </cell>
        </row>
        <row r="1610">
          <cell r="C1610">
            <v>0.54166666666666663</v>
          </cell>
          <cell r="D1610" t="str">
            <v>WAITING MATERIAL</v>
          </cell>
          <cell r="F1610">
            <v>0.69791666666666663</v>
          </cell>
          <cell r="G1610" t="str">
            <v>LOADING TONNER S51</v>
          </cell>
          <cell r="O1610">
            <v>0.44861111111111113</v>
          </cell>
          <cell r="P1610" t="str">
            <v>LOADING TONNER S32</v>
          </cell>
          <cell r="R1610">
            <v>0.45416666666666666</v>
          </cell>
          <cell r="S1610" t="str">
            <v>LOADING SLING S43</v>
          </cell>
          <cell r="U1610">
            <v>0.5</v>
          </cell>
          <cell r="V1610" t="str">
            <v>LUNCHBREAK</v>
          </cell>
          <cell r="X1610">
            <v>0.58888888888888891</v>
          </cell>
          <cell r="Y1610" t="str">
            <v>LOADING SLING S60</v>
          </cell>
          <cell r="AA1610">
            <v>0.45763888888888887</v>
          </cell>
          <cell r="AB1610" t="str">
            <v>LOADING SLING S57</v>
          </cell>
          <cell r="AD1610">
            <v>0.6069444444444444</v>
          </cell>
          <cell r="AE1610" t="str">
            <v>LOADING SLING S48</v>
          </cell>
        </row>
        <row r="1611">
          <cell r="C1611">
            <v>0.62222222222222223</v>
          </cell>
          <cell r="D1611" t="str">
            <v>LOADING TONNER L31</v>
          </cell>
          <cell r="F1611">
            <v>0.71111111111111114</v>
          </cell>
          <cell r="G1611" t="str">
            <v>LOADING TONNER S8</v>
          </cell>
          <cell r="O1611">
            <v>0.5</v>
          </cell>
          <cell r="P1611" t="str">
            <v>LUNCHBREAK</v>
          </cell>
          <cell r="R1611">
            <v>0.5</v>
          </cell>
          <cell r="S1611" t="str">
            <v>LUNCHBREAK</v>
          </cell>
          <cell r="U1611">
            <v>0.56180555555555556</v>
          </cell>
          <cell r="V1611" t="str">
            <v>LOADING SLING L48</v>
          </cell>
          <cell r="X1611">
            <v>0.64722222222222225</v>
          </cell>
          <cell r="Y1611" t="str">
            <v>LODING SLING A17</v>
          </cell>
          <cell r="AA1611">
            <v>0.5</v>
          </cell>
          <cell r="AB1611" t="str">
            <v>LUNCHBREAK</v>
          </cell>
          <cell r="AD1611">
            <v>0.65763888888888888</v>
          </cell>
          <cell r="AE1611" t="str">
            <v>LOADING SLING S37</v>
          </cell>
        </row>
        <row r="1612">
          <cell r="C1612">
            <v>0.66249999999999998</v>
          </cell>
          <cell r="D1612" t="str">
            <v>LOADING TONNER A1</v>
          </cell>
          <cell r="O1612">
            <v>0.56666666666666665</v>
          </cell>
          <cell r="P1612" t="str">
            <v>LOADING TONNER F1</v>
          </cell>
          <cell r="R1612">
            <v>0.54166666666666663</v>
          </cell>
          <cell r="S1612" t="str">
            <v>WAITING MATERIAL</v>
          </cell>
          <cell r="U1612">
            <v>0.58750000000000002</v>
          </cell>
          <cell r="V1612" t="str">
            <v>LOADING SLING F2</v>
          </cell>
          <cell r="X1612">
            <v>0.70833333333333337</v>
          </cell>
          <cell r="Y1612" t="str">
            <v>LOADING SLING GEO2</v>
          </cell>
          <cell r="AA1612">
            <v>0.56388888888888888</v>
          </cell>
          <cell r="AB1612" t="str">
            <v>LOADING SLING GEO 4</v>
          </cell>
          <cell r="AD1612">
            <v>0.7006944444444444</v>
          </cell>
          <cell r="AE1612" t="str">
            <v>LOADING SLING S28</v>
          </cell>
        </row>
        <row r="1613">
          <cell r="C1613">
            <v>0.7006944444444444</v>
          </cell>
          <cell r="D1613" t="str">
            <v>LOADING TONNER GEO 5</v>
          </cell>
          <cell r="O1613">
            <v>0.59166666666666667</v>
          </cell>
          <cell r="P1613" t="str">
            <v>LOADING TONNER B5</v>
          </cell>
          <cell r="R1613">
            <v>0.625</v>
          </cell>
          <cell r="S1613" t="str">
            <v>VESSEL BUNKERING</v>
          </cell>
          <cell r="U1613">
            <v>0.64652777777777781</v>
          </cell>
          <cell r="V1613" t="str">
            <v>LOADING SLING S36</v>
          </cell>
          <cell r="AA1613">
            <v>0.59027777777777779</v>
          </cell>
          <cell r="AB1613" t="str">
            <v>LOADING SLING S29</v>
          </cell>
        </row>
        <row r="1614">
          <cell r="O1614">
            <v>0.61458333333333337</v>
          </cell>
          <cell r="P1614" t="str">
            <v>LOADING TONNER GEO 1</v>
          </cell>
          <cell r="U1614">
            <v>0.6791666666666667</v>
          </cell>
          <cell r="V1614" t="str">
            <v>LOADING SLING S38</v>
          </cell>
          <cell r="AA1614">
            <v>0.70138888888888884</v>
          </cell>
          <cell r="AB1614" t="str">
            <v>LOADING SLING GEO 4</v>
          </cell>
        </row>
        <row r="1615">
          <cell r="O1615">
            <v>0.66597222222222219</v>
          </cell>
          <cell r="P1615" t="str">
            <v>LOADING TONNER S7</v>
          </cell>
          <cell r="U1615">
            <v>0.70763888888888893</v>
          </cell>
          <cell r="V1615" t="str">
            <v>LOADING SLING S39</v>
          </cell>
          <cell r="AA1615">
            <v>0.71875</v>
          </cell>
          <cell r="AB1615" t="str">
            <v>WAITING MATERIAL</v>
          </cell>
        </row>
        <row r="1616">
          <cell r="O1616">
            <v>0.70347222222222228</v>
          </cell>
          <cell r="P1616" t="str">
            <v>LOADING TONNER S9</v>
          </cell>
        </row>
        <row r="1617">
          <cell r="O1617">
            <v>0.71875</v>
          </cell>
          <cell r="P1617" t="str">
            <v>LOADING COMPLETE</v>
          </cell>
        </row>
        <row r="1618">
          <cell r="C1618">
            <v>0.8125</v>
          </cell>
          <cell r="D1618" t="str">
            <v>LOADING S41 TONNER BAGS</v>
          </cell>
          <cell r="F1618">
            <v>0.80902777777777779</v>
          </cell>
          <cell r="G1618" t="str">
            <v>WAITING MATERIALS</v>
          </cell>
          <cell r="L1618">
            <v>0.83750000000000002</v>
          </cell>
          <cell r="M1618" t="str">
            <v>LOADING S2 SLING BAGS</v>
          </cell>
          <cell r="R1618">
            <v>0.8125</v>
          </cell>
          <cell r="S1618" t="str">
            <v>LOADING  S57 SLING BAGS</v>
          </cell>
          <cell r="U1618">
            <v>0.81597222222222221</v>
          </cell>
          <cell r="V1618" t="str">
            <v>LOADING S55 SLING BAGS</v>
          </cell>
          <cell r="X1618">
            <v>0.81180555555555556</v>
          </cell>
          <cell r="Y1618" t="str">
            <v>LOADING L31 SLING BAGS</v>
          </cell>
          <cell r="AA1618">
            <v>0.8125</v>
          </cell>
          <cell r="AB1618" t="str">
            <v>LOADING L47 SLING BAGS</v>
          </cell>
          <cell r="AD1618">
            <v>0.81597222222222221</v>
          </cell>
          <cell r="AE1618" t="str">
            <v>LOADING S50 SLING BAGS</v>
          </cell>
        </row>
        <row r="1619">
          <cell r="C1619">
            <v>0.85624999999999996</v>
          </cell>
          <cell r="D1619" t="str">
            <v>LOADING S30 TONNER BAGS</v>
          </cell>
          <cell r="F1619">
            <v>0.9458333333333333</v>
          </cell>
          <cell r="G1619" t="str">
            <v>LOADING L52 TONNER BAGS</v>
          </cell>
          <cell r="L1619">
            <v>0.89027777777777772</v>
          </cell>
          <cell r="M1619" t="str">
            <v>LOADING S53 SLING BAGS</v>
          </cell>
          <cell r="R1619">
            <v>0.85624999999999996</v>
          </cell>
          <cell r="S1619" t="str">
            <v>LOADIING S43 SLING BAGS</v>
          </cell>
          <cell r="U1619">
            <v>0.84722222222222221</v>
          </cell>
          <cell r="V1619" t="str">
            <v>LOADING S55 SLING BAGS</v>
          </cell>
          <cell r="X1619">
            <v>0.84236111111111112</v>
          </cell>
          <cell r="Y1619" t="str">
            <v>LOADING L31 SLING BAGS</v>
          </cell>
          <cell r="AA1619">
            <v>0.84930555555555554</v>
          </cell>
          <cell r="AB1619" t="str">
            <v>LOADING L47 SLING BAGS</v>
          </cell>
          <cell r="AD1619">
            <v>0.86527777777777781</v>
          </cell>
          <cell r="AE1619" t="str">
            <v>LOADING S3 SLING BAGS</v>
          </cell>
        </row>
        <row r="1620">
          <cell r="C1620">
            <v>0.89027777777777772</v>
          </cell>
          <cell r="D1620" t="str">
            <v>LOADING L37 TONNER BAGS</v>
          </cell>
          <cell r="F1620">
            <v>0.95833333333333337</v>
          </cell>
          <cell r="G1620" t="str">
            <v>WAITING MATERIALS</v>
          </cell>
          <cell r="L1620">
            <v>0.91805555555555551</v>
          </cell>
          <cell r="M1620" t="str">
            <v>LOADING S2 SLING BAGS</v>
          </cell>
          <cell r="R1620">
            <v>0.89097222222222228</v>
          </cell>
          <cell r="S1620" t="str">
            <v>LOADING S57 SLING BAGS</v>
          </cell>
          <cell r="U1620">
            <v>0.875</v>
          </cell>
          <cell r="V1620" t="str">
            <v xml:space="preserve">WAITING DELIVERY </v>
          </cell>
          <cell r="X1620">
            <v>0.87708333333333333</v>
          </cell>
          <cell r="Y1620" t="str">
            <v>LOADING B5 SLING BAGS</v>
          </cell>
          <cell r="AA1620">
            <v>0.88194444444444442</v>
          </cell>
          <cell r="AB1620" t="str">
            <v>LOADING S51 SLING BAGS</v>
          </cell>
          <cell r="AD1620">
            <v>0.90208333333333335</v>
          </cell>
          <cell r="AE1620" t="str">
            <v>LOADING S32 SLING BAGS</v>
          </cell>
        </row>
        <row r="1621">
          <cell r="C1621">
            <v>0.92708333333333337</v>
          </cell>
          <cell r="D1621" t="str">
            <v>LOADING S40 TONNER BAGS</v>
          </cell>
          <cell r="F1621">
            <v>0</v>
          </cell>
          <cell r="G1621" t="str">
            <v>WAITING MATERIALS</v>
          </cell>
          <cell r="L1621">
            <v>0.99583333333333335</v>
          </cell>
          <cell r="M1621" t="str">
            <v>LOADING  G3 SLING BAGS</v>
          </cell>
          <cell r="R1621">
            <v>0.92013888888888884</v>
          </cell>
          <cell r="S1621" t="str">
            <v>LOADING S4 SLING BAGS</v>
          </cell>
          <cell r="U1621">
            <v>0.91666666666666663</v>
          </cell>
          <cell r="V1621" t="str">
            <v xml:space="preserve">WAITING DELIVERY </v>
          </cell>
          <cell r="X1621">
            <v>0.91666666666666663</v>
          </cell>
          <cell r="Y1621" t="str">
            <v>LOADING A1 SLING BAGS</v>
          </cell>
          <cell r="AA1621">
            <v>0.91666666666666663</v>
          </cell>
          <cell r="AB1621" t="str">
            <v>LOADING S7 SLING BAGS</v>
          </cell>
          <cell r="AD1621">
            <v>0.95763888888888893</v>
          </cell>
          <cell r="AE1621" t="str">
            <v>LOADING  S50 SLING BAGS</v>
          </cell>
        </row>
        <row r="1622">
          <cell r="C1622">
            <v>0.97916666666666663</v>
          </cell>
          <cell r="D1622" t="str">
            <v>LOADING S36 TONNER BAGS</v>
          </cell>
          <cell r="F1622">
            <v>4.1666666666666664E-2</v>
          </cell>
          <cell r="G1622" t="str">
            <v>WAITING MATERIALS</v>
          </cell>
          <cell r="L1622">
            <v>1.5277777777777777E-2</v>
          </cell>
          <cell r="M1622" t="str">
            <v>LOADING S44 SLING BAGS</v>
          </cell>
          <cell r="R1622">
            <v>0.95972222222222225</v>
          </cell>
          <cell r="S1622" t="str">
            <v>WAITING DELIVERY</v>
          </cell>
          <cell r="U1622">
            <v>0.95833333333333337</v>
          </cell>
          <cell r="V1622" t="str">
            <v xml:space="preserve">WAITING DELIVERY </v>
          </cell>
          <cell r="X1622">
            <v>0.97569444444444442</v>
          </cell>
          <cell r="Y1622" t="str">
            <v>LOADING L48 SLING BAGS</v>
          </cell>
          <cell r="AA1622">
            <v>0.95833333333333337</v>
          </cell>
          <cell r="AB1622" t="str">
            <v>LOADING S6 SLING BAGS</v>
          </cell>
          <cell r="AD1622">
            <v>0.97361111111111109</v>
          </cell>
          <cell r="AE1622" t="str">
            <v>LOADING S21 SLING BAGS</v>
          </cell>
        </row>
        <row r="1623">
          <cell r="C1623">
            <v>5.6944444444444443E-2</v>
          </cell>
          <cell r="D1623" t="str">
            <v>LOADING S60 TONNER BAGS</v>
          </cell>
          <cell r="F1623">
            <v>9.7916666666666666E-2</v>
          </cell>
          <cell r="G1623" t="str">
            <v>LOADING L51 TONNER BAGS</v>
          </cell>
          <cell r="L1623">
            <v>4.5138888888888888E-2</v>
          </cell>
          <cell r="M1623" t="str">
            <v>LOADING  S22 SLING BAGS</v>
          </cell>
          <cell r="R1623">
            <v>6.9444444444444447E-4</v>
          </cell>
          <cell r="S1623" t="str">
            <v>WAITING DELIVERY</v>
          </cell>
          <cell r="U1623">
            <v>6.2500000000000003E-3</v>
          </cell>
          <cell r="V1623" t="str">
            <v xml:space="preserve">WAITING DELIVERY </v>
          </cell>
          <cell r="X1623">
            <v>1.3888888888888889E-3</v>
          </cell>
          <cell r="Y1623" t="str">
            <v xml:space="preserve">WAITING DELIVERY </v>
          </cell>
          <cell r="AA1623">
            <v>6.9444444444444441E-3</v>
          </cell>
          <cell r="AB1623" t="str">
            <v xml:space="preserve">WAITING DELIVERY </v>
          </cell>
          <cell r="AD1623">
            <v>7.7777777777777779E-2</v>
          </cell>
          <cell r="AE1623" t="str">
            <v>LOADING S61 SLING BAGS</v>
          </cell>
        </row>
        <row r="1624">
          <cell r="C1624">
            <v>8.4027777777777785E-2</v>
          </cell>
          <cell r="D1624" t="str">
            <v>LOADING S41 TONNER BAGS</v>
          </cell>
          <cell r="F1624">
            <v>0.16111111111111112</v>
          </cell>
          <cell r="G1624" t="str">
            <v>LOADING L31 TONNER BAGS</v>
          </cell>
          <cell r="L1624">
            <v>0.15277777777777779</v>
          </cell>
          <cell r="M1624" t="str">
            <v>LOADING S30 SLING BAGS</v>
          </cell>
          <cell r="R1624">
            <v>5.6944444444444443E-2</v>
          </cell>
          <cell r="S1624" t="str">
            <v>WAITING DELIVERY</v>
          </cell>
          <cell r="U1624">
            <v>4.1666666666666664E-2</v>
          </cell>
          <cell r="V1624" t="str">
            <v xml:space="preserve">WAITING DELIVERY </v>
          </cell>
          <cell r="X1624">
            <v>6.7361111111111108E-2</v>
          </cell>
          <cell r="Y1624" t="str">
            <v>LOADING S17 SLING BAGS</v>
          </cell>
          <cell r="AA1624">
            <v>6.5277777777777782E-2</v>
          </cell>
          <cell r="AB1624" t="str">
            <v>LOADING S8 SLING BAGS</v>
          </cell>
          <cell r="AD1624">
            <v>0.17083333333333334</v>
          </cell>
          <cell r="AE1624" t="str">
            <v>LOADING L50 SLING BAGS</v>
          </cell>
        </row>
        <row r="1625">
          <cell r="C1625">
            <v>0.13541666666666666</v>
          </cell>
          <cell r="D1625" t="str">
            <v>LOADING G4 TONNER BAGS</v>
          </cell>
          <cell r="L1625">
            <v>0.18611111111111112</v>
          </cell>
          <cell r="M1625" t="str">
            <v>LOADING S21 SLING BAGS</v>
          </cell>
          <cell r="R1625">
            <v>8.6805555555555552E-2</v>
          </cell>
          <cell r="S1625" t="str">
            <v>WAITING DELIVERY</v>
          </cell>
          <cell r="U1625">
            <v>8.3333333333333329E-2</v>
          </cell>
          <cell r="V1625" t="str">
            <v xml:space="preserve">WAITING DELIVERY </v>
          </cell>
          <cell r="X1625">
            <v>0.10138888888888889</v>
          </cell>
          <cell r="Y1625" t="str">
            <v>LOADING S47 SLING BAGS</v>
          </cell>
          <cell r="AA1625">
            <v>0.10416666666666667</v>
          </cell>
          <cell r="AB1625" t="str">
            <v>LOADING S19 SLING BAGS</v>
          </cell>
        </row>
        <row r="1626">
          <cell r="C1626">
            <v>0.16805555555555557</v>
          </cell>
          <cell r="D1626" t="str">
            <v>LOADING S36 TONNER BAGS</v>
          </cell>
          <cell r="L1626">
            <v>0.22222222222222221</v>
          </cell>
          <cell r="M1626" t="str">
            <v>LOADING G2 SLING BAGS</v>
          </cell>
          <cell r="R1626">
            <v>0.15486111111111112</v>
          </cell>
          <cell r="S1626" t="str">
            <v>LOADING S32 SLING BAGS</v>
          </cell>
          <cell r="U1626">
            <v>0.125</v>
          </cell>
          <cell r="V1626" t="str">
            <v xml:space="preserve">WAITING DELIVERY </v>
          </cell>
          <cell r="X1626">
            <v>0.13472222222222222</v>
          </cell>
          <cell r="Y1626" t="str">
            <v>LOADING B5 SLING BAGS</v>
          </cell>
          <cell r="AA1626">
            <v>0.12638888888888888</v>
          </cell>
          <cell r="AB1626" t="str">
            <v>LOADING S28 SLING BAGS</v>
          </cell>
        </row>
        <row r="1627">
          <cell r="C1627">
            <v>0.22500000000000001</v>
          </cell>
          <cell r="D1627" t="str">
            <v>LOADING L52 TONNER BAGS</v>
          </cell>
          <cell r="R1627">
            <v>0.16805555555555557</v>
          </cell>
          <cell r="S1627" t="str">
            <v>LOADING S32 SLING BAGS</v>
          </cell>
          <cell r="U1627">
            <v>0.16666666666666666</v>
          </cell>
          <cell r="V1627" t="str">
            <v xml:space="preserve">WAITING DELIVERY </v>
          </cell>
          <cell r="X1627">
            <v>0.18194444444444444</v>
          </cell>
          <cell r="Y1627" t="str">
            <v>LOADING S59 SLING BAGS</v>
          </cell>
          <cell r="AA1627">
            <v>0.16666666666666666</v>
          </cell>
          <cell r="AB1627" t="str">
            <v>LOADING S38 SLING BAGS</v>
          </cell>
        </row>
        <row r="1628">
          <cell r="C1628">
            <v>0.2673611111111111</v>
          </cell>
          <cell r="D1628" t="str">
            <v>LOADING S41 TONNER BAGS</v>
          </cell>
          <cell r="U1628">
            <v>0.20833333333333334</v>
          </cell>
          <cell r="V1628" t="str">
            <v xml:space="preserve">WAITING DELIVERY </v>
          </cell>
          <cell r="X1628">
            <v>0.21527777777777779</v>
          </cell>
          <cell r="Y1628" t="str">
            <v>LOADING S55 SLING BAGS</v>
          </cell>
        </row>
        <row r="1629">
          <cell r="X1629">
            <v>0.22638888888888889</v>
          </cell>
          <cell r="Y1629" t="str">
            <v>LOADING S3 SLING BAGS</v>
          </cell>
        </row>
        <row r="1630">
          <cell r="G1630" t="str">
            <v xml:space="preserve">EFG 7 </v>
          </cell>
          <cell r="M1630" t="str">
            <v>LADY OF PROSPERITY</v>
          </cell>
          <cell r="P1630" t="str">
            <v xml:space="preserve">EFG 8 </v>
          </cell>
          <cell r="S1630" t="str">
            <v>LADY OF DIVINE GRACE</v>
          </cell>
          <cell r="V1630" t="str">
            <v>STAR SOGOD</v>
          </cell>
          <cell r="Y1630" t="str">
            <v xml:space="preserve">NIEVES </v>
          </cell>
          <cell r="AE1630" t="str">
            <v>ADOLFO SR</v>
          </cell>
        </row>
        <row r="1631">
          <cell r="C1631" t="str">
            <v xml:space="preserve">   </v>
          </cell>
          <cell r="D1631" t="str">
            <v xml:space="preserve">  </v>
          </cell>
          <cell r="F1631">
            <v>0.29166666666666669</v>
          </cell>
          <cell r="G1631" t="str">
            <v>KY TOOLBOX</v>
          </cell>
          <cell r="L1631">
            <v>0.29166666666666669</v>
          </cell>
          <cell r="M1631" t="str">
            <v>KY TOOLBOX</v>
          </cell>
          <cell r="O1631">
            <v>0.29166666666666669</v>
          </cell>
          <cell r="P1631" t="str">
            <v>WAITING MATERIAL</v>
          </cell>
          <cell r="R1631">
            <v>0.29166666666666669</v>
          </cell>
          <cell r="S1631" t="str">
            <v>WAITING MATERIAL</v>
          </cell>
          <cell r="U1631">
            <v>0.29166666666666669</v>
          </cell>
          <cell r="V1631" t="str">
            <v>WAITING MATERIAL</v>
          </cell>
          <cell r="X1631">
            <v>0.29166666666666669</v>
          </cell>
          <cell r="Y1631" t="str">
            <v>WAITING MATERIAL</v>
          </cell>
          <cell r="AB1631" t="str">
            <v xml:space="preserve">  </v>
          </cell>
          <cell r="AD1631">
            <v>0.79166666666666663</v>
          </cell>
          <cell r="AE1631" t="str">
            <v>WAITING DELIVERY</v>
          </cell>
        </row>
        <row r="1632">
          <cell r="C1632" t="str">
            <v xml:space="preserve">   </v>
          </cell>
          <cell r="D1632" t="str">
            <v xml:space="preserve">  </v>
          </cell>
          <cell r="F1632">
            <v>0.34375</v>
          </cell>
          <cell r="G1632" t="str">
            <v>LOADING TONNER S61</v>
          </cell>
          <cell r="L1632">
            <v>0.34861111111111109</v>
          </cell>
          <cell r="M1632" t="str">
            <v>LOADING SLING S22</v>
          </cell>
          <cell r="O1632">
            <v>0.46805555555555556</v>
          </cell>
          <cell r="P1632" t="str">
            <v>LOADING TONNER GEO3</v>
          </cell>
          <cell r="R1632">
            <v>0.54166666666666663</v>
          </cell>
          <cell r="S1632" t="str">
            <v>WAITING MATERIAL</v>
          </cell>
          <cell r="U1632">
            <v>0.45416666666666666</v>
          </cell>
          <cell r="V1632" t="str">
            <v>LOADING SLING GEO 1</v>
          </cell>
          <cell r="X1632">
            <v>0.57986111111111116</v>
          </cell>
          <cell r="Y1632" t="str">
            <v>LOADING SLING S47</v>
          </cell>
          <cell r="AD1632">
            <v>0.83472222222222225</v>
          </cell>
          <cell r="AE1632" t="str">
            <v>WAITING DELIVERY</v>
          </cell>
        </row>
        <row r="1633">
          <cell r="F1633">
            <v>0.35972222222222222</v>
          </cell>
          <cell r="G1633" t="str">
            <v>LOADING TONNER S41</v>
          </cell>
          <cell r="L1633">
            <v>0.37083333333333335</v>
          </cell>
          <cell r="M1633" t="str">
            <v>LOADING SLING S39</v>
          </cell>
          <cell r="O1633">
            <v>0.57638888888888884</v>
          </cell>
          <cell r="P1633" t="str">
            <v>LOADING TONNER L37</v>
          </cell>
          <cell r="R1633">
            <v>0.7055555555555556</v>
          </cell>
          <cell r="S1633" t="str">
            <v>LOADING SLING L48</v>
          </cell>
          <cell r="U1633">
            <v>0.47916666666666669</v>
          </cell>
          <cell r="V1633" t="str">
            <v>WAITING MATERIAL</v>
          </cell>
          <cell r="X1633">
            <v>0.59652777777777777</v>
          </cell>
          <cell r="Y1633" t="str">
            <v>WAITING LAST TRUCK</v>
          </cell>
          <cell r="AD1633">
            <v>0.89027777777777772</v>
          </cell>
          <cell r="AE1633" t="str">
            <v>WAITING DELIVERY</v>
          </cell>
        </row>
        <row r="1634">
          <cell r="F1634">
            <v>0.37291666666666667</v>
          </cell>
          <cell r="G1634" t="str">
            <v>WAITING MATERIAL</v>
          </cell>
          <cell r="L1634">
            <v>0.39513888888888887</v>
          </cell>
          <cell r="M1634" t="str">
            <v>LOADING SLING S40</v>
          </cell>
          <cell r="O1634">
            <v>0.60069444444444442</v>
          </cell>
          <cell r="P1634" t="str">
            <v>LOADING TONNER A1</v>
          </cell>
          <cell r="R1634">
            <v>0.71527777777777779</v>
          </cell>
          <cell r="S1634" t="str">
            <v>LOADING COMPLETE</v>
          </cell>
          <cell r="U1634">
            <v>0.58472222222222225</v>
          </cell>
          <cell r="V1634" t="str">
            <v>LOADING SLING S58</v>
          </cell>
          <cell r="X1634">
            <v>0.65</v>
          </cell>
          <cell r="Y1634" t="str">
            <v>LOADING TONNER S9</v>
          </cell>
          <cell r="AD1634">
            <v>0.93888888888888888</v>
          </cell>
          <cell r="AE1634" t="str">
            <v>WAITING DELIVERY</v>
          </cell>
        </row>
        <row r="1635">
          <cell r="F1635">
            <v>0.5854166666666667</v>
          </cell>
          <cell r="G1635" t="str">
            <v>LOADING TONNER B5</v>
          </cell>
          <cell r="L1635">
            <v>0.43055555555555558</v>
          </cell>
          <cell r="M1635" t="str">
            <v>LOADING SLING A1</v>
          </cell>
          <cell r="O1635">
            <v>0.70208333333333328</v>
          </cell>
          <cell r="P1635" t="str">
            <v>LOADING TONNER S4</v>
          </cell>
          <cell r="U1635">
            <v>0.61944444444444446</v>
          </cell>
          <cell r="V1635" t="str">
            <v>LOADING SLING S61</v>
          </cell>
          <cell r="X1635">
            <v>0.66666666666666663</v>
          </cell>
          <cell r="Y1635" t="str">
            <v>LOADING COMPLETE</v>
          </cell>
          <cell r="AD1635">
            <v>0.96666666666666667</v>
          </cell>
          <cell r="AE1635" t="str">
            <v>WAITING DELIVERY</v>
          </cell>
        </row>
        <row r="1636">
          <cell r="F1636">
            <v>0.61805555555555558</v>
          </cell>
          <cell r="G1636" t="str">
            <v>LOADING TONNER S21</v>
          </cell>
          <cell r="L1636">
            <v>0.44791666666666669</v>
          </cell>
          <cell r="M1636" t="str">
            <v>LOADING SLING L5</v>
          </cell>
          <cell r="O1636">
            <v>0.80208333333333337</v>
          </cell>
          <cell r="P1636" t="str">
            <v>KY TOOLBOX</v>
          </cell>
          <cell r="U1636">
            <v>0.69236111111111109</v>
          </cell>
          <cell r="V1636" t="str">
            <v>LOADING SLING S8</v>
          </cell>
        </row>
        <row r="1637">
          <cell r="F1637">
            <v>0.72152777777777777</v>
          </cell>
          <cell r="G1637" t="str">
            <v>LOADING TONNER S55</v>
          </cell>
          <cell r="L1637">
            <v>0.5</v>
          </cell>
          <cell r="M1637" t="str">
            <v>LUNCHBREAK</v>
          </cell>
          <cell r="O1637">
            <v>0.84722222222222221</v>
          </cell>
          <cell r="P1637" t="str">
            <v>WAITING MATERIAL</v>
          </cell>
          <cell r="U1637">
            <v>0.80208333333333337</v>
          </cell>
          <cell r="V1637" t="str">
            <v>KY TOOLBOX</v>
          </cell>
        </row>
        <row r="1638">
          <cell r="F1638">
            <v>0.80208333333333337</v>
          </cell>
          <cell r="G1638" t="str">
            <v>KY TOOLBOX</v>
          </cell>
          <cell r="L1638">
            <v>0.55972222222222223</v>
          </cell>
          <cell r="M1638" t="str">
            <v>LOADING SLING F2</v>
          </cell>
          <cell r="O1638">
            <v>0.88541666666666663</v>
          </cell>
          <cell r="P1638" t="str">
            <v>WAITING MATERIAL</v>
          </cell>
          <cell r="U1638">
            <v>0.86111111111111116</v>
          </cell>
          <cell r="V1638" t="str">
            <v>LOADING S22 SLING BAGS</v>
          </cell>
        </row>
        <row r="1639">
          <cell r="F1639">
            <v>0.84236111111111112</v>
          </cell>
          <cell r="G1639" t="str">
            <v>LOADING S47 TONNER BAGS</v>
          </cell>
          <cell r="L1639">
            <v>0.57291666666666663</v>
          </cell>
          <cell r="M1639" t="str">
            <v>LOADING SLING GEO 2</v>
          </cell>
          <cell r="O1639">
            <v>0.92013888888888884</v>
          </cell>
          <cell r="P1639" t="str">
            <v>WAITING MATERIAL</v>
          </cell>
          <cell r="U1639">
            <v>0.88263888888888886</v>
          </cell>
          <cell r="V1639" t="str">
            <v>LOADING G1 SLING BAGS</v>
          </cell>
        </row>
        <row r="1640">
          <cell r="F1640">
            <v>0.95</v>
          </cell>
          <cell r="G1640" t="str">
            <v>LOADING S59 TONNER BAGS</v>
          </cell>
          <cell r="L1640">
            <v>0.59583333333333333</v>
          </cell>
          <cell r="M1640" t="str">
            <v>LOADING SLING S60</v>
          </cell>
          <cell r="O1640">
            <v>0.96666666666666667</v>
          </cell>
          <cell r="P1640" t="str">
            <v>WAITING MATERIAL</v>
          </cell>
          <cell r="U1640">
            <v>0.91805555555555551</v>
          </cell>
          <cell r="V1640" t="str">
            <v>LOADING S41 SLING BAGS</v>
          </cell>
        </row>
        <row r="1641">
          <cell r="F1641">
            <v>0.97638888888888886</v>
          </cell>
          <cell r="G1641" t="str">
            <v>LOADING S37 TONNER BAGS</v>
          </cell>
          <cell r="L1641">
            <v>0.67291666666666672</v>
          </cell>
          <cell r="M1641" t="str">
            <v>LOADING SLING S37</v>
          </cell>
          <cell r="O1641">
            <v>0</v>
          </cell>
          <cell r="P1641" t="str">
            <v>WAITING MATERIAL</v>
          </cell>
          <cell r="U1641">
            <v>0.95833333333333337</v>
          </cell>
          <cell r="V1641" t="str">
            <v>WAITING SORE CRANE</v>
          </cell>
        </row>
        <row r="1642">
          <cell r="F1642">
            <v>9.7222222222222224E-3</v>
          </cell>
          <cell r="G1642" t="str">
            <v>COMPLETE LOADING</v>
          </cell>
          <cell r="L1642">
            <v>0.69652777777777775</v>
          </cell>
          <cell r="M1642" t="str">
            <v>LOADING SLING S56</v>
          </cell>
          <cell r="O1642">
            <v>5.5555555555555552E-2</v>
          </cell>
          <cell r="P1642" t="str">
            <v>WAITING MATERIAL</v>
          </cell>
          <cell r="U1642">
            <v>1.0416666666666666E-2</v>
          </cell>
          <cell r="V1642" t="str">
            <v>LOADING S21 SLING BAGS</v>
          </cell>
        </row>
        <row r="1643">
          <cell r="F1643" t="str">
            <v xml:space="preserve"> </v>
          </cell>
          <cell r="L1643">
            <v>0.72222222222222221</v>
          </cell>
          <cell r="M1643" t="str">
            <v>LOADING SLING S36</v>
          </cell>
          <cell r="O1643">
            <v>0.11805555555555555</v>
          </cell>
          <cell r="P1643" t="str">
            <v>LOADING S53 TONNER BAGS</v>
          </cell>
          <cell r="U1643">
            <v>5.7638888888888892E-2</v>
          </cell>
          <cell r="V1643" t="str">
            <v>LOADING S29 SLING BAGS</v>
          </cell>
        </row>
        <row r="1644">
          <cell r="L1644">
            <v>0.80208333333333337</v>
          </cell>
          <cell r="M1644" t="str">
            <v>KY TOOLBOX</v>
          </cell>
          <cell r="O1644">
            <v>0.14722222222222223</v>
          </cell>
          <cell r="P1644" t="str">
            <v>LOADING S61 TONNER BAGS</v>
          </cell>
          <cell r="U1644">
            <v>8.3333333333333329E-2</v>
          </cell>
          <cell r="V1644" t="str">
            <v>LOADING S60 SLING BAGS</v>
          </cell>
        </row>
        <row r="1645">
          <cell r="L1645">
            <v>0.83819444444444446</v>
          </cell>
          <cell r="M1645" t="str">
            <v>LOADING S49 SLING BAGS</v>
          </cell>
          <cell r="O1645">
            <v>0.2013888888888889</v>
          </cell>
          <cell r="P1645" t="str">
            <v>LOADING G5 TONNER BAGS</v>
          </cell>
          <cell r="U1645">
            <v>0.10208333333333333</v>
          </cell>
          <cell r="V1645" t="str">
            <v>COMPLETE LOADING</v>
          </cell>
        </row>
        <row r="1646">
          <cell r="L1646">
            <v>0.875</v>
          </cell>
          <cell r="M1646" t="str">
            <v>LOADING S55 SLING BAGS</v>
          </cell>
          <cell r="O1646">
            <v>0.22430555555555556</v>
          </cell>
          <cell r="P1646" t="str">
            <v>LOADING G5 TONNER BAGS</v>
          </cell>
        </row>
        <row r="1647">
          <cell r="L1647">
            <v>0.92152777777777772</v>
          </cell>
          <cell r="M1647" t="str">
            <v>LOADING S30 SLING BAGS</v>
          </cell>
        </row>
        <row r="1648">
          <cell r="L1648">
            <v>0.96597222222222223</v>
          </cell>
          <cell r="M1648" t="str">
            <v>COMPLETE LOADING</v>
          </cell>
        </row>
        <row r="1649">
          <cell r="C1649" t="str">
            <v xml:space="preserve">  </v>
          </cell>
          <cell r="D1649" t="str">
            <v xml:space="preserve">  </v>
          </cell>
          <cell r="F1649" t="str">
            <v xml:space="preserve">  </v>
          </cell>
          <cell r="G1649" t="str">
            <v xml:space="preserve">  </v>
          </cell>
          <cell r="I1649" t="str">
            <v xml:space="preserve">  </v>
          </cell>
          <cell r="J1649" t="str">
            <v xml:space="preserve">  </v>
          </cell>
          <cell r="L1649" t="str">
            <v xml:space="preserve">  </v>
          </cell>
          <cell r="M1649" t="str">
            <v xml:space="preserve">  </v>
          </cell>
          <cell r="O1649" t="str">
            <v xml:space="preserve">  </v>
          </cell>
          <cell r="P1649" t="str">
            <v xml:space="preserve">EFG 8 </v>
          </cell>
          <cell r="R1649" t="str">
            <v xml:space="preserve"> </v>
          </cell>
          <cell r="S1649" t="str">
            <v xml:space="preserve">  </v>
          </cell>
          <cell r="U1649" t="str">
            <v xml:space="preserve">  </v>
          </cell>
          <cell r="V1649" t="str">
            <v>LADY OF COURAGE</v>
          </cell>
          <cell r="X1649" t="str">
            <v xml:space="preserve">  </v>
          </cell>
          <cell r="Y1649" t="str">
            <v>LADY OF REMEDY</v>
          </cell>
          <cell r="AA1649" t="str">
            <v xml:space="preserve">  </v>
          </cell>
          <cell r="AB1649" t="str">
            <v>LADY ARMOR</v>
          </cell>
          <cell r="AD1649" t="str">
            <v xml:space="preserve">  </v>
          </cell>
          <cell r="AE1649" t="str">
            <v>ADOLFO SR</v>
          </cell>
          <cell r="AG1649" t="str">
            <v xml:space="preserve">  </v>
          </cell>
          <cell r="AH1649" t="str">
            <v xml:space="preserve">  </v>
          </cell>
        </row>
        <row r="1650">
          <cell r="O1650">
            <v>0.29166666666666669</v>
          </cell>
          <cell r="P1650" t="str">
            <v>WAITING MATERIAL</v>
          </cell>
          <cell r="U1650">
            <v>0.5</v>
          </cell>
          <cell r="V1650" t="str">
            <v>DOCKED &amp; SECURED</v>
          </cell>
          <cell r="X1650">
            <v>0.3611111111111111</v>
          </cell>
          <cell r="Y1650" t="str">
            <v>DOCKED &amp; SECURED</v>
          </cell>
          <cell r="AA1650">
            <v>0.29166666666666669</v>
          </cell>
          <cell r="AB1650" t="str">
            <v>NO BOOKING</v>
          </cell>
          <cell r="AD1650">
            <v>0.29166666666666669</v>
          </cell>
          <cell r="AE1650" t="str">
            <v>NO BOOKING</v>
          </cell>
        </row>
        <row r="1651">
          <cell r="O1651">
            <v>0.39583333333333331</v>
          </cell>
          <cell r="P1651" t="str">
            <v>OPENIG HATCHES</v>
          </cell>
          <cell r="U1651">
            <v>0.54166666666666663</v>
          </cell>
          <cell r="V1651" t="str">
            <v>WAITING MATERIAL</v>
          </cell>
          <cell r="X1651">
            <v>0.4375</v>
          </cell>
          <cell r="Y1651" t="str">
            <v>OPENING HATCH</v>
          </cell>
        </row>
        <row r="1652">
          <cell r="O1652">
            <v>0.40763888888888888</v>
          </cell>
          <cell r="P1652" t="str">
            <v>LOADING TONNER S57</v>
          </cell>
          <cell r="U1652">
            <v>0.60416666666666663</v>
          </cell>
          <cell r="V1652" t="str">
            <v>OPENING HATCH</v>
          </cell>
          <cell r="X1652">
            <v>0.45416666666666666</v>
          </cell>
          <cell r="Y1652" t="str">
            <v>COMMENCE LOADING F1</v>
          </cell>
        </row>
        <row r="1653">
          <cell r="O1653">
            <v>0.45347222222222222</v>
          </cell>
          <cell r="P1653" t="str">
            <v>LOADING TONNER S44</v>
          </cell>
          <cell r="U1653">
            <v>0.625</v>
          </cell>
          <cell r="V1653" t="str">
            <v>WAITING GEO</v>
          </cell>
          <cell r="X1653">
            <v>0.46944444444444444</v>
          </cell>
          <cell r="Y1653" t="str">
            <v>LOADING SLING L7</v>
          </cell>
        </row>
        <row r="1654">
          <cell r="O1654">
            <v>0.47083333333333333</v>
          </cell>
          <cell r="P1654" t="str">
            <v>WAITING MATERIAL</v>
          </cell>
          <cell r="U1654">
            <v>0.66319444444444442</v>
          </cell>
          <cell r="V1654" t="str">
            <v>OPENING HATCH</v>
          </cell>
          <cell r="X1654">
            <v>0.5</v>
          </cell>
          <cell r="Y1654" t="str">
            <v>LUNCHBREAK</v>
          </cell>
        </row>
        <row r="1655">
          <cell r="O1655">
            <v>0.56805555555555554</v>
          </cell>
          <cell r="P1655" t="str">
            <v>LOADING TONNER S61</v>
          </cell>
          <cell r="U1655">
            <v>0.71458333333333335</v>
          </cell>
          <cell r="V1655" t="str">
            <v>LOADING SLING S61</v>
          </cell>
          <cell r="X1655">
            <v>0.55972222222222223</v>
          </cell>
          <cell r="Y1655" t="str">
            <v>LOADING SLING F2</v>
          </cell>
        </row>
        <row r="1656">
          <cell r="O1656">
            <v>0.59722222222222221</v>
          </cell>
          <cell r="P1656" t="str">
            <v>LOADING TONNER S30</v>
          </cell>
          <cell r="U1656">
            <v>0.75</v>
          </cell>
          <cell r="V1656" t="str">
            <v>VESSEL BREAK</v>
          </cell>
          <cell r="X1656">
            <v>0.58263888888888893</v>
          </cell>
          <cell r="Y1656" t="str">
            <v>LOADING SLING GEO 4</v>
          </cell>
        </row>
        <row r="1657">
          <cell r="O1657">
            <v>0.62152777777777779</v>
          </cell>
          <cell r="P1657" t="str">
            <v>LOADING COMPLETE</v>
          </cell>
          <cell r="U1657">
            <v>0.79166666666666663</v>
          </cell>
          <cell r="V1657" t="str">
            <v>KY TOOLBOX</v>
          </cell>
          <cell r="X1657">
            <v>0.6020833333333333</v>
          </cell>
          <cell r="Y1657" t="str">
            <v>LOADING SLING L48</v>
          </cell>
        </row>
        <row r="1658">
          <cell r="U1658">
            <v>0.83263888888888893</v>
          </cell>
          <cell r="V1658" t="str">
            <v>LOADING SLING GEO 3</v>
          </cell>
          <cell r="X1658">
            <v>0.62430555555555556</v>
          </cell>
          <cell r="Y1658" t="str">
            <v>LOADING SLING L52</v>
          </cell>
        </row>
        <row r="1659">
          <cell r="U1659">
            <v>0.85972222222222228</v>
          </cell>
          <cell r="V1659" t="str">
            <v>LOADING SLING S47</v>
          </cell>
          <cell r="X1659">
            <v>0.66180555555555554</v>
          </cell>
          <cell r="Y1659" t="str">
            <v>LOADING SLING L50</v>
          </cell>
        </row>
        <row r="1660">
          <cell r="U1660">
            <v>0.87430555555555556</v>
          </cell>
          <cell r="V1660" t="str">
            <v>LOADING SLING S44</v>
          </cell>
          <cell r="X1660">
            <v>0.67708333333333337</v>
          </cell>
          <cell r="Y1660" t="str">
            <v>LOADING SLING GEO 5</v>
          </cell>
        </row>
        <row r="1661">
          <cell r="U1661">
            <v>0.89027777777777772</v>
          </cell>
          <cell r="V1661" t="str">
            <v>LOADING SLING S19</v>
          </cell>
          <cell r="X1661">
            <v>0.72013888888888888</v>
          </cell>
          <cell r="Y1661" t="str">
            <v>LOADING SLING S58</v>
          </cell>
        </row>
        <row r="1662">
          <cell r="U1662">
            <v>0.95347222222222228</v>
          </cell>
          <cell r="V1662" t="str">
            <v>LOADING SLING S61</v>
          </cell>
          <cell r="X1662">
            <v>0.75</v>
          </cell>
          <cell r="Y1662" t="str">
            <v>VESSEL BREAK</v>
          </cell>
        </row>
        <row r="1663">
          <cell r="U1663">
            <v>0.96875</v>
          </cell>
          <cell r="V1663" t="str">
            <v>LOADING SLING S61</v>
          </cell>
          <cell r="X1663">
            <v>0.79166666666666663</v>
          </cell>
          <cell r="Y1663" t="str">
            <v>KY TOOLBOX</v>
          </cell>
        </row>
        <row r="1664">
          <cell r="U1664">
            <v>0.97847222222222219</v>
          </cell>
          <cell r="V1664" t="str">
            <v>LOADING SLING S48</v>
          </cell>
          <cell r="X1664">
            <v>0.8305555555555556</v>
          </cell>
          <cell r="Y1664" t="str">
            <v>LOADING SLING S39</v>
          </cell>
        </row>
        <row r="1665">
          <cell r="U1665">
            <v>0.99027777777777781</v>
          </cell>
          <cell r="V1665" t="str">
            <v>LOADING SLING S39</v>
          </cell>
          <cell r="X1665">
            <v>0.84722222222222221</v>
          </cell>
          <cell r="Y1665" t="str">
            <v>LOADING SLING S37</v>
          </cell>
        </row>
        <row r="1666">
          <cell r="U1666">
            <v>3.472222222222222E-3</v>
          </cell>
          <cell r="V1666" t="str">
            <v>WAITING MATERIAL</v>
          </cell>
          <cell r="X1666">
            <v>0.86875000000000002</v>
          </cell>
          <cell r="Y1666" t="str">
            <v>LOADING SLING S8</v>
          </cell>
        </row>
        <row r="1667">
          <cell r="X1667">
            <v>0.88749999999999996</v>
          </cell>
          <cell r="Y1667" t="str">
            <v>LOADING SLING S7</v>
          </cell>
        </row>
        <row r="1668">
          <cell r="X1668">
            <v>0.90763888888888888</v>
          </cell>
          <cell r="Y1668" t="str">
            <v>LOADING SLING GEO 2</v>
          </cell>
        </row>
        <row r="1669">
          <cell r="X1669">
            <v>0.93333333333333335</v>
          </cell>
          <cell r="Y1669" t="str">
            <v>LOADING SLING S59</v>
          </cell>
        </row>
        <row r="1670">
          <cell r="X1670">
            <v>0.94791666666666663</v>
          </cell>
          <cell r="Y1670" t="str">
            <v>LOADING SLING GEO 1</v>
          </cell>
        </row>
        <row r="1671">
          <cell r="X1671">
            <v>0.96527777777777779</v>
          </cell>
          <cell r="Y1671" t="str">
            <v>LOADING SLING S21</v>
          </cell>
        </row>
        <row r="1672">
          <cell r="X1672">
            <v>0.9819444444444444</v>
          </cell>
          <cell r="Y1672" t="str">
            <v>LOADING SLING S2</v>
          </cell>
        </row>
        <row r="1673">
          <cell r="X1673">
            <v>0.99305555555555558</v>
          </cell>
          <cell r="Y1673" t="str">
            <v>LOADING SLING S53</v>
          </cell>
        </row>
        <row r="1674">
          <cell r="X1674">
            <v>4.4444444444444446E-2</v>
          </cell>
          <cell r="Y1674" t="str">
            <v>LOADING SLING S60</v>
          </cell>
        </row>
        <row r="1675">
          <cell r="X1675">
            <v>8.1944444444444445E-2</v>
          </cell>
          <cell r="Y1675" t="str">
            <v>LOADING SLING S55</v>
          </cell>
        </row>
        <row r="1676">
          <cell r="X1676">
            <v>9.583333333333334E-2</v>
          </cell>
          <cell r="Y1676" t="str">
            <v>LOADING SLING S28</v>
          </cell>
        </row>
        <row r="1677">
          <cell r="X1677">
            <v>0.12638888888888888</v>
          </cell>
          <cell r="Y1677" t="str">
            <v>LOADING SLING S38</v>
          </cell>
        </row>
        <row r="1678">
          <cell r="X1678">
            <v>0.14305555555555555</v>
          </cell>
          <cell r="Y1678" t="str">
            <v>LOADING SLING S57</v>
          </cell>
        </row>
        <row r="1679">
          <cell r="X1679">
            <v>0.15277777777777779</v>
          </cell>
          <cell r="Y1679" t="str">
            <v>LOADING COMPLETE</v>
          </cell>
        </row>
        <row r="1680">
          <cell r="C1680" t="str">
            <v xml:space="preserve">  </v>
          </cell>
          <cell r="D1680" t="str">
            <v xml:space="preserve">  </v>
          </cell>
          <cell r="F1680" t="str">
            <v xml:space="preserve">  </v>
          </cell>
          <cell r="G1680" t="str">
            <v xml:space="preserve">  </v>
          </cell>
          <cell r="I1680" t="str">
            <v xml:space="preserve">  </v>
          </cell>
          <cell r="J1680" t="str">
            <v xml:space="preserve">  </v>
          </cell>
          <cell r="L1680" t="str">
            <v xml:space="preserve">  </v>
          </cell>
          <cell r="M1680" t="str">
            <v xml:space="preserve">  </v>
          </cell>
          <cell r="O1680" t="str">
            <v xml:space="preserve">  </v>
          </cell>
          <cell r="P1680" t="str">
            <v xml:space="preserve"> </v>
          </cell>
          <cell r="R1680" t="str">
            <v xml:space="preserve"> </v>
          </cell>
          <cell r="S1680" t="str">
            <v xml:space="preserve">  </v>
          </cell>
          <cell r="U1680" t="str">
            <v xml:space="preserve">  </v>
          </cell>
          <cell r="V1680" t="str">
            <v>LADY OF COURAGE</v>
          </cell>
          <cell r="X1680" t="str">
            <v xml:space="preserve">  </v>
          </cell>
          <cell r="Y1680" t="str">
            <v xml:space="preserve"> </v>
          </cell>
          <cell r="AA1680" t="str">
            <v xml:space="preserve">  </v>
          </cell>
          <cell r="AB1680" t="str">
            <v>LADY ARMOR</v>
          </cell>
          <cell r="AD1680" t="str">
            <v xml:space="preserve">  </v>
          </cell>
          <cell r="AE1680" t="str">
            <v>ADOLFO SR</v>
          </cell>
          <cell r="AG1680" t="str">
            <v xml:space="preserve">  </v>
          </cell>
          <cell r="AH1680" t="str">
            <v xml:space="preserve">  </v>
          </cell>
        </row>
        <row r="1681">
          <cell r="P1681" t="str">
            <v xml:space="preserve"> </v>
          </cell>
          <cell r="U1681">
            <v>0.29166666666666669</v>
          </cell>
          <cell r="V1681" t="str">
            <v>KY TOOLBOX</v>
          </cell>
          <cell r="X1681" t="str">
            <v xml:space="preserve"> </v>
          </cell>
          <cell r="Y1681" t="str">
            <v xml:space="preserve"> </v>
          </cell>
          <cell r="AA1681">
            <v>0.29166666666666669</v>
          </cell>
          <cell r="AB1681" t="str">
            <v>NO BOOKING</v>
          </cell>
          <cell r="AD1681">
            <v>0.29166666666666669</v>
          </cell>
          <cell r="AE1681" t="str">
            <v>NO BOOKING</v>
          </cell>
        </row>
        <row r="1682">
          <cell r="U1682">
            <v>0.35416666666666669</v>
          </cell>
          <cell r="V1682" t="str">
            <v>LOADING S29 SLING BAGS</v>
          </cell>
          <cell r="AA1682">
            <v>0.79166666666666663</v>
          </cell>
          <cell r="AB1682" t="str">
            <v>WAITING MATERIAL</v>
          </cell>
          <cell r="AD1682">
            <v>0.79166666666666663</v>
          </cell>
          <cell r="AE1682" t="str">
            <v>KY TOOLBOX</v>
          </cell>
        </row>
        <row r="1683">
          <cell r="U1683">
            <v>0.40069444444444446</v>
          </cell>
          <cell r="V1683" t="str">
            <v>LOADING S29 SLING BAGS</v>
          </cell>
          <cell r="AA1683">
            <v>0.84027777777777779</v>
          </cell>
          <cell r="AB1683" t="str">
            <v>OPENING HATCH</v>
          </cell>
          <cell r="AD1683">
            <v>0.8125</v>
          </cell>
          <cell r="AE1683" t="str">
            <v>ONBOARD FORKLIFT</v>
          </cell>
        </row>
        <row r="1684">
          <cell r="U1684">
            <v>0.42430555555555555</v>
          </cell>
          <cell r="V1684" t="str">
            <v>LOAIDNG L37 SLING BAGS</v>
          </cell>
          <cell r="AA1684">
            <v>0.86597222222222225</v>
          </cell>
          <cell r="AB1684" t="str">
            <v>COMMENCE LOADING S47</v>
          </cell>
          <cell r="AD1684">
            <v>0.84027777777777779</v>
          </cell>
          <cell r="AE1684" t="str">
            <v>FL ONBOARD READY</v>
          </cell>
        </row>
        <row r="1685">
          <cell r="U1685">
            <v>0.4375</v>
          </cell>
          <cell r="V1685" t="str">
            <v xml:space="preserve">WAITING DELIVERY </v>
          </cell>
          <cell r="AA1685">
            <v>0.8881944444444444</v>
          </cell>
          <cell r="AB1685" t="str">
            <v>LOADING SLING L7</v>
          </cell>
          <cell r="AD1685">
            <v>0.85486111111111107</v>
          </cell>
          <cell r="AE1685" t="str">
            <v>COMMENCE LOOSEBAGS L37</v>
          </cell>
        </row>
        <row r="1686">
          <cell r="U1686">
            <v>0.47291666666666665</v>
          </cell>
          <cell r="V1686" t="str">
            <v>LOADING G4 SLING BAGS</v>
          </cell>
          <cell r="AA1686">
            <v>0.90555555555555556</v>
          </cell>
          <cell r="AB1686" t="str">
            <v>LOADING SLING S22</v>
          </cell>
          <cell r="AD1686">
            <v>0.90972222222222221</v>
          </cell>
          <cell r="AE1686" t="str">
            <v>LOADING LOOSEBAGS L51</v>
          </cell>
        </row>
        <row r="1687">
          <cell r="U1687">
            <v>0.5</v>
          </cell>
          <cell r="V1687" t="str">
            <v>LUNCH BREAK</v>
          </cell>
          <cell r="AA1687">
            <v>0.91666666666666663</v>
          </cell>
          <cell r="AB1687" t="str">
            <v>LOADING SLING S17</v>
          </cell>
          <cell r="AD1687">
            <v>0.92777777777777781</v>
          </cell>
          <cell r="AE1687" t="str">
            <v>LOADING LOOSEBAGS L51</v>
          </cell>
        </row>
        <row r="1688">
          <cell r="U1688">
            <v>0.55555555555555558</v>
          </cell>
          <cell r="V1688" t="str">
            <v>LOADING S19 SLING BAGS</v>
          </cell>
          <cell r="AA1688">
            <v>0.95833333333333337</v>
          </cell>
          <cell r="AB1688" t="str">
            <v>LOADING SLING S30</v>
          </cell>
          <cell r="AD1688">
            <v>0.96527777777777779</v>
          </cell>
          <cell r="AE1688" t="str">
            <v>LOADING LOOSEBAGS L47</v>
          </cell>
        </row>
        <row r="1689">
          <cell r="U1689">
            <v>0.59861111111111109</v>
          </cell>
          <cell r="V1689" t="str">
            <v>LOADING S32 SLING BAGS</v>
          </cell>
          <cell r="AA1689">
            <v>0.96944444444444444</v>
          </cell>
          <cell r="AB1689" t="str">
            <v>STOP LOADING / VESSEL CLOSE</v>
          </cell>
          <cell r="AD1689">
            <v>2.0833333333333332E-2</v>
          </cell>
          <cell r="AE1689" t="str">
            <v>STEVEDORES BREAK</v>
          </cell>
        </row>
        <row r="1690">
          <cell r="U1690">
            <v>0.63680555555555551</v>
          </cell>
          <cell r="V1690" t="str">
            <v>LOADING L51 SLING BAGS</v>
          </cell>
          <cell r="AD1690">
            <v>9.8611111111111108E-2</v>
          </cell>
          <cell r="AE1690" t="str">
            <v>LOADING LOOSEBAGS S48</v>
          </cell>
        </row>
        <row r="1691">
          <cell r="U1691">
            <v>0.69722222222222219</v>
          </cell>
          <cell r="V1691" t="str">
            <v>LOADING G2 SLING BAGS</v>
          </cell>
          <cell r="AD1691">
            <v>0.16319444444444445</v>
          </cell>
          <cell r="AE1691" t="str">
            <v>LOADING LOOSEBAGS S9</v>
          </cell>
        </row>
        <row r="1692">
          <cell r="U1692">
            <v>0.72916666666666663</v>
          </cell>
          <cell r="V1692" t="str">
            <v>LOADING SLING BAGS</v>
          </cell>
          <cell r="AD1692">
            <v>0.22569444444444445</v>
          </cell>
          <cell r="AE1692" t="str">
            <v>LOADING POUCH S29</v>
          </cell>
        </row>
        <row r="1693">
          <cell r="U1693">
            <v>0.79166666666666663</v>
          </cell>
          <cell r="V1693" t="str">
            <v>KY TOOLBOX</v>
          </cell>
          <cell r="AD1693">
            <v>0.25</v>
          </cell>
          <cell r="AE1693" t="str">
            <v>VESSEL BREAK</v>
          </cell>
        </row>
        <row r="1694">
          <cell r="U1694">
            <v>0.81736111111111109</v>
          </cell>
          <cell r="V1694" t="str">
            <v>LOADING SLING L39</v>
          </cell>
        </row>
        <row r="1695">
          <cell r="U1695">
            <v>0.84375</v>
          </cell>
          <cell r="V1695" t="str">
            <v>LOADING TONNER L48</v>
          </cell>
        </row>
        <row r="1696">
          <cell r="U1696">
            <v>0.85833333333333328</v>
          </cell>
          <cell r="V1696" t="str">
            <v>LOADING COMPLETE</v>
          </cell>
        </row>
        <row r="1697">
          <cell r="C1697" t="str">
            <v xml:space="preserve">  </v>
          </cell>
          <cell r="D1697" t="str">
            <v xml:space="preserve">  </v>
          </cell>
          <cell r="F1697" t="str">
            <v xml:space="preserve">  </v>
          </cell>
          <cell r="G1697" t="str">
            <v xml:space="preserve">  </v>
          </cell>
          <cell r="I1697" t="str">
            <v xml:space="preserve">  </v>
          </cell>
          <cell r="J1697" t="str">
            <v xml:space="preserve">  </v>
          </cell>
          <cell r="L1697" t="str">
            <v xml:space="preserve">  </v>
          </cell>
          <cell r="M1697" t="str">
            <v xml:space="preserve">  </v>
          </cell>
          <cell r="O1697" t="str">
            <v xml:space="preserve">  </v>
          </cell>
          <cell r="P1697" t="str">
            <v xml:space="preserve"> </v>
          </cell>
          <cell r="R1697" t="str">
            <v xml:space="preserve"> </v>
          </cell>
          <cell r="S1697" t="str">
            <v xml:space="preserve">  </v>
          </cell>
          <cell r="U1697" t="str">
            <v xml:space="preserve">  </v>
          </cell>
          <cell r="V1697" t="str">
            <v xml:space="preserve">   </v>
          </cell>
          <cell r="X1697" t="str">
            <v xml:space="preserve">  </v>
          </cell>
          <cell r="Y1697" t="str">
            <v xml:space="preserve"> </v>
          </cell>
          <cell r="AA1697" t="str">
            <v xml:space="preserve">  </v>
          </cell>
          <cell r="AB1697" t="str">
            <v>LADY ARMOR</v>
          </cell>
          <cell r="AD1697" t="str">
            <v xml:space="preserve">  </v>
          </cell>
          <cell r="AE1697" t="str">
            <v>ADOLFO SR</v>
          </cell>
          <cell r="AG1697" t="str">
            <v xml:space="preserve">  </v>
          </cell>
          <cell r="AH1697" t="str">
            <v xml:space="preserve">  </v>
          </cell>
        </row>
        <row r="1698">
          <cell r="AA1698">
            <v>0.30555555555555558</v>
          </cell>
          <cell r="AB1698" t="str">
            <v>KY TOOLBOX</v>
          </cell>
          <cell r="AD1698">
            <v>0.30555555555555558</v>
          </cell>
          <cell r="AE1698" t="str">
            <v>KY TOOLBOX</v>
          </cell>
        </row>
        <row r="1699">
          <cell r="AA1699">
            <v>0.31944444444444442</v>
          </cell>
          <cell r="AB1699" t="str">
            <v>ONBOARD FL</v>
          </cell>
          <cell r="AD1699">
            <v>0.31944444444444442</v>
          </cell>
          <cell r="AE1699" t="str">
            <v xml:space="preserve">LOADING  L48 SLING </v>
          </cell>
        </row>
        <row r="1700">
          <cell r="AA1700">
            <v>0.36388888888888887</v>
          </cell>
          <cell r="AB1700" t="str">
            <v>LOADING G5 SLING BAGS</v>
          </cell>
          <cell r="AD1700">
            <v>0.34722222222222221</v>
          </cell>
          <cell r="AE1700" t="str">
            <v>WAITING DELIVERY</v>
          </cell>
        </row>
        <row r="1701">
          <cell r="AA1701">
            <v>0.38541666666666669</v>
          </cell>
          <cell r="AB1701" t="str">
            <v>LOADING S41 SLING BAGS</v>
          </cell>
          <cell r="AD1701">
            <v>0.39583333333333331</v>
          </cell>
          <cell r="AE1701" t="str">
            <v>LOADING L39 SLING BAGS</v>
          </cell>
        </row>
        <row r="1702">
          <cell r="AA1702">
            <v>0.43958333333333333</v>
          </cell>
          <cell r="AB1702" t="str">
            <v>LOADING S44 SLING BAGS</v>
          </cell>
          <cell r="AD1702">
            <v>0.46875</v>
          </cell>
          <cell r="AE1702" t="str">
            <v>LOADING L47 SLING BAGS</v>
          </cell>
        </row>
        <row r="1703">
          <cell r="AA1703">
            <v>0.46736111111111112</v>
          </cell>
          <cell r="AB1703" t="str">
            <v>LOADING L5 SLING BAGS</v>
          </cell>
          <cell r="AD1703">
            <v>0.5</v>
          </cell>
          <cell r="AE1703" t="str">
            <v>LUNCH BREAK</v>
          </cell>
        </row>
        <row r="1704">
          <cell r="AA1704">
            <v>0.5</v>
          </cell>
          <cell r="AB1704" t="str">
            <v>LUNCH BREAK</v>
          </cell>
          <cell r="AD1704">
            <v>0.55625000000000002</v>
          </cell>
          <cell r="AE1704" t="str">
            <v>LOADING A1 SLING BAGS</v>
          </cell>
        </row>
        <row r="1705">
          <cell r="AA1705">
            <v>0.55555555555555558</v>
          </cell>
          <cell r="AB1705" t="str">
            <v>LOADING S60 SLING BAGS</v>
          </cell>
          <cell r="AD1705">
            <v>0.61736111111111114</v>
          </cell>
          <cell r="AE1705" t="str">
            <v xml:space="preserve">LOADING  L48 SLING </v>
          </cell>
        </row>
        <row r="1706">
          <cell r="AA1706">
            <v>0.61458333333333337</v>
          </cell>
          <cell r="AB1706" t="str">
            <v>LOADING L7 TONNER BAGS</v>
          </cell>
          <cell r="AD1706">
            <v>0.63194444444444442</v>
          </cell>
          <cell r="AE1706" t="str">
            <v>CLOSE / RAIN</v>
          </cell>
        </row>
        <row r="1707">
          <cell r="AA1707">
            <v>0.63194444444444442</v>
          </cell>
          <cell r="AB1707" t="str">
            <v>CLOSE / RAIN</v>
          </cell>
          <cell r="AD1707">
            <v>0.71944444444444444</v>
          </cell>
          <cell r="AE1707" t="str">
            <v>LOADING F1 SLING BAGS</v>
          </cell>
        </row>
        <row r="1708">
          <cell r="AA1708">
            <v>0.73750000000000004</v>
          </cell>
          <cell r="AB1708" t="str">
            <v>COMPLETE LOADING</v>
          </cell>
          <cell r="AD1708">
            <v>0.79166666666666663</v>
          </cell>
          <cell r="AE1708" t="str">
            <v>VESSEL CLOSE HATCH</v>
          </cell>
        </row>
        <row r="1709">
          <cell r="AD1709">
            <v>0.8125</v>
          </cell>
          <cell r="AE1709" t="str">
            <v>OPENING HATCH</v>
          </cell>
        </row>
        <row r="1710">
          <cell r="AD1710">
            <v>0.82291666666666663</v>
          </cell>
          <cell r="AE1710" t="str">
            <v>LOADING POUCH S51</v>
          </cell>
        </row>
        <row r="1711">
          <cell r="AD1711">
            <v>0.83680555555555558</v>
          </cell>
          <cell r="AE1711" t="str">
            <v>LOADING POUCH S36</v>
          </cell>
        </row>
        <row r="1712">
          <cell r="AD1712">
            <v>0.85416666666666663</v>
          </cell>
          <cell r="AE1712" t="str">
            <v>LOADING SLING S28</v>
          </cell>
        </row>
        <row r="1713">
          <cell r="AD1713">
            <v>0.86805555555555558</v>
          </cell>
          <cell r="AE1713" t="str">
            <v>LOADING SLING L5</v>
          </cell>
        </row>
        <row r="1714">
          <cell r="AD1714">
            <v>0.89236111111111116</v>
          </cell>
          <cell r="AE1714" t="str">
            <v>LOADING LOOSEBAGS L48</v>
          </cell>
        </row>
        <row r="1715">
          <cell r="AD1715">
            <v>0.90416666666666667</v>
          </cell>
          <cell r="AE1715" t="str">
            <v>LOADING LOOSEBAGS GEO 5</v>
          </cell>
        </row>
        <row r="1716">
          <cell r="AD1716">
            <v>0.93402777777777779</v>
          </cell>
          <cell r="AE1716" t="str">
            <v>LOADING LOOSEBAGS L52</v>
          </cell>
        </row>
        <row r="1717">
          <cell r="AD1717">
            <v>7.6388888888888886E-3</v>
          </cell>
          <cell r="AE1717" t="str">
            <v>LOADING LOOSEBAGS S8</v>
          </cell>
        </row>
        <row r="1718">
          <cell r="AD1718">
            <v>6.3888888888888884E-2</v>
          </cell>
          <cell r="AE1718" t="str">
            <v>LOADING SLING S61</v>
          </cell>
        </row>
        <row r="1719">
          <cell r="AD1719">
            <v>9.4444444444444442E-2</v>
          </cell>
          <cell r="AE1719" t="str">
            <v>LOADING SLING S55</v>
          </cell>
        </row>
        <row r="1720">
          <cell r="AD1720">
            <v>0.11805555555555555</v>
          </cell>
          <cell r="AE1720" t="str">
            <v>LOADING SLING S29</v>
          </cell>
        </row>
        <row r="1721">
          <cell r="AD1721">
            <v>0.1423611111111111</v>
          </cell>
          <cell r="AE1721" t="str">
            <v>LOADING SLING S17</v>
          </cell>
        </row>
        <row r="1722">
          <cell r="AD1722">
            <v>0.17986111111111111</v>
          </cell>
          <cell r="AE1722" t="str">
            <v>LOADING TONNER S6</v>
          </cell>
        </row>
        <row r="1723">
          <cell r="AD1723">
            <v>0.20833333333333334</v>
          </cell>
          <cell r="AE1723" t="str">
            <v>LOADING TONNER S32</v>
          </cell>
        </row>
        <row r="1724">
          <cell r="AD1724">
            <v>0.23680555555555555</v>
          </cell>
          <cell r="AE1724" t="str">
            <v>LOADING TONNER S3</v>
          </cell>
        </row>
        <row r="1725">
          <cell r="C1725" t="str">
            <v xml:space="preserve">  </v>
          </cell>
          <cell r="D1725" t="str">
            <v xml:space="preserve">  </v>
          </cell>
          <cell r="F1725" t="str">
            <v xml:space="preserve">  </v>
          </cell>
          <cell r="G1725" t="str">
            <v xml:space="preserve">  </v>
          </cell>
          <cell r="I1725" t="str">
            <v xml:space="preserve">  </v>
          </cell>
          <cell r="J1725" t="str">
            <v xml:space="preserve">  </v>
          </cell>
          <cell r="L1725" t="str">
            <v xml:space="preserve">  </v>
          </cell>
          <cell r="M1725" t="str">
            <v xml:space="preserve">  </v>
          </cell>
          <cell r="O1725" t="str">
            <v xml:space="preserve">  </v>
          </cell>
          <cell r="P1725" t="str">
            <v>QUEEN CAROLYN</v>
          </cell>
          <cell r="R1725" t="str">
            <v xml:space="preserve"> </v>
          </cell>
          <cell r="S1725" t="str">
            <v xml:space="preserve">  </v>
          </cell>
          <cell r="U1725" t="str">
            <v xml:space="preserve">  </v>
          </cell>
          <cell r="V1725" t="str">
            <v xml:space="preserve">   </v>
          </cell>
          <cell r="X1725" t="str">
            <v xml:space="preserve">  </v>
          </cell>
          <cell r="Y1725" t="str">
            <v xml:space="preserve"> </v>
          </cell>
          <cell r="AA1725" t="str">
            <v xml:space="preserve">  </v>
          </cell>
          <cell r="AB1725" t="str">
            <v>CHRISTIAN EDWARD</v>
          </cell>
          <cell r="AD1725" t="str">
            <v xml:space="preserve">  </v>
          </cell>
          <cell r="AE1725" t="str">
            <v>ADOLFO SR</v>
          </cell>
          <cell r="AG1725" t="str">
            <v xml:space="preserve">  </v>
          </cell>
          <cell r="AH1725" t="str">
            <v xml:space="preserve">  </v>
          </cell>
        </row>
        <row r="1726">
          <cell r="O1726">
            <v>0.5625</v>
          </cell>
          <cell r="P1726" t="str">
            <v>DOCK SECURED</v>
          </cell>
          <cell r="AA1726">
            <v>0.39444444444444443</v>
          </cell>
          <cell r="AB1726" t="str">
            <v>DOCK SECURED</v>
          </cell>
          <cell r="AD1726">
            <v>0.30555555555555558</v>
          </cell>
          <cell r="AE1726" t="str">
            <v>KY TOOLBOX</v>
          </cell>
        </row>
        <row r="1727">
          <cell r="O1727">
            <v>0.58333333333333337</v>
          </cell>
          <cell r="P1727" t="str">
            <v>WAITING MATERIAL</v>
          </cell>
          <cell r="AA1727">
            <v>0.40138888888888891</v>
          </cell>
          <cell r="AB1727" t="str">
            <v>NO BOOKING</v>
          </cell>
          <cell r="AD1727">
            <v>0.34375</v>
          </cell>
          <cell r="AE1727" t="str">
            <v>LOADING S47 TONNER BAGS</v>
          </cell>
        </row>
        <row r="1728">
          <cell r="O1728">
            <v>0.625</v>
          </cell>
          <cell r="P1728" t="str">
            <v>WAITING MATERIAL</v>
          </cell>
          <cell r="AA1728">
            <v>0.42222222222222222</v>
          </cell>
          <cell r="AB1728" t="str">
            <v>NO BOOKING</v>
          </cell>
          <cell r="AD1728">
            <v>0.35694444444444445</v>
          </cell>
          <cell r="AE1728" t="str">
            <v>WAITING LAPU LAPU</v>
          </cell>
        </row>
        <row r="1729">
          <cell r="O1729">
            <v>0.79166666666666663</v>
          </cell>
          <cell r="P1729" t="str">
            <v>KY TOOLBOX</v>
          </cell>
          <cell r="AA1729">
            <v>0.45833333333333331</v>
          </cell>
          <cell r="AB1729" t="str">
            <v>WAITING MATERIAL</v>
          </cell>
          <cell r="AD1729">
            <v>0.38541666666666669</v>
          </cell>
          <cell r="AE1729" t="str">
            <v>COMPLETE LOADING</v>
          </cell>
        </row>
        <row r="1730">
          <cell r="O1730">
            <v>0.8125</v>
          </cell>
          <cell r="P1730" t="str">
            <v>PRE LOADING PREPARATION</v>
          </cell>
          <cell r="AA1730">
            <v>0.5</v>
          </cell>
          <cell r="AB1730" t="str">
            <v>LUNCH BREAK</v>
          </cell>
        </row>
        <row r="1731">
          <cell r="O1731">
            <v>0.85902777777777772</v>
          </cell>
          <cell r="P1731" t="str">
            <v>LOADING POUCH L48</v>
          </cell>
          <cell r="AA1731">
            <v>0.55555555555555558</v>
          </cell>
          <cell r="AB1731" t="str">
            <v>LOADING S44 TONNER BAGS</v>
          </cell>
        </row>
        <row r="1732">
          <cell r="O1732">
            <v>0.875</v>
          </cell>
          <cell r="P1732" t="str">
            <v>LOADING POUCH S57</v>
          </cell>
          <cell r="AA1732">
            <v>0.61041666666666672</v>
          </cell>
          <cell r="AB1732" t="str">
            <v>LOADING S22 TONNER BAGS</v>
          </cell>
        </row>
        <row r="1733">
          <cell r="O1733">
            <v>0.89444444444444449</v>
          </cell>
          <cell r="P1733" t="str">
            <v>LOADING POUCH S22</v>
          </cell>
          <cell r="AA1733">
            <v>0.66319444444444442</v>
          </cell>
          <cell r="AB1733" t="str">
            <v>LOADING S44 TONNER BAGS</v>
          </cell>
        </row>
        <row r="1734">
          <cell r="O1734">
            <v>0.90972222222222221</v>
          </cell>
          <cell r="P1734" t="str">
            <v>LOADING POUCH S37</v>
          </cell>
          <cell r="AA1734">
            <v>0.71666666666666667</v>
          </cell>
          <cell r="AB1734" t="str">
            <v>LOADING S38 TONNER BAGS</v>
          </cell>
        </row>
        <row r="1735">
          <cell r="O1735">
            <v>0.93402777777777779</v>
          </cell>
          <cell r="P1735" t="str">
            <v>LOADING POUCH S56</v>
          </cell>
          <cell r="AA1735">
            <v>0.79166666666666663</v>
          </cell>
          <cell r="AB1735" t="str">
            <v>KY TOOLBOX</v>
          </cell>
        </row>
        <row r="1736">
          <cell r="O1736">
            <v>0.95833333333333337</v>
          </cell>
          <cell r="P1736" t="str">
            <v>LOADING POUCH S60</v>
          </cell>
          <cell r="AA1736">
            <v>0.8125</v>
          </cell>
          <cell r="AB1736" t="str">
            <v>PRE LOADING PREPARATION</v>
          </cell>
        </row>
        <row r="1737">
          <cell r="O1737">
            <v>0.97291666666666665</v>
          </cell>
          <cell r="P1737" t="str">
            <v>LOADING POUCH S51</v>
          </cell>
          <cell r="AA1737">
            <v>0.82638888888888884</v>
          </cell>
          <cell r="AB1737" t="str">
            <v>LOADING TONNER L37</v>
          </cell>
        </row>
        <row r="1738">
          <cell r="O1738">
            <v>7.7083333333333337E-2</v>
          </cell>
          <cell r="P1738" t="str">
            <v>LOADING POUCH L51</v>
          </cell>
          <cell r="AA1738">
            <v>0.84375</v>
          </cell>
          <cell r="AB1738" t="str">
            <v>LOADING TONNER S2</v>
          </cell>
        </row>
        <row r="1739">
          <cell r="O1739">
            <v>9.3055555555555558E-2</v>
          </cell>
          <cell r="P1739" t="str">
            <v>LOADING POUCH S38</v>
          </cell>
          <cell r="AA1739">
            <v>0.85763888888888884</v>
          </cell>
          <cell r="AB1739" t="str">
            <v>LOADING TONNER L5</v>
          </cell>
        </row>
        <row r="1740">
          <cell r="O1740">
            <v>0.10833333333333334</v>
          </cell>
          <cell r="P1740" t="str">
            <v>LOADING POUCH L17</v>
          </cell>
          <cell r="AA1740">
            <v>0.87708333333333333</v>
          </cell>
          <cell r="AB1740" t="str">
            <v>LOADING TONNER S47</v>
          </cell>
        </row>
        <row r="1741">
          <cell r="O1741">
            <v>0.12361111111111112</v>
          </cell>
          <cell r="P1741" t="str">
            <v>LOADING POUCH S50</v>
          </cell>
          <cell r="AA1741">
            <v>0.88888888888888884</v>
          </cell>
          <cell r="AB1741" t="str">
            <v>ONBOARD FORKLIFT</v>
          </cell>
        </row>
        <row r="1742">
          <cell r="O1742">
            <v>0.15277777777777779</v>
          </cell>
          <cell r="P1742" t="str">
            <v>LOADING POUCH S49</v>
          </cell>
          <cell r="AA1742">
            <v>0.92500000000000004</v>
          </cell>
          <cell r="AB1742" t="str">
            <v>LOADING TONNER S30</v>
          </cell>
        </row>
        <row r="1743">
          <cell r="O1743">
            <v>0.16597222222222222</v>
          </cell>
          <cell r="P1743" t="str">
            <v>LOADING POUCH S2</v>
          </cell>
          <cell r="AA1743">
            <v>0.94791666666666663</v>
          </cell>
          <cell r="AB1743" t="str">
            <v>LOADING TONNER GEO 2</v>
          </cell>
        </row>
        <row r="1744">
          <cell r="O1744">
            <v>0.18819444444444444</v>
          </cell>
          <cell r="P1744" t="str">
            <v>LOADING POUCH S36</v>
          </cell>
          <cell r="AA1744">
            <v>0.98333333333333328</v>
          </cell>
          <cell r="AB1744" t="str">
            <v>LOADING TONNER S32</v>
          </cell>
        </row>
        <row r="1745">
          <cell r="O1745">
            <v>0.2</v>
          </cell>
          <cell r="P1745" t="str">
            <v>LOADING POUCH S6</v>
          </cell>
          <cell r="AA1745">
            <v>6.9444444444444447E-4</v>
          </cell>
          <cell r="AB1745" t="str">
            <v>LOADING TONNER S3</v>
          </cell>
        </row>
        <row r="1746">
          <cell r="AA1746">
            <v>2.9166666666666667E-2</v>
          </cell>
          <cell r="AB1746" t="str">
            <v>LOADING TONNER L47</v>
          </cell>
        </row>
        <row r="1747">
          <cell r="AA1747">
            <v>4.5138888888888888E-2</v>
          </cell>
          <cell r="AB1747" t="str">
            <v>LOADING TONNER GEO 1</v>
          </cell>
        </row>
        <row r="1748">
          <cell r="AA1748">
            <v>6.3888888888888884E-2</v>
          </cell>
          <cell r="AB1748" t="str">
            <v>LOADING TONNER GEO 3</v>
          </cell>
        </row>
        <row r="1749">
          <cell r="AA1749">
            <v>8.0555555555555561E-2</v>
          </cell>
          <cell r="AB1749" t="str">
            <v>LOADING TONNER S19</v>
          </cell>
        </row>
        <row r="1750">
          <cell r="AA1750">
            <v>9.0277777777777776E-2</v>
          </cell>
          <cell r="AB1750" t="str">
            <v>LOADING COMPLETE</v>
          </cell>
        </row>
        <row r="1751">
          <cell r="C1751" t="str">
            <v xml:space="preserve">  </v>
          </cell>
          <cell r="D1751" t="str">
            <v xml:space="preserve">  </v>
          </cell>
          <cell r="F1751" t="str">
            <v xml:space="preserve">  </v>
          </cell>
          <cell r="G1751" t="str">
            <v xml:space="preserve">  </v>
          </cell>
          <cell r="I1751" t="str">
            <v xml:space="preserve">  </v>
          </cell>
          <cell r="J1751" t="str">
            <v xml:space="preserve">  </v>
          </cell>
          <cell r="L1751" t="str">
            <v xml:space="preserve">  </v>
          </cell>
          <cell r="M1751" t="str">
            <v xml:space="preserve">  </v>
          </cell>
          <cell r="O1751" t="str">
            <v xml:space="preserve">  </v>
          </cell>
          <cell r="P1751" t="str">
            <v>QUEEN CAROLYN</v>
          </cell>
          <cell r="R1751" t="str">
            <v xml:space="preserve"> </v>
          </cell>
          <cell r="S1751" t="str">
            <v xml:space="preserve">  </v>
          </cell>
          <cell r="U1751" t="str">
            <v xml:space="preserve">  </v>
          </cell>
          <cell r="V1751" t="str">
            <v xml:space="preserve">   </v>
          </cell>
          <cell r="X1751" t="str">
            <v xml:space="preserve">  </v>
          </cell>
          <cell r="Y1751" t="str">
            <v xml:space="preserve"> </v>
          </cell>
          <cell r="AA1751" t="str">
            <v xml:space="preserve">  </v>
          </cell>
          <cell r="AB1751" t="str">
            <v>STAR ILIGAN</v>
          </cell>
          <cell r="AD1751" t="str">
            <v xml:space="preserve">  </v>
          </cell>
          <cell r="AE1751" t="str">
            <v>STAR FREEDOM</v>
          </cell>
          <cell r="AG1751" t="str">
            <v xml:space="preserve">  </v>
          </cell>
          <cell r="AH1751" t="str">
            <v xml:space="preserve">  </v>
          </cell>
        </row>
        <row r="1752">
          <cell r="O1752">
            <v>0.30555555555555558</v>
          </cell>
          <cell r="P1752" t="str">
            <v>KY TOOLBOX</v>
          </cell>
          <cell r="AA1752">
            <v>0.79166666666666663</v>
          </cell>
          <cell r="AB1752" t="str">
            <v>VESSEL CLOSE / RAIN</v>
          </cell>
          <cell r="AD1752">
            <v>0.3125</v>
          </cell>
          <cell r="AE1752" t="str">
            <v>DOCK SECURED</v>
          </cell>
        </row>
        <row r="1753">
          <cell r="O1753">
            <v>0.31944444444444442</v>
          </cell>
          <cell r="P1753" t="str">
            <v>LOADING S37 SLING BAGS</v>
          </cell>
          <cell r="AD1753">
            <v>0.33333333333333331</v>
          </cell>
          <cell r="AE1753" t="str">
            <v>WAITING DELIVERY</v>
          </cell>
        </row>
        <row r="1754">
          <cell r="O1754">
            <v>0.38194444444444442</v>
          </cell>
          <cell r="P1754" t="str">
            <v>LOADING  S22 SLING BAGS</v>
          </cell>
          <cell r="AD1754">
            <v>0.375</v>
          </cell>
          <cell r="AE1754" t="str">
            <v>WAITING DELIVERY</v>
          </cell>
        </row>
        <row r="1755">
          <cell r="O1755">
            <v>0.4236111111111111</v>
          </cell>
          <cell r="P1755" t="str">
            <v>LOADING L17 SLING BAGS</v>
          </cell>
          <cell r="AD1755">
            <v>0.43888888888888888</v>
          </cell>
          <cell r="AE1755" t="str">
            <v>WAITING DELIVERY</v>
          </cell>
        </row>
        <row r="1756">
          <cell r="O1756">
            <v>0.5</v>
          </cell>
          <cell r="P1756" t="str">
            <v>LUNCH BREAK</v>
          </cell>
          <cell r="AD1756">
            <v>0.4826388888888889</v>
          </cell>
          <cell r="AE1756" t="str">
            <v>LOADING G3 SLING BAGS</v>
          </cell>
        </row>
        <row r="1757">
          <cell r="O1757">
            <v>0.55208333333333337</v>
          </cell>
          <cell r="P1757" t="str">
            <v>LOADING G4 SLING BAGS</v>
          </cell>
          <cell r="AD1757">
            <v>0.5</v>
          </cell>
          <cell r="AE1757" t="str">
            <v>LUNCH BREAK</v>
          </cell>
        </row>
        <row r="1758">
          <cell r="O1758">
            <v>0.59652777777777777</v>
          </cell>
          <cell r="P1758" t="str">
            <v>LOADING S19 SLING BAGS</v>
          </cell>
          <cell r="AD1758">
            <v>0.57013888888888886</v>
          </cell>
          <cell r="AE1758" t="str">
            <v>LOADING B5 SLING BAGS</v>
          </cell>
        </row>
        <row r="1759">
          <cell r="O1759">
            <v>0.6333333333333333</v>
          </cell>
          <cell r="P1759" t="str">
            <v>LOADING S28 SLING BAGS</v>
          </cell>
          <cell r="AD1759">
            <v>0.59861111111111109</v>
          </cell>
          <cell r="AE1759" t="str">
            <v>LOADING A1 SLING BAGS</v>
          </cell>
        </row>
        <row r="1760">
          <cell r="O1760">
            <v>0.68194444444444446</v>
          </cell>
          <cell r="P1760" t="str">
            <v>LOADING S59 SLING BAGS</v>
          </cell>
          <cell r="AD1760">
            <v>0.625</v>
          </cell>
          <cell r="AE1760" t="str">
            <v>LOADING F1 SLING BAGS</v>
          </cell>
        </row>
        <row r="1761">
          <cell r="O1761">
            <v>0.72013888888888888</v>
          </cell>
          <cell r="P1761" t="str">
            <v>LOADING S51 SLING BAGS</v>
          </cell>
          <cell r="AD1761">
            <v>0.66666666666666663</v>
          </cell>
          <cell r="AE1761" t="str">
            <v>WAITING DELIVERY</v>
          </cell>
        </row>
        <row r="1762">
          <cell r="O1762">
            <v>0.79166666666666663</v>
          </cell>
          <cell r="P1762" t="str">
            <v>VESSEL CLOSE / RAIN</v>
          </cell>
          <cell r="AD1762">
            <v>0.70833333333333337</v>
          </cell>
          <cell r="AE1762" t="str">
            <v>WAITING DELIVERY</v>
          </cell>
        </row>
        <row r="1763">
          <cell r="O1763">
            <v>0.89583333333333337</v>
          </cell>
          <cell r="P1763" t="str">
            <v>OPENIG HATCH</v>
          </cell>
          <cell r="AD1763">
            <v>0.79166666666666663</v>
          </cell>
          <cell r="AE1763" t="str">
            <v>VESSEL CLOSE / RAIN</v>
          </cell>
        </row>
        <row r="1764">
          <cell r="O1764">
            <v>0.91041666666666665</v>
          </cell>
          <cell r="P1764" t="str">
            <v>LOADING SLING S21</v>
          </cell>
        </row>
        <row r="1765">
          <cell r="O1765">
            <v>0.92708333333333337</v>
          </cell>
          <cell r="P1765" t="str">
            <v>LOADING SLING GEO 3</v>
          </cell>
        </row>
        <row r="1766">
          <cell r="O1766">
            <v>0.94444444444444442</v>
          </cell>
          <cell r="P1766" t="str">
            <v>CLOSE HATCH / RAIN</v>
          </cell>
        </row>
        <row r="1767">
          <cell r="C1767" t="str">
            <v xml:space="preserve">  </v>
          </cell>
          <cell r="D1767" t="str">
            <v xml:space="preserve">  </v>
          </cell>
          <cell r="F1767" t="str">
            <v xml:space="preserve">  </v>
          </cell>
          <cell r="G1767" t="str">
            <v xml:space="preserve">  </v>
          </cell>
          <cell r="I1767" t="str">
            <v xml:space="preserve">  </v>
          </cell>
          <cell r="J1767" t="str">
            <v xml:space="preserve">  </v>
          </cell>
          <cell r="L1767" t="str">
            <v xml:space="preserve">  </v>
          </cell>
          <cell r="M1767" t="str">
            <v xml:space="preserve">  </v>
          </cell>
          <cell r="O1767" t="str">
            <v xml:space="preserve">  </v>
          </cell>
          <cell r="P1767" t="str">
            <v>QUEEN CAROLYN</v>
          </cell>
          <cell r="R1767" t="str">
            <v xml:space="preserve"> </v>
          </cell>
          <cell r="S1767" t="str">
            <v>STAR DINAGAT</v>
          </cell>
          <cell r="U1767" t="str">
            <v xml:space="preserve">  </v>
          </cell>
          <cell r="V1767" t="str">
            <v>STAR SOGOD</v>
          </cell>
          <cell r="X1767" t="str">
            <v xml:space="preserve">  </v>
          </cell>
          <cell r="Y1767" t="str">
            <v xml:space="preserve"> </v>
          </cell>
          <cell r="AA1767" t="str">
            <v xml:space="preserve">  </v>
          </cell>
          <cell r="AB1767" t="str">
            <v>STAR ILIGAN</v>
          </cell>
          <cell r="AD1767" t="str">
            <v xml:space="preserve">  </v>
          </cell>
          <cell r="AE1767" t="str">
            <v>STAR FREEDOM</v>
          </cell>
          <cell r="AG1767" t="str">
            <v xml:space="preserve">  </v>
          </cell>
          <cell r="AH1767" t="str">
            <v xml:space="preserve">  </v>
          </cell>
        </row>
        <row r="1768">
          <cell r="O1768">
            <v>0.30555555555555558</v>
          </cell>
          <cell r="P1768" t="str">
            <v>KY TOOLBOX</v>
          </cell>
          <cell r="R1768">
            <v>0.29166666666666669</v>
          </cell>
          <cell r="S1768" t="str">
            <v>WAITING DELIVERY</v>
          </cell>
          <cell r="U1768">
            <v>0.29166666666666669</v>
          </cell>
          <cell r="V1768" t="str">
            <v xml:space="preserve">WAITING DELIVERY </v>
          </cell>
          <cell r="AA1768">
            <v>0.30555555555555558</v>
          </cell>
          <cell r="AB1768" t="str">
            <v>KY TOOLBOX</v>
          </cell>
          <cell r="AD1768">
            <v>0.30555555555555558</v>
          </cell>
          <cell r="AE1768" t="str">
            <v>KY TOOLBOX</v>
          </cell>
        </row>
        <row r="1769">
          <cell r="O1769">
            <v>0.33333333333333331</v>
          </cell>
          <cell r="P1769" t="str">
            <v>LOADING S60 SLING BAGS</v>
          </cell>
          <cell r="R1769">
            <v>0.33333333333333331</v>
          </cell>
          <cell r="S1769" t="str">
            <v>WAITING DELIVERY</v>
          </cell>
          <cell r="U1769">
            <v>0.33333333333333331</v>
          </cell>
          <cell r="V1769" t="str">
            <v xml:space="preserve">WAITING DELIVERY </v>
          </cell>
          <cell r="AA1769">
            <v>0.34027777777777779</v>
          </cell>
          <cell r="AB1769" t="str">
            <v>LOADING G1 SLING BAGS</v>
          </cell>
          <cell r="AD1769">
            <v>0.33333333333333331</v>
          </cell>
          <cell r="AE1769" t="str">
            <v>LOADING S36 SLING BAGS</v>
          </cell>
        </row>
        <row r="1770">
          <cell r="O1770">
            <v>0.40972222222222221</v>
          </cell>
          <cell r="P1770" t="str">
            <v>LOADING G4 SLING BAGS</v>
          </cell>
          <cell r="R1770">
            <v>0.40277777777777779</v>
          </cell>
          <cell r="S1770" t="str">
            <v>LOADING F1 SLING BAGS</v>
          </cell>
          <cell r="U1770">
            <v>0.375</v>
          </cell>
          <cell r="V1770" t="str">
            <v xml:space="preserve">WAITING FL ONBOARD </v>
          </cell>
          <cell r="AA1770">
            <v>0.37847222222222221</v>
          </cell>
          <cell r="AB1770" t="str">
            <v>LOADING S47 SLING BAGS</v>
          </cell>
          <cell r="AD1770">
            <v>0.40416666666666667</v>
          </cell>
          <cell r="AE1770" t="str">
            <v>LOADING L7 SLING BAGS</v>
          </cell>
        </row>
        <row r="1771">
          <cell r="O1771">
            <v>0.43194444444444446</v>
          </cell>
          <cell r="P1771" t="str">
            <v>LOADING B5 SLING BAGS</v>
          </cell>
          <cell r="R1771">
            <v>0.44097222222222221</v>
          </cell>
          <cell r="S1771" t="str">
            <v>LOADING S\7  SLING ABGS</v>
          </cell>
          <cell r="U1771">
            <v>0.41666666666666669</v>
          </cell>
          <cell r="V1771" t="str">
            <v>WAITIN G FL ONBOARD</v>
          </cell>
          <cell r="AA1771">
            <v>0.44444444444444442</v>
          </cell>
          <cell r="AB1771" t="str">
            <v>LOADING S59 SLING BAGS</v>
          </cell>
          <cell r="AD1771">
            <v>0.43472222222222223</v>
          </cell>
          <cell r="AE1771" t="str">
            <v>LOADING S44 SLING BAGS</v>
          </cell>
        </row>
        <row r="1772">
          <cell r="O1772">
            <v>0.46180555555555558</v>
          </cell>
          <cell r="P1772" t="str">
            <v>LOADING S3 SLIGN BAGS</v>
          </cell>
          <cell r="R1772">
            <v>0.46527777777777779</v>
          </cell>
          <cell r="S1772" t="str">
            <v>LOADING F1 SLING BAGS</v>
          </cell>
          <cell r="U1772">
            <v>0.45833333333333331</v>
          </cell>
          <cell r="V1772" t="str">
            <v>WAITIN G FL ONBOARD</v>
          </cell>
          <cell r="AA1772">
            <v>0.47569444444444442</v>
          </cell>
          <cell r="AB1772" t="str">
            <v>LOADING G1 SLING BAGS</v>
          </cell>
          <cell r="AD1772">
            <v>0.46527777777777779</v>
          </cell>
          <cell r="AE1772" t="str">
            <v>LOADING L7 SLING BAGS</v>
          </cell>
        </row>
        <row r="1773">
          <cell r="O1773">
            <v>0.5</v>
          </cell>
          <cell r="P1773" t="str">
            <v>LUNCH BREAK</v>
          </cell>
          <cell r="R1773">
            <v>0.5</v>
          </cell>
          <cell r="S1773" t="str">
            <v>LUNCH BREAK</v>
          </cell>
          <cell r="U1773">
            <v>0.5</v>
          </cell>
          <cell r="V1773" t="str">
            <v>LUNCH BREAK</v>
          </cell>
          <cell r="AA1773">
            <v>0.5</v>
          </cell>
          <cell r="AB1773" t="str">
            <v>LUNCH BREAK</v>
          </cell>
          <cell r="AD1773">
            <v>0.5</v>
          </cell>
          <cell r="AE1773" t="str">
            <v>LUNCH BREAK</v>
          </cell>
        </row>
        <row r="1774">
          <cell r="O1774">
            <v>0.5625</v>
          </cell>
          <cell r="P1774" t="str">
            <v>LOADING S60 SLING BAGS</v>
          </cell>
          <cell r="R1774">
            <v>0.56874999999999998</v>
          </cell>
          <cell r="S1774" t="str">
            <v>LOADING S30 SLING BAGS</v>
          </cell>
          <cell r="U1774">
            <v>0.5625</v>
          </cell>
          <cell r="V1774" t="str">
            <v>WAITIN G FL ONBOARD</v>
          </cell>
          <cell r="AA1774">
            <v>0.56458333333333333</v>
          </cell>
          <cell r="AB1774" t="str">
            <v>STOP LOADING  / SWELL</v>
          </cell>
          <cell r="AD1774">
            <v>0.56597222222222221</v>
          </cell>
          <cell r="AE1774" t="str">
            <v>WAIITING DELIVERY</v>
          </cell>
        </row>
        <row r="1775">
          <cell r="O1775">
            <v>0.59861111111111109</v>
          </cell>
          <cell r="P1775" t="str">
            <v>LOADING F2 SLING BAGS</v>
          </cell>
          <cell r="R1775">
            <v>0.59305555555555556</v>
          </cell>
          <cell r="S1775" t="str">
            <v>LOADING A17 SLING BAGS</v>
          </cell>
          <cell r="U1775">
            <v>0.59722222222222221</v>
          </cell>
          <cell r="V1775" t="str">
            <v>WAITIN G FL ONBOARD</v>
          </cell>
          <cell r="AA1775">
            <v>0.59861111111111109</v>
          </cell>
          <cell r="AB1775" t="str">
            <v>STOP LOADING / SWELL</v>
          </cell>
          <cell r="AD1775">
            <v>0.59861111111111109</v>
          </cell>
          <cell r="AE1775" t="str">
            <v>WAITING DELIVERY</v>
          </cell>
        </row>
        <row r="1776">
          <cell r="O1776">
            <v>0.65138888888888891</v>
          </cell>
          <cell r="P1776" t="str">
            <v>LOADING S50 SLING BAGS</v>
          </cell>
          <cell r="R1776">
            <v>0.64027777777777772</v>
          </cell>
          <cell r="S1776" t="str">
            <v>LOADING S2 SLING BAGS</v>
          </cell>
          <cell r="U1776" t="str">
            <v>15;23</v>
          </cell>
          <cell r="V1776" t="str">
            <v>WAITIN G FL ONBOARD</v>
          </cell>
          <cell r="AA1776">
            <v>0.63541666666666663</v>
          </cell>
          <cell r="AB1776" t="str">
            <v>STOP LOADING / SWELL</v>
          </cell>
          <cell r="AD1776">
            <v>0.66527777777777775</v>
          </cell>
          <cell r="AE1776" t="str">
            <v>LOADING L37 SLING BAGS</v>
          </cell>
        </row>
        <row r="1777">
          <cell r="O1777">
            <v>0.67361111111111116</v>
          </cell>
          <cell r="P1777" t="str">
            <v>LOADING S29 SLING BAGS</v>
          </cell>
          <cell r="R1777">
            <v>0.69236111111111109</v>
          </cell>
          <cell r="S1777" t="str">
            <v>LOADING L47 SLING BAGS</v>
          </cell>
          <cell r="U1777">
            <v>0.68055555555555558</v>
          </cell>
          <cell r="V1777" t="str">
            <v>WAITIN G FL ONBOARD</v>
          </cell>
          <cell r="AA1777">
            <v>0.68194444444444446</v>
          </cell>
          <cell r="AB1777" t="str">
            <v>STOP LOADING / SWELL</v>
          </cell>
          <cell r="AD1777">
            <v>0.67986111111111114</v>
          </cell>
          <cell r="AE1777" t="str">
            <v>WAITING DELIVERY</v>
          </cell>
        </row>
        <row r="1778">
          <cell r="O1778">
            <v>0.6958333333333333</v>
          </cell>
          <cell r="P1778" t="str">
            <v>COMPLETE LOADING</v>
          </cell>
          <cell r="R1778">
            <v>0.72847222222222219</v>
          </cell>
          <cell r="S1778" t="str">
            <v>LOADING G5 SLING BAGS</v>
          </cell>
          <cell r="U1778">
            <v>0.72222222222222221</v>
          </cell>
          <cell r="V1778" t="str">
            <v>WAITIN G FL ONBOARD</v>
          </cell>
          <cell r="AA1778">
            <v>0.72916666666666663</v>
          </cell>
          <cell r="AB1778" t="str">
            <v>STOP LOADING / SWELL</v>
          </cell>
          <cell r="AD1778">
            <v>0.72916666666666663</v>
          </cell>
          <cell r="AE1778" t="str">
            <v>WAITING DELIVERY</v>
          </cell>
        </row>
        <row r="1779">
          <cell r="R1779">
            <v>0.79166666666666663</v>
          </cell>
          <cell r="S1779" t="str">
            <v>KY TOOLBOX</v>
          </cell>
          <cell r="U1779">
            <v>0.79166666666666663</v>
          </cell>
          <cell r="V1779" t="str">
            <v>KY TOOLBOX</v>
          </cell>
          <cell r="AA1779">
            <v>0.79166666666666663</v>
          </cell>
          <cell r="AB1779" t="str">
            <v>KY TOOLBOX</v>
          </cell>
          <cell r="AD1779">
            <v>0.79166666666666663</v>
          </cell>
          <cell r="AE1779" t="str">
            <v>WAITING MATERIAL</v>
          </cell>
        </row>
        <row r="1780">
          <cell r="R1780">
            <v>0.8125</v>
          </cell>
          <cell r="S1780" t="str">
            <v>PRE LOADING PREPARATION</v>
          </cell>
          <cell r="U1780">
            <v>0.8125</v>
          </cell>
          <cell r="V1780" t="str">
            <v>PRE LOADING PREPARATION</v>
          </cell>
          <cell r="AA1780">
            <v>0.8125</v>
          </cell>
          <cell r="AB1780" t="str">
            <v>VESSEL REFUSE TO OPEN HATCH</v>
          </cell>
          <cell r="AD1780">
            <v>0.94444444444444442</v>
          </cell>
          <cell r="AE1780" t="str">
            <v>LOADING SLING S58</v>
          </cell>
        </row>
        <row r="1781">
          <cell r="R1781">
            <v>0.83333333333333337</v>
          </cell>
          <cell r="S1781" t="str">
            <v>LOADING SLING S57</v>
          </cell>
          <cell r="U1781">
            <v>0.83333333333333337</v>
          </cell>
          <cell r="V1781" t="str">
            <v>WAITING SHORECRANE</v>
          </cell>
          <cell r="AA1781">
            <v>0.1388888888888889</v>
          </cell>
          <cell r="AB1781" t="str">
            <v>OPEN HATCH</v>
          </cell>
          <cell r="AD1781">
            <v>1.0416666666666666E-2</v>
          </cell>
          <cell r="AE1781" t="str">
            <v>LOADING SLING S29</v>
          </cell>
        </row>
        <row r="1782">
          <cell r="R1782">
            <v>0.85763888888888884</v>
          </cell>
          <cell r="S1782" t="str">
            <v>LOADING SLING S21</v>
          </cell>
          <cell r="U1782">
            <v>0.875</v>
          </cell>
          <cell r="V1782" t="str">
            <v>VESSEL BUNKERING</v>
          </cell>
          <cell r="AA1782">
            <v>0.15347222222222223</v>
          </cell>
          <cell r="AB1782" t="str">
            <v>LOADING SLING S32</v>
          </cell>
          <cell r="AD1782">
            <v>3.2638888888888891E-2</v>
          </cell>
          <cell r="AE1782" t="str">
            <v>LOADING SLING GEO 1</v>
          </cell>
        </row>
        <row r="1783">
          <cell r="R1783">
            <v>0.89583333333333337</v>
          </cell>
          <cell r="S1783" t="str">
            <v>LOADING SLING L39</v>
          </cell>
          <cell r="U1783">
            <v>0.89027777777777772</v>
          </cell>
          <cell r="V1783" t="str">
            <v>COMMENCE POUCH L48</v>
          </cell>
          <cell r="AA1783">
            <v>0.17708333333333334</v>
          </cell>
          <cell r="AB1783" t="str">
            <v>LOADING SLING S41</v>
          </cell>
          <cell r="AD1783">
            <v>0.10069444444444445</v>
          </cell>
          <cell r="AE1783" t="str">
            <v>LOADING SLING S27</v>
          </cell>
        </row>
        <row r="1784">
          <cell r="R1784">
            <v>0.90625</v>
          </cell>
          <cell r="S1784" t="str">
            <v>LOADING SLING S59</v>
          </cell>
          <cell r="U1784">
            <v>0.90555555555555556</v>
          </cell>
          <cell r="V1784" t="str">
            <v>LOADING SLING GE O3</v>
          </cell>
          <cell r="AA1784">
            <v>0.20555555555555555</v>
          </cell>
          <cell r="AB1784" t="str">
            <v>LOADING SLING S51</v>
          </cell>
          <cell r="AD1784">
            <v>0.11319444444444444</v>
          </cell>
          <cell r="AE1784" t="str">
            <v>LOADING SLING S57</v>
          </cell>
        </row>
        <row r="1785">
          <cell r="R1785">
            <v>0.92361111111111116</v>
          </cell>
          <cell r="S1785" t="str">
            <v>LOADING SLING S7</v>
          </cell>
          <cell r="U1785">
            <v>0.9243055555555556</v>
          </cell>
          <cell r="V1785" t="str">
            <v>LOADING SLING S37</v>
          </cell>
          <cell r="AA1785">
            <v>0.2298611111111111</v>
          </cell>
          <cell r="AB1785" t="str">
            <v>LOADING SLING S36</v>
          </cell>
          <cell r="AD1785">
            <v>0.13263888888888889</v>
          </cell>
          <cell r="AE1785" t="str">
            <v>LOADING SING S21</v>
          </cell>
        </row>
        <row r="1786">
          <cell r="R1786">
            <v>0.94236111111111109</v>
          </cell>
          <cell r="S1786" t="str">
            <v>LOADING SLING S36</v>
          </cell>
          <cell r="U1786">
            <v>0.94444444444444442</v>
          </cell>
          <cell r="V1786" t="str">
            <v>LOADSING SLING L51</v>
          </cell>
          <cell r="AD1786">
            <v>0.21319444444444444</v>
          </cell>
          <cell r="AE1786" t="str">
            <v>LOADING SLING S37</v>
          </cell>
        </row>
        <row r="1787">
          <cell r="R1787">
            <v>0.94930555555555551</v>
          </cell>
          <cell r="S1787" t="str">
            <v>LOADING SLING S47</v>
          </cell>
          <cell r="U1787">
            <v>0.97291666666666665</v>
          </cell>
          <cell r="V1787" t="str">
            <v>LOADING SLING GEO2</v>
          </cell>
          <cell r="AD1787">
            <v>0.22708333333333333</v>
          </cell>
          <cell r="AE1787" t="str">
            <v>LOADING SLING S58</v>
          </cell>
        </row>
        <row r="1788">
          <cell r="R1788">
            <v>0.96666666666666667</v>
          </cell>
          <cell r="S1788" t="str">
            <v>LOADING SLING S48</v>
          </cell>
          <cell r="U1788">
            <v>2.0833333333333332E-2</v>
          </cell>
          <cell r="V1788" t="str">
            <v>LOADING TONNER L52</v>
          </cell>
        </row>
        <row r="1789">
          <cell r="R1789">
            <v>1.1805555555555555E-2</v>
          </cell>
          <cell r="S1789" t="str">
            <v>LOADING SLING S30</v>
          </cell>
          <cell r="U1789">
            <v>4.5138888888888888E-2</v>
          </cell>
          <cell r="V1789" t="str">
            <v>LOADING TONNER A1</v>
          </cell>
        </row>
        <row r="1790">
          <cell r="R1790">
            <v>3.6805555555555557E-2</v>
          </cell>
          <cell r="S1790" t="str">
            <v>LOADING SLING B5</v>
          </cell>
          <cell r="U1790">
            <v>7.5694444444444439E-2</v>
          </cell>
          <cell r="V1790" t="str">
            <v>LOADING TONNER L37</v>
          </cell>
        </row>
        <row r="1791">
          <cell r="R1791">
            <v>5.5555555555555552E-2</v>
          </cell>
          <cell r="S1791" t="str">
            <v>LOADING SLING S6</v>
          </cell>
          <cell r="U1791">
            <v>9.5138888888888884E-2</v>
          </cell>
          <cell r="V1791" t="str">
            <v>LOADING TONNER A17</v>
          </cell>
        </row>
        <row r="1792">
          <cell r="R1792">
            <v>6.1111111111111109E-2</v>
          </cell>
          <cell r="S1792" t="str">
            <v>WAITING MATERIAL</v>
          </cell>
          <cell r="U1792">
            <v>0.11944444444444445</v>
          </cell>
          <cell r="V1792" t="str">
            <v>LOADING TONNER S49</v>
          </cell>
        </row>
        <row r="1793">
          <cell r="U1793">
            <v>0.14722222222222223</v>
          </cell>
          <cell r="V1793" t="str">
            <v>LOADING TONNER S55</v>
          </cell>
        </row>
        <row r="1794">
          <cell r="U1794">
            <v>0.17152777777777778</v>
          </cell>
          <cell r="V1794" t="str">
            <v>LOADING TONNER S35</v>
          </cell>
        </row>
        <row r="1795">
          <cell r="U1795">
            <v>0.18819444444444444</v>
          </cell>
          <cell r="V1795" t="str">
            <v>LOADING TONNER S6</v>
          </cell>
        </row>
        <row r="1796">
          <cell r="U1796">
            <v>0.20624999999999999</v>
          </cell>
          <cell r="V1796" t="str">
            <v>LOADING TONNER S56</v>
          </cell>
        </row>
        <row r="1797">
          <cell r="U1797">
            <v>0.22569444444444445</v>
          </cell>
          <cell r="V1797" t="str">
            <v>LOADING TONNER S28</v>
          </cell>
        </row>
        <row r="1798">
          <cell r="C1798" t="str">
            <v xml:space="preserve">  </v>
          </cell>
          <cell r="D1798" t="str">
            <v xml:space="preserve">  </v>
          </cell>
          <cell r="F1798" t="str">
            <v xml:space="preserve">  </v>
          </cell>
          <cell r="G1798" t="str">
            <v xml:space="preserve">  </v>
          </cell>
          <cell r="I1798" t="str">
            <v xml:space="preserve">  </v>
          </cell>
          <cell r="J1798" t="str">
            <v xml:space="preserve">  </v>
          </cell>
          <cell r="L1798" t="str">
            <v xml:space="preserve">  </v>
          </cell>
          <cell r="M1798" t="str">
            <v>LADY OF PEACE</v>
          </cell>
          <cell r="O1798" t="str">
            <v xml:space="preserve">  </v>
          </cell>
          <cell r="P1798" t="str">
            <v>EMERALD STAR</v>
          </cell>
          <cell r="R1798" t="str">
            <v xml:space="preserve"> </v>
          </cell>
          <cell r="S1798" t="str">
            <v>STAR DINAGAT</v>
          </cell>
          <cell r="U1798" t="str">
            <v xml:space="preserve">  </v>
          </cell>
          <cell r="V1798" t="str">
            <v>STAR SOGOD</v>
          </cell>
          <cell r="X1798" t="str">
            <v xml:space="preserve">  </v>
          </cell>
          <cell r="Y1798" t="str">
            <v>JERIC JAY</v>
          </cell>
          <cell r="AA1798" t="str">
            <v xml:space="preserve">  </v>
          </cell>
          <cell r="AB1798" t="str">
            <v>STAR ILIGAN</v>
          </cell>
          <cell r="AD1798" t="str">
            <v xml:space="preserve">  </v>
          </cell>
          <cell r="AE1798" t="str">
            <v>STAR FREEDOM</v>
          </cell>
          <cell r="AG1798" t="str">
            <v xml:space="preserve">  </v>
          </cell>
          <cell r="AH1798" t="str">
            <v xml:space="preserve">  </v>
          </cell>
        </row>
        <row r="1799">
          <cell r="L1799">
            <v>8.3333333333333329E-2</v>
          </cell>
          <cell r="M1799" t="str">
            <v>FORKLIFT ONBOARD</v>
          </cell>
          <cell r="O1799">
            <v>0.29166666666666669</v>
          </cell>
          <cell r="P1799" t="str">
            <v>DOCK SECURED</v>
          </cell>
          <cell r="R1799">
            <v>0.30555555555555558</v>
          </cell>
          <cell r="S1799" t="str">
            <v>KY TOOLBOX</v>
          </cell>
          <cell r="U1799">
            <v>0.30555555555555558</v>
          </cell>
          <cell r="V1799" t="str">
            <v>KY TOOLBOX</v>
          </cell>
          <cell r="X1799">
            <v>0.3263888888888889</v>
          </cell>
          <cell r="Y1799" t="str">
            <v>DOCK SECURED</v>
          </cell>
          <cell r="AA1799">
            <v>0.30555555555555558</v>
          </cell>
          <cell r="AB1799" t="str">
            <v>KY TOOLBOX</v>
          </cell>
          <cell r="AD1799">
            <v>0.30555555555555558</v>
          </cell>
          <cell r="AE1799" t="str">
            <v>TOOLBOX</v>
          </cell>
        </row>
        <row r="1800">
          <cell r="L1800">
            <v>0.12152777777777778</v>
          </cell>
          <cell r="M1800" t="str">
            <v>COMMENCE LOADING S22</v>
          </cell>
          <cell r="O1800">
            <v>0.36805555555555558</v>
          </cell>
          <cell r="P1800" t="str">
            <v>WAITING MATERIAL</v>
          </cell>
          <cell r="R1800">
            <v>0.32361111111111113</v>
          </cell>
          <cell r="S1800" t="str">
            <v>WAITING APLUS</v>
          </cell>
          <cell r="U1800">
            <v>0.32361111111111113</v>
          </cell>
          <cell r="V1800" t="str">
            <v>LOADING S3 TONNER BAGS</v>
          </cell>
          <cell r="X1800">
            <v>0.36805555555555558</v>
          </cell>
          <cell r="Y1800" t="str">
            <v>WAITING MATERIAL</v>
          </cell>
          <cell r="AA1800">
            <v>0.31944444444444442</v>
          </cell>
          <cell r="AB1800" t="str">
            <v>WAITING MATERIAL</v>
          </cell>
          <cell r="AD1800">
            <v>0.31944444444444442</v>
          </cell>
          <cell r="AE1800" t="str">
            <v>WAITING MATERIAL</v>
          </cell>
        </row>
        <row r="1801">
          <cell r="L1801">
            <v>0.14166666666666666</v>
          </cell>
          <cell r="M1801" t="str">
            <v>LOADING SLING S30</v>
          </cell>
          <cell r="O1801">
            <v>0.3888888888888889</v>
          </cell>
          <cell r="P1801" t="str">
            <v>WAITING MATERIAL</v>
          </cell>
          <cell r="R1801">
            <v>0.33333333333333331</v>
          </cell>
          <cell r="S1801" t="str">
            <v>LOADING A17 SLING BAGS</v>
          </cell>
          <cell r="U1801">
            <v>0.3659722222222222</v>
          </cell>
          <cell r="V1801" t="str">
            <v>LOADING G4 TONNER BAGS</v>
          </cell>
          <cell r="X1801">
            <v>0.39652777777777776</v>
          </cell>
          <cell r="Y1801" t="str">
            <v>WAITING MATERIAL</v>
          </cell>
          <cell r="AA1801">
            <v>0.34027777777777779</v>
          </cell>
          <cell r="AB1801" t="str">
            <v>WAITING MATERIAL</v>
          </cell>
          <cell r="AD1801">
            <v>0.34722222222222221</v>
          </cell>
          <cell r="AE1801" t="str">
            <v>WAITING MATERIAL</v>
          </cell>
        </row>
        <row r="1802">
          <cell r="L1802">
            <v>0.16319444444444445</v>
          </cell>
          <cell r="M1802" t="str">
            <v>LOADING SLING S43</v>
          </cell>
          <cell r="O1802">
            <v>0.42569444444444443</v>
          </cell>
          <cell r="P1802" t="str">
            <v>VESSEL CRANE CHANGING CABLE</v>
          </cell>
          <cell r="R1802">
            <v>0.3888888888888889</v>
          </cell>
          <cell r="S1802" t="str">
            <v>WAITING DELIVERY</v>
          </cell>
          <cell r="U1802">
            <v>0.3888888888888889</v>
          </cell>
          <cell r="V1802" t="str">
            <v>LOADING S2 TONNER BAGS</v>
          </cell>
          <cell r="X1802">
            <v>0.4236111111111111</v>
          </cell>
          <cell r="Y1802" t="str">
            <v>WAITING MATERIAL</v>
          </cell>
          <cell r="AA1802">
            <v>0.3888888888888889</v>
          </cell>
          <cell r="AB1802" t="str">
            <v>WAITING MATERIAL</v>
          </cell>
          <cell r="AD1802">
            <v>0.39652777777777776</v>
          </cell>
          <cell r="AE1802" t="str">
            <v>WAITING MATERIAL</v>
          </cell>
        </row>
        <row r="1803">
          <cell r="L1803">
            <v>0.18541666666666667</v>
          </cell>
          <cell r="M1803" t="str">
            <v>LOADING SLING S9</v>
          </cell>
          <cell r="O1803">
            <v>0.47083333333333333</v>
          </cell>
          <cell r="P1803" t="str">
            <v>VESSEL CRANE CHANGING CABLE</v>
          </cell>
          <cell r="R1803">
            <v>0.42708333333333331</v>
          </cell>
          <cell r="S1803" t="str">
            <v>WAITING DELIVERY</v>
          </cell>
          <cell r="U1803">
            <v>0.43055555555555558</v>
          </cell>
          <cell r="V1803" t="str">
            <v>COMPLETE LOADING</v>
          </cell>
          <cell r="X1803">
            <v>0.47083333333333333</v>
          </cell>
          <cell r="Y1803" t="str">
            <v>WAITING MATERIAL</v>
          </cell>
          <cell r="AA1803">
            <v>0.42430555555555555</v>
          </cell>
          <cell r="AB1803" t="str">
            <v>STOP LOADING / SWELL</v>
          </cell>
          <cell r="AD1803">
            <v>0.43055555555555558</v>
          </cell>
          <cell r="AE1803" t="str">
            <v>WAITING MATERIAL</v>
          </cell>
        </row>
        <row r="1804">
          <cell r="L1804">
            <v>0.25</v>
          </cell>
          <cell r="M1804" t="str">
            <v>VESSEL BREAK</v>
          </cell>
          <cell r="O1804">
            <v>0.5</v>
          </cell>
          <cell r="P1804" t="str">
            <v>LUNCH BREAK</v>
          </cell>
          <cell r="R1804">
            <v>0.47152777777777777</v>
          </cell>
          <cell r="S1804" t="str">
            <v>WAITING DELIVERY</v>
          </cell>
          <cell r="V1804" t="str">
            <v>JERIC JAY</v>
          </cell>
          <cell r="X1804">
            <v>0.5</v>
          </cell>
          <cell r="Y1804" t="str">
            <v>LUNCH BREAK</v>
          </cell>
          <cell r="AA1804">
            <v>0.47291666666666665</v>
          </cell>
          <cell r="AB1804" t="str">
            <v>STOP LOADING / SWELL</v>
          </cell>
          <cell r="AD1804">
            <v>0.46319444444444446</v>
          </cell>
          <cell r="AE1804" t="str">
            <v>LOADING F1 SLING BAGS</v>
          </cell>
        </row>
        <row r="1805">
          <cell r="O1805">
            <v>0.56944444444444442</v>
          </cell>
          <cell r="P1805" t="str">
            <v>LOADING S29 SLING BAGS</v>
          </cell>
          <cell r="R1805">
            <v>0.5</v>
          </cell>
          <cell r="S1805" t="str">
            <v>LUNCH BREAK</v>
          </cell>
          <cell r="U1805">
            <v>0.86458333333333337</v>
          </cell>
          <cell r="V1805" t="str">
            <v>COMMENCE SLING L17</v>
          </cell>
          <cell r="X1805">
            <v>0.56944444444444442</v>
          </cell>
          <cell r="Y1805" t="str">
            <v>NO LOADING / SWELL</v>
          </cell>
          <cell r="AA1805">
            <v>0.5</v>
          </cell>
          <cell r="AB1805" t="str">
            <v>LUNCH BREAK</v>
          </cell>
          <cell r="AD1805">
            <v>0.5</v>
          </cell>
          <cell r="AE1805" t="str">
            <v>LUNCH BREAK</v>
          </cell>
        </row>
        <row r="1806">
          <cell r="O1806">
            <v>0.59375</v>
          </cell>
          <cell r="P1806" t="str">
            <v>STOP LOADING / SWELL</v>
          </cell>
          <cell r="R1806">
            <v>0.5625</v>
          </cell>
          <cell r="S1806" t="str">
            <v>LOADING B5 SLING BAGS</v>
          </cell>
          <cell r="U1806">
            <v>0.95833333333333337</v>
          </cell>
          <cell r="V1806" t="str">
            <v>LOADING SLING S48</v>
          </cell>
          <cell r="X1806">
            <v>0.59861111111111109</v>
          </cell>
          <cell r="Y1806" t="str">
            <v>NO LOADING / SWELL</v>
          </cell>
          <cell r="AA1806">
            <v>0.55555555555555558</v>
          </cell>
          <cell r="AB1806" t="str">
            <v>STOP LOADING / SWELL</v>
          </cell>
          <cell r="AD1806">
            <v>0.56458333333333333</v>
          </cell>
          <cell r="AE1806" t="str">
            <v>STOP LOADING / SWELL</v>
          </cell>
        </row>
        <row r="1807">
          <cell r="O1807">
            <v>0.63611111111111107</v>
          </cell>
          <cell r="P1807" t="str">
            <v>STOP LOADING / SWELL</v>
          </cell>
          <cell r="R1807">
            <v>0.59930555555555554</v>
          </cell>
          <cell r="S1807" t="str">
            <v>LOADING B5 SLING BAGS</v>
          </cell>
          <cell r="U1807">
            <v>0</v>
          </cell>
          <cell r="V1807" t="str">
            <v>STEVEDORES BREAK</v>
          </cell>
          <cell r="X1807">
            <v>0.63611111111111107</v>
          </cell>
          <cell r="Y1807" t="str">
            <v>NO LOADING / SWELL</v>
          </cell>
          <cell r="AA1807">
            <v>0.59375</v>
          </cell>
          <cell r="AB1807" t="str">
            <v>STOP LOADING / SWELL</v>
          </cell>
          <cell r="AD1807">
            <v>0.59861111111111109</v>
          </cell>
          <cell r="AE1807" t="str">
            <v>STOP LOADING / SWELL</v>
          </cell>
        </row>
        <row r="1808">
          <cell r="O1808">
            <v>0.72430555555555554</v>
          </cell>
          <cell r="P1808" t="str">
            <v>LOADING S22 SLING BAGS</v>
          </cell>
          <cell r="R1808">
            <v>0.63680555555555551</v>
          </cell>
          <cell r="S1808" t="str">
            <v>WAITING DELIVERY</v>
          </cell>
          <cell r="U1808">
            <v>5.9722222222222225E-2</v>
          </cell>
          <cell r="V1808" t="str">
            <v>LOADING SLING S26</v>
          </cell>
          <cell r="X1808">
            <v>0.79166666666666663</v>
          </cell>
          <cell r="Y1808" t="str">
            <v>KY TOOLBOX</v>
          </cell>
          <cell r="AA1808">
            <v>0.63680555555555551</v>
          </cell>
          <cell r="AB1808" t="str">
            <v>STOP LOADING / SWELL</v>
          </cell>
          <cell r="AD1808">
            <v>0.63472222222222219</v>
          </cell>
          <cell r="AE1808" t="str">
            <v>STOP LOADING / SWELL</v>
          </cell>
        </row>
        <row r="1809">
          <cell r="O1809">
            <v>0.79166666666666663</v>
          </cell>
          <cell r="P1809" t="str">
            <v>KY TOOLBOX</v>
          </cell>
          <cell r="R1809">
            <v>0.6958333333333333</v>
          </cell>
          <cell r="S1809" t="str">
            <v>LOADING S49 SLING BAGS</v>
          </cell>
          <cell r="U1809">
            <v>9.375E-2</v>
          </cell>
          <cell r="V1809" t="str">
            <v>LOADING SLING S3</v>
          </cell>
          <cell r="X1809">
            <v>0.81944444444444442</v>
          </cell>
          <cell r="Y1809" t="str">
            <v>SHIFTING BERTH TO 7</v>
          </cell>
          <cell r="AA1809">
            <v>0.79166666666666663</v>
          </cell>
          <cell r="AB1809" t="str">
            <v>VESSEL REFUSE TO OPEN HATCH</v>
          </cell>
          <cell r="AD1809">
            <v>0.70277777777777772</v>
          </cell>
          <cell r="AE1809" t="str">
            <v>LOADING S50 SLING BAGS</v>
          </cell>
        </row>
        <row r="1810">
          <cell r="O1810">
            <v>0.8125</v>
          </cell>
          <cell r="P1810" t="str">
            <v>PRE LOADING PREPARATION</v>
          </cell>
          <cell r="R1810">
            <v>0.79166666666666663</v>
          </cell>
          <cell r="S1810" t="str">
            <v>KY TOOLBOX</v>
          </cell>
          <cell r="U1810">
            <v>0.12847222222222221</v>
          </cell>
          <cell r="V1810" t="str">
            <v>LOADING SLING S38</v>
          </cell>
          <cell r="X1810" t="str">
            <v xml:space="preserve">  </v>
          </cell>
          <cell r="Y1810" t="str">
            <v xml:space="preserve">  </v>
          </cell>
          <cell r="AA1810">
            <v>0.86250000000000004</v>
          </cell>
          <cell r="AB1810" t="str">
            <v>LOADING SLING L37</v>
          </cell>
          <cell r="AD1810">
            <v>0.71527777777777779</v>
          </cell>
          <cell r="AE1810" t="str">
            <v>LOADING S21 SLING BAGS</v>
          </cell>
        </row>
        <row r="1811">
          <cell r="O1811">
            <v>0.82291666666666663</v>
          </cell>
          <cell r="P1811" t="str">
            <v>LOADING SLING L51</v>
          </cell>
          <cell r="R1811">
            <v>0.8125</v>
          </cell>
          <cell r="S1811" t="str">
            <v>PRE LOADING PREPARATION</v>
          </cell>
          <cell r="U1811">
            <v>0.14583333333333334</v>
          </cell>
          <cell r="V1811" t="str">
            <v>LOADING SLING S6</v>
          </cell>
          <cell r="AA1811">
            <v>0.87361111111111112</v>
          </cell>
          <cell r="AB1811" t="str">
            <v>LOADING SLING S41</v>
          </cell>
          <cell r="AD1811">
            <v>0.72916666666666663</v>
          </cell>
          <cell r="AE1811" t="str">
            <v>LOADING S55 SLING BAGS</v>
          </cell>
        </row>
        <row r="1812">
          <cell r="O1812">
            <v>0.8520833333333333</v>
          </cell>
          <cell r="P1812" t="str">
            <v>LOADING SLING S29</v>
          </cell>
          <cell r="R1812">
            <v>0.82499999999999996</v>
          </cell>
          <cell r="S1812" t="str">
            <v>LOADING SLING A17</v>
          </cell>
          <cell r="U1812">
            <v>0.16250000000000001</v>
          </cell>
          <cell r="V1812" t="str">
            <v xml:space="preserve">WAITING FL ONBOARD </v>
          </cell>
          <cell r="AA1812">
            <v>0.88541666666666663</v>
          </cell>
          <cell r="AB1812" t="str">
            <v>LOADING SLING S58</v>
          </cell>
          <cell r="AD1812">
            <v>0.79166666666666663</v>
          </cell>
          <cell r="AE1812" t="str">
            <v>KY TOOLBOX</v>
          </cell>
        </row>
        <row r="1813">
          <cell r="O1813">
            <v>0.87222222222222223</v>
          </cell>
          <cell r="P1813" t="str">
            <v>LOADING SLING GEO 5</v>
          </cell>
          <cell r="R1813">
            <v>0.84375</v>
          </cell>
          <cell r="S1813" t="str">
            <v>LOADING SLING B5</v>
          </cell>
          <cell r="AA1813">
            <v>0.89861111111111114</v>
          </cell>
          <cell r="AB1813" t="str">
            <v>LOADING SLING L52</v>
          </cell>
          <cell r="AD1813">
            <v>0.80833333333333335</v>
          </cell>
          <cell r="AE1813" t="str">
            <v>LOADING SLING S43</v>
          </cell>
        </row>
        <row r="1814">
          <cell r="O1814">
            <v>0.89583333333333337</v>
          </cell>
          <cell r="P1814" t="str">
            <v>LOADING SLING S27</v>
          </cell>
          <cell r="R1814">
            <v>0.87847222222222221</v>
          </cell>
          <cell r="S1814" t="str">
            <v>LOADING SLING GEO 4</v>
          </cell>
          <cell r="AA1814">
            <v>0.90694444444444444</v>
          </cell>
          <cell r="AB1814" t="str">
            <v>WAITING GEO</v>
          </cell>
          <cell r="AD1814">
            <v>0.82916666666666672</v>
          </cell>
          <cell r="AE1814" t="str">
            <v>LOADING SLING L5</v>
          </cell>
        </row>
        <row r="1815">
          <cell r="O1815">
            <v>0.91597222222222219</v>
          </cell>
          <cell r="P1815" t="str">
            <v>LOADING SLING L47</v>
          </cell>
          <cell r="R1815">
            <v>0.89444444444444449</v>
          </cell>
          <cell r="S1815" t="str">
            <v>WAITING MATERIAL</v>
          </cell>
          <cell r="AA1815">
            <v>0.93263888888888891</v>
          </cell>
          <cell r="AB1815" t="str">
            <v>LOADING SLING GEO 1</v>
          </cell>
          <cell r="AD1815">
            <v>0.84305555555555556</v>
          </cell>
          <cell r="AE1815" t="str">
            <v>LOADING COMPLETE</v>
          </cell>
        </row>
        <row r="1816">
          <cell r="O1816">
            <v>0.95277777777777772</v>
          </cell>
          <cell r="P1816" t="str">
            <v>LOADING SLING S8</v>
          </cell>
          <cell r="R1816">
            <v>5.9027777777777776E-2</v>
          </cell>
          <cell r="S1816" t="str">
            <v>LOADING SLING B5</v>
          </cell>
          <cell r="AA1816">
            <v>0.96527777777777779</v>
          </cell>
          <cell r="AB1816" t="str">
            <v>CLOSE HATCH / WAITING MATERIAL</v>
          </cell>
        </row>
        <row r="1817">
          <cell r="O1817">
            <v>0.97638888888888886</v>
          </cell>
          <cell r="P1817" t="str">
            <v>LOADING SLING S36</v>
          </cell>
          <cell r="R1817">
            <v>0.13194444444444445</v>
          </cell>
          <cell r="S1817" t="str">
            <v>LOADING SLING S58</v>
          </cell>
        </row>
        <row r="1818">
          <cell r="O1818">
            <v>0.99722222222222223</v>
          </cell>
          <cell r="P1818" t="str">
            <v>LOADING SLING GEO 2</v>
          </cell>
          <cell r="R1818">
            <v>0.14305555555555555</v>
          </cell>
          <cell r="S1818" t="str">
            <v>WAITING MATERIAL</v>
          </cell>
        </row>
        <row r="1819">
          <cell r="O1819">
            <v>0</v>
          </cell>
          <cell r="P1819" t="str">
            <v>STEVEDORES BREAK</v>
          </cell>
        </row>
        <row r="1820">
          <cell r="O1820">
            <v>6.805555555555555E-2</v>
          </cell>
          <cell r="P1820" t="str">
            <v>LOADING SLING S35</v>
          </cell>
        </row>
        <row r="1821">
          <cell r="O1821">
            <v>0.12222222222222222</v>
          </cell>
          <cell r="P1821" t="str">
            <v>LOADING SLING S32</v>
          </cell>
        </row>
        <row r="1822">
          <cell r="O1822">
            <v>0.14930555555555555</v>
          </cell>
          <cell r="P1822" t="str">
            <v>LOADING SLING S9</v>
          </cell>
        </row>
        <row r="1823">
          <cell r="O1823">
            <v>0.16458333333333333</v>
          </cell>
          <cell r="P1823" t="str">
            <v>LOADING SLING S56</v>
          </cell>
        </row>
        <row r="1824">
          <cell r="O1824">
            <v>0.1986111111111111</v>
          </cell>
          <cell r="P1824" t="str">
            <v>LOADING SLING S51</v>
          </cell>
        </row>
        <row r="1825">
          <cell r="O1825">
            <v>0.25</v>
          </cell>
          <cell r="P1825" t="str">
            <v>VESSEL BREAK</v>
          </cell>
        </row>
        <row r="1826">
          <cell r="C1826" t="str">
            <v xml:space="preserve">  </v>
          </cell>
          <cell r="D1826" t="str">
            <v xml:space="preserve">  </v>
          </cell>
          <cell r="F1826" t="str">
            <v xml:space="preserve">  </v>
          </cell>
          <cell r="G1826" t="str">
            <v xml:space="preserve">  </v>
          </cell>
          <cell r="I1826" t="str">
            <v xml:space="preserve">  </v>
          </cell>
          <cell r="J1826" t="str">
            <v>EASTERN CEBU</v>
          </cell>
          <cell r="L1826" t="str">
            <v xml:space="preserve">  </v>
          </cell>
          <cell r="M1826" t="str">
            <v>LADY OF PEACE</v>
          </cell>
          <cell r="O1826" t="str">
            <v xml:space="preserve">  </v>
          </cell>
          <cell r="P1826" t="str">
            <v>EMERALD STAR</v>
          </cell>
          <cell r="R1826" t="str">
            <v xml:space="preserve"> </v>
          </cell>
          <cell r="S1826" t="str">
            <v>STAR DINAGAT</v>
          </cell>
          <cell r="U1826" t="str">
            <v xml:space="preserve">  </v>
          </cell>
          <cell r="V1826" t="str">
            <v>JERIC JAY</v>
          </cell>
          <cell r="Y1826" t="str">
            <v>LADY ARMOR</v>
          </cell>
          <cell r="AA1826" t="str">
            <v xml:space="preserve">  </v>
          </cell>
          <cell r="AB1826" t="str">
            <v>STAR ILIGAN</v>
          </cell>
          <cell r="AD1826" t="str">
            <v xml:space="preserve">  </v>
          </cell>
          <cell r="AE1826" t="str">
            <v>EFG 5</v>
          </cell>
          <cell r="AG1826" t="str">
            <v xml:space="preserve">  </v>
          </cell>
          <cell r="AH1826" t="str">
            <v xml:space="preserve">  </v>
          </cell>
        </row>
        <row r="1827">
          <cell r="I1827">
            <v>0.30555555555555558</v>
          </cell>
          <cell r="J1827" t="str">
            <v>DOCK SECURED</v>
          </cell>
          <cell r="L1827">
            <v>0.30555555555555558</v>
          </cell>
          <cell r="M1827" t="str">
            <v>KY TOOLBOX</v>
          </cell>
          <cell r="O1827">
            <v>0.30555555555555558</v>
          </cell>
          <cell r="P1827" t="str">
            <v>KY TOOLBOX</v>
          </cell>
          <cell r="R1827">
            <v>0.30555555555555558</v>
          </cell>
          <cell r="S1827" t="str">
            <v>KY TOOLBOX</v>
          </cell>
          <cell r="U1827">
            <v>0.30555555555555558</v>
          </cell>
          <cell r="V1827" t="str">
            <v>KY TOOLBOX</v>
          </cell>
          <cell r="X1827">
            <v>0.39583333333333331</v>
          </cell>
          <cell r="Y1827" t="str">
            <v>DOCK SECURED</v>
          </cell>
          <cell r="AA1827">
            <v>0.30555555555555558</v>
          </cell>
          <cell r="AB1827" t="str">
            <v>KY TOOLBOX</v>
          </cell>
          <cell r="AD1827">
            <v>0.29166666666666669</v>
          </cell>
          <cell r="AE1827" t="str">
            <v>DOCK SECURED</v>
          </cell>
        </row>
        <row r="1828">
          <cell r="I1828">
            <v>0.33333333333333331</v>
          </cell>
          <cell r="J1828" t="str">
            <v>WAITING MATERIAL</v>
          </cell>
          <cell r="L1828">
            <v>0.33333333333333331</v>
          </cell>
          <cell r="M1828" t="str">
            <v>STOP LOADING / SWELL</v>
          </cell>
          <cell r="O1828">
            <v>0.33333333333333331</v>
          </cell>
          <cell r="P1828" t="str">
            <v xml:space="preserve"> LOADING S47 SLING BAGS</v>
          </cell>
          <cell r="R1828">
            <v>0.33333333333333331</v>
          </cell>
          <cell r="S1828" t="str">
            <v>WAITING DELIVERY</v>
          </cell>
          <cell r="U1828">
            <v>0.33333333333333331</v>
          </cell>
          <cell r="V1828" t="str">
            <v>LOADING S4 SLING BAGS</v>
          </cell>
          <cell r="X1828">
            <v>0.41666666666666669</v>
          </cell>
          <cell r="Y1828" t="str">
            <v>WAITING MATERIAL</v>
          </cell>
          <cell r="AA1828">
            <v>0.33333333333333331</v>
          </cell>
          <cell r="AB1828" t="str">
            <v>WAITING DELIVERY</v>
          </cell>
          <cell r="AD1828">
            <v>0.33333333333333331</v>
          </cell>
          <cell r="AE1828" t="str">
            <v>WAITING MATERIAL</v>
          </cell>
        </row>
        <row r="1829">
          <cell r="I1829">
            <v>0.3888888888888889</v>
          </cell>
          <cell r="J1829" t="str">
            <v>WAITING MATERIAL</v>
          </cell>
          <cell r="L1829">
            <v>0.38541666666666669</v>
          </cell>
          <cell r="M1829" t="str">
            <v>STOP LOADING / SWELL</v>
          </cell>
          <cell r="O1829">
            <v>0.39652777777777776</v>
          </cell>
          <cell r="P1829" t="str">
            <v>WAITING MATERIAL</v>
          </cell>
          <cell r="R1829">
            <v>0.39583333333333331</v>
          </cell>
          <cell r="S1829" t="str">
            <v>LOADING SLING BAGS</v>
          </cell>
          <cell r="U1829">
            <v>0.39305555555555555</v>
          </cell>
          <cell r="V1829" t="str">
            <v>LOADING S21 SLING BAGS</v>
          </cell>
          <cell r="X1829">
            <v>0.45833333333333331</v>
          </cell>
          <cell r="Y1829" t="str">
            <v>WAITING MATERIAL</v>
          </cell>
          <cell r="AA1829">
            <v>0.39583333333333331</v>
          </cell>
          <cell r="AB1829" t="str">
            <v>LOADING SLING BAGS</v>
          </cell>
          <cell r="AD1829">
            <v>0.40277777777777779</v>
          </cell>
          <cell r="AE1829" t="str">
            <v>WAITING MATERIAL</v>
          </cell>
        </row>
        <row r="1830">
          <cell r="I1830">
            <v>0.43333333333333335</v>
          </cell>
          <cell r="J1830" t="str">
            <v>WAITING MATERIAL</v>
          </cell>
          <cell r="L1830">
            <v>0.42152777777777778</v>
          </cell>
          <cell r="M1830" t="str">
            <v>STOP LOADING / SWELL</v>
          </cell>
          <cell r="O1830">
            <v>0.42708333333333331</v>
          </cell>
          <cell r="P1830" t="str">
            <v>WAITING MATERIAL</v>
          </cell>
          <cell r="R1830">
            <v>0.42638888888888887</v>
          </cell>
          <cell r="S1830" t="str">
            <v>COMPLETE LOADING</v>
          </cell>
          <cell r="U1830">
            <v>0.43402777777777779</v>
          </cell>
          <cell r="V1830" t="str">
            <v>LOADING S49 SLING BAGS</v>
          </cell>
          <cell r="X1830">
            <v>0.5</v>
          </cell>
          <cell r="Y1830" t="str">
            <v>LUNCH BREAK</v>
          </cell>
          <cell r="AA1830">
            <v>0.42777777777777776</v>
          </cell>
          <cell r="AB1830" t="str">
            <v>LOADING G4 SLING BAGS</v>
          </cell>
          <cell r="AD1830">
            <v>0.43055555555555558</v>
          </cell>
          <cell r="AE1830" t="str">
            <v>WAITING MATERIAL</v>
          </cell>
        </row>
        <row r="1831">
          <cell r="I1831">
            <v>0.47916666666666669</v>
          </cell>
          <cell r="J1831" t="str">
            <v>WAITING MATERIAL</v>
          </cell>
          <cell r="L1831">
            <v>0.47916666666666669</v>
          </cell>
          <cell r="M1831" t="str">
            <v>STOP LOADING / SWELL</v>
          </cell>
          <cell r="O1831">
            <v>0.46666666666666667</v>
          </cell>
          <cell r="P1831" t="str">
            <v>WAITING MATERIAL</v>
          </cell>
          <cell r="S1831" t="str">
            <v>LADY OF DIVINE GRACE</v>
          </cell>
          <cell r="U1831">
            <v>0.47222222222222221</v>
          </cell>
          <cell r="V1831" t="str">
            <v>STOP LOADING / SWELL</v>
          </cell>
          <cell r="X1831">
            <v>0.55625000000000002</v>
          </cell>
          <cell r="Y1831" t="str">
            <v>WAITING MATERIAL</v>
          </cell>
          <cell r="AA1831">
            <v>0.47222222222222221</v>
          </cell>
          <cell r="AB1831" t="str">
            <v>LOADING S57 SLING BAGS</v>
          </cell>
          <cell r="AD1831">
            <v>0.45833333333333331</v>
          </cell>
          <cell r="AE1831" t="str">
            <v>WAITING MATERIAL</v>
          </cell>
        </row>
        <row r="1832">
          <cell r="I1832">
            <v>0.5</v>
          </cell>
          <cell r="J1832" t="str">
            <v>LUNCH BREAK</v>
          </cell>
          <cell r="L1832">
            <v>0.5</v>
          </cell>
          <cell r="M1832" t="str">
            <v>LUNCH BREAK</v>
          </cell>
          <cell r="O1832">
            <v>0.5</v>
          </cell>
          <cell r="P1832" t="str">
            <v>LUNCH BREAK</v>
          </cell>
          <cell r="R1832">
            <v>0.74652777777777779</v>
          </cell>
          <cell r="S1832" t="str">
            <v>DOCK SECURED</v>
          </cell>
          <cell r="U1832">
            <v>0.5</v>
          </cell>
          <cell r="V1832" t="str">
            <v>LUNCH BREAK</v>
          </cell>
          <cell r="X1832">
            <v>0.59861111111111109</v>
          </cell>
          <cell r="Y1832" t="str">
            <v>WAITING MATERIAL</v>
          </cell>
          <cell r="AA1832">
            <v>0.5</v>
          </cell>
          <cell r="AB1832" t="str">
            <v>LUNCH BREAK</v>
          </cell>
          <cell r="AD1832">
            <v>0.5</v>
          </cell>
          <cell r="AE1832" t="str">
            <v>LUNCH BREAK</v>
          </cell>
        </row>
        <row r="1833">
          <cell r="I1833">
            <v>0.55694444444444446</v>
          </cell>
          <cell r="J1833" t="str">
            <v>NO LOADING / SWELL</v>
          </cell>
          <cell r="L1833">
            <v>0.56319444444444444</v>
          </cell>
          <cell r="M1833" t="str">
            <v>STOP LOADING / SWELL</v>
          </cell>
          <cell r="O1833">
            <v>0.55555555555555558</v>
          </cell>
          <cell r="P1833" t="str">
            <v>LOADING G2 SLING BAGS</v>
          </cell>
          <cell r="R1833">
            <v>0.75</v>
          </cell>
          <cell r="S1833" t="str">
            <v>WAITING DELIVERY</v>
          </cell>
          <cell r="U1833">
            <v>0.56388888888888888</v>
          </cell>
          <cell r="V1833" t="str">
            <v>LOADING S42 SLING BAGS</v>
          </cell>
          <cell r="X1833">
            <v>0.64652777777777781</v>
          </cell>
          <cell r="Y1833" t="str">
            <v>WAITING MATERIAL</v>
          </cell>
          <cell r="AA1833">
            <v>0.54861111111111116</v>
          </cell>
          <cell r="AB1833" t="str">
            <v>WAITING DELIVERY</v>
          </cell>
          <cell r="AD1833">
            <v>0.56319444444444444</v>
          </cell>
          <cell r="AE1833" t="str">
            <v>WAITING MATERIAL</v>
          </cell>
        </row>
        <row r="1834">
          <cell r="I1834">
            <v>0.59375</v>
          </cell>
          <cell r="J1834" t="str">
            <v>NO LOADING / SWELL</v>
          </cell>
          <cell r="L1834">
            <v>0.59027777777777779</v>
          </cell>
          <cell r="M1834" t="str">
            <v>STOP LOADING / SWELL</v>
          </cell>
          <cell r="O1834">
            <v>0.61805555555555558</v>
          </cell>
          <cell r="P1834" t="str">
            <v>WAITING MATERIAL</v>
          </cell>
          <cell r="R1834">
            <v>0.79166666666666663</v>
          </cell>
          <cell r="S1834" t="str">
            <v>KY TOOLBOX</v>
          </cell>
          <cell r="U1834">
            <v>0.61111111111111116</v>
          </cell>
          <cell r="V1834" t="str">
            <v>LOADING S4 SLING BAGS</v>
          </cell>
          <cell r="X1834">
            <v>0.67638888888888893</v>
          </cell>
          <cell r="Y1834" t="str">
            <v>WAITING MATERIAL</v>
          </cell>
          <cell r="AA1834">
            <v>0.59027777777777779</v>
          </cell>
          <cell r="AB1834" t="str">
            <v>LOADING G2 SLING BAGS</v>
          </cell>
          <cell r="AD1834">
            <v>0.59722222222222221</v>
          </cell>
          <cell r="AE1834" t="str">
            <v>WAITING MATERIAL</v>
          </cell>
        </row>
        <row r="1835">
          <cell r="I1835">
            <v>0.63888888888888884</v>
          </cell>
          <cell r="J1835" t="str">
            <v>NO LOADING / SWELL</v>
          </cell>
          <cell r="L1835">
            <v>0.63888888888888884</v>
          </cell>
          <cell r="M1835" t="str">
            <v>STOP LOADING / SWELL</v>
          </cell>
          <cell r="O1835">
            <v>0.6479166666666667</v>
          </cell>
          <cell r="P1835" t="str">
            <v>WAITING MATERIAL</v>
          </cell>
          <cell r="R1835">
            <v>0.83333333333333337</v>
          </cell>
          <cell r="S1835" t="str">
            <v>VESSEL CREW TAKE REST</v>
          </cell>
          <cell r="U1835">
            <v>0.63888888888888884</v>
          </cell>
          <cell r="V1835" t="str">
            <v>LOADING S21 SLING BAGS</v>
          </cell>
          <cell r="X1835">
            <v>0.72916666666666663</v>
          </cell>
          <cell r="Y1835" t="str">
            <v>WAITING MATERIAL</v>
          </cell>
          <cell r="AA1835">
            <v>0.60624999999999996</v>
          </cell>
          <cell r="AB1835" t="str">
            <v>COMPLETE LOADING</v>
          </cell>
          <cell r="AD1835">
            <v>0.6479166666666667</v>
          </cell>
          <cell r="AE1835" t="str">
            <v>WAITING MATERIAL</v>
          </cell>
        </row>
        <row r="1836">
          <cell r="I1836">
            <v>0.67708333333333337</v>
          </cell>
          <cell r="J1836" t="str">
            <v>NO LOADING / SWELL</v>
          </cell>
          <cell r="L1836">
            <v>0.68263888888888891</v>
          </cell>
          <cell r="M1836" t="str">
            <v>STOP LOADING / SWELL</v>
          </cell>
          <cell r="O1836">
            <v>0.68888888888888888</v>
          </cell>
          <cell r="P1836" t="str">
            <v>LOADING S35 SLING BAGS</v>
          </cell>
          <cell r="R1836">
            <v>0.875</v>
          </cell>
          <cell r="S1836" t="str">
            <v>VESSEL CREW TAKE REST</v>
          </cell>
          <cell r="U1836">
            <v>0.69861111111111107</v>
          </cell>
          <cell r="V1836" t="str">
            <v>LOADING S49 SLING BAGS</v>
          </cell>
          <cell r="X1836">
            <v>0.75</v>
          </cell>
          <cell r="Y1836" t="str">
            <v>WAITING MATERIAL</v>
          </cell>
          <cell r="AD1836">
            <v>0.68194444444444446</v>
          </cell>
          <cell r="AE1836" t="str">
            <v>WAITING MATERIAL</v>
          </cell>
        </row>
        <row r="1837">
          <cell r="I1837">
            <v>0.72916666666666663</v>
          </cell>
          <cell r="J1837" t="str">
            <v>NO LOADING / SWELL</v>
          </cell>
          <cell r="L1837">
            <v>0.72916666666666663</v>
          </cell>
          <cell r="M1837" t="str">
            <v>STOP LOADING / SWELL</v>
          </cell>
          <cell r="O1837">
            <v>0.72916666666666663</v>
          </cell>
          <cell r="P1837" t="str">
            <v>WAITING MATERIAL</v>
          </cell>
          <cell r="R1837">
            <v>0.91666666666666663</v>
          </cell>
          <cell r="S1837" t="str">
            <v>VESSEL CREW TAKE REST</v>
          </cell>
          <cell r="U1837">
            <v>0.72916666666666663</v>
          </cell>
          <cell r="V1837" t="str">
            <v>LOADING S49 SLING BAGS</v>
          </cell>
          <cell r="X1837">
            <v>0.79166666666666663</v>
          </cell>
          <cell r="Y1837" t="str">
            <v>WAITING MATERIAL</v>
          </cell>
          <cell r="AD1837">
            <v>0.72916666666666663</v>
          </cell>
          <cell r="AE1837" t="str">
            <v>WAITING MATERIAL</v>
          </cell>
        </row>
        <row r="1838">
          <cell r="I1838">
            <v>0.75</v>
          </cell>
          <cell r="J1838" t="str">
            <v>VESSEL BREAK</v>
          </cell>
          <cell r="L1838">
            <v>0.75</v>
          </cell>
          <cell r="M1838" t="str">
            <v>VESSEL BREAK</v>
          </cell>
          <cell r="O1838">
            <v>0.75</v>
          </cell>
          <cell r="P1838" t="str">
            <v>VESSEL BREAK</v>
          </cell>
          <cell r="R1838">
            <v>0.95833333333333337</v>
          </cell>
          <cell r="S1838" t="str">
            <v>VESSEL CREW TAKE REST</v>
          </cell>
          <cell r="U1838">
            <v>0.75</v>
          </cell>
          <cell r="V1838" t="str">
            <v>VESSEL BREAK</v>
          </cell>
          <cell r="X1838">
            <v>0.83333333333333337</v>
          </cell>
          <cell r="Y1838" t="str">
            <v>WAITING MATERIAL</v>
          </cell>
          <cell r="AD1838">
            <v>0.75</v>
          </cell>
          <cell r="AE1838" t="str">
            <v>WAITING MATERIAL</v>
          </cell>
        </row>
        <row r="1839">
          <cell r="I1839">
            <v>0.79166666666666663</v>
          </cell>
          <cell r="J1839" t="str">
            <v>KY TOOLBOX</v>
          </cell>
          <cell r="L1839">
            <v>0.79166666666666663</v>
          </cell>
          <cell r="M1839" t="str">
            <v>KY TOOLBOX</v>
          </cell>
          <cell r="O1839">
            <v>0.79166666666666663</v>
          </cell>
          <cell r="P1839" t="str">
            <v>KY TOOLBOX</v>
          </cell>
          <cell r="R1839">
            <v>6.9444444444444447E-4</v>
          </cell>
          <cell r="S1839" t="str">
            <v>VESSEL CREW TAKE REST</v>
          </cell>
          <cell r="U1839">
            <v>0.79166666666666663</v>
          </cell>
          <cell r="V1839" t="str">
            <v>KY TOOLBOX</v>
          </cell>
          <cell r="X1839">
            <v>0.875</v>
          </cell>
          <cell r="Y1839" t="str">
            <v>WAITING MATERIAL</v>
          </cell>
          <cell r="AD1839">
            <v>0.79166666666666663</v>
          </cell>
          <cell r="AE1839" t="str">
            <v>WAITING MATERIAL</v>
          </cell>
        </row>
        <row r="1840">
          <cell r="I1840">
            <v>0.85972222222222228</v>
          </cell>
          <cell r="J1840" t="str">
            <v>LOADING S51 SLING BAGS</v>
          </cell>
          <cell r="L1840">
            <v>0.83333333333333337</v>
          </cell>
          <cell r="M1840" t="str">
            <v>STOP LOADING / SWELL</v>
          </cell>
          <cell r="O1840">
            <v>0.84791666666666665</v>
          </cell>
          <cell r="P1840" t="str">
            <v>LOADING B5 SLING BAGS</v>
          </cell>
          <cell r="R1840">
            <v>5.6944444444444443E-2</v>
          </cell>
          <cell r="S1840" t="str">
            <v>VESSEL CREW TAKE REST</v>
          </cell>
          <cell r="U1840">
            <v>0.84027777777777779</v>
          </cell>
          <cell r="V1840" t="str">
            <v>LOADING S22 SLING BAGS</v>
          </cell>
          <cell r="X1840">
            <v>0.91666666666666663</v>
          </cell>
          <cell r="Y1840" t="str">
            <v>WAITING MATERIAL</v>
          </cell>
          <cell r="AD1840">
            <v>0.83333333333333337</v>
          </cell>
          <cell r="AE1840" t="str">
            <v>WAITING MATERIAL</v>
          </cell>
        </row>
        <row r="1841">
          <cell r="I1841">
            <v>0.87986111111111109</v>
          </cell>
          <cell r="J1841" t="str">
            <v>LOADING S45 SLING BAGS</v>
          </cell>
          <cell r="L1841">
            <v>0.875</v>
          </cell>
          <cell r="M1841" t="str">
            <v>STOP LOADING / SWELL</v>
          </cell>
          <cell r="O1841">
            <v>0.89097222222222228</v>
          </cell>
          <cell r="P1841" t="str">
            <v>LOADING SLING BAGS</v>
          </cell>
          <cell r="R1841">
            <v>8.4027777777777785E-2</v>
          </cell>
          <cell r="S1841" t="str">
            <v>VESSEL CREW TAKE REST</v>
          </cell>
          <cell r="U1841">
            <v>0.88611111111111107</v>
          </cell>
          <cell r="V1841" t="str">
            <v>LOADING S48 SLING BAGS</v>
          </cell>
          <cell r="X1841">
            <v>0.95833333333333337</v>
          </cell>
          <cell r="Y1841" t="str">
            <v>WAITING MATERIAL</v>
          </cell>
          <cell r="AD1841">
            <v>0.875</v>
          </cell>
          <cell r="AE1841" t="str">
            <v>WAITING MATERIAL</v>
          </cell>
        </row>
        <row r="1842">
          <cell r="I1842">
            <v>0.93125000000000002</v>
          </cell>
          <cell r="J1842" t="str">
            <v>LOADING S38</v>
          </cell>
          <cell r="L1842">
            <v>0.94513888888888886</v>
          </cell>
          <cell r="M1842" t="str">
            <v>LOAIDNG S36 SLING BAGS</v>
          </cell>
          <cell r="O1842">
            <v>0.94444444444444442</v>
          </cell>
          <cell r="P1842" t="str">
            <v>LOADING S4 SLING BAGS</v>
          </cell>
          <cell r="R1842">
            <v>0.13194444444444445</v>
          </cell>
          <cell r="S1842" t="str">
            <v>VESSEL CREW TAKE REST</v>
          </cell>
          <cell r="U1842">
            <v>0.91666666666666663</v>
          </cell>
          <cell r="V1842" t="str">
            <v>WAITING MATERIAL</v>
          </cell>
          <cell r="X1842">
            <v>6.9444444444444447E-4</v>
          </cell>
          <cell r="Y1842" t="str">
            <v>WAITING MATERIAL</v>
          </cell>
          <cell r="AD1842">
            <v>0.91666666666666663</v>
          </cell>
          <cell r="AE1842" t="str">
            <v>WAITING MATERIAL</v>
          </cell>
        </row>
        <row r="1843">
          <cell r="I1843">
            <v>0.95833333333333337</v>
          </cell>
          <cell r="J1843" t="str">
            <v>WAITING MATERIAL</v>
          </cell>
          <cell r="L1843">
            <v>0.96875</v>
          </cell>
          <cell r="M1843" t="str">
            <v>LOADING G5 SLING BAGS</v>
          </cell>
          <cell r="O1843">
            <v>0.9604166666666667</v>
          </cell>
          <cell r="P1843" t="str">
            <v>WAITING MATERIAL</v>
          </cell>
          <cell r="R1843">
            <v>0.18055555555555555</v>
          </cell>
          <cell r="S1843" t="str">
            <v>VESSEL CREW TAKE REST</v>
          </cell>
          <cell r="U1843">
            <v>0.95833333333333337</v>
          </cell>
          <cell r="V1843" t="str">
            <v>WAITING MATERIAL</v>
          </cell>
          <cell r="X1843">
            <v>5.0694444444444445E-2</v>
          </cell>
          <cell r="Y1843" t="str">
            <v>WAITING MATERIAL</v>
          </cell>
          <cell r="AA1843" t="str">
            <v xml:space="preserve"> </v>
          </cell>
          <cell r="AD1843">
            <v>0.95833333333333337</v>
          </cell>
          <cell r="AE1843" t="str">
            <v>WAITING MATERIAL</v>
          </cell>
        </row>
        <row r="1844">
          <cell r="I1844">
            <v>1.6666666666666666E-2</v>
          </cell>
          <cell r="J1844" t="str">
            <v>WAITING SORE CRANE</v>
          </cell>
          <cell r="L1844">
            <v>2.361111111111111E-2</v>
          </cell>
          <cell r="M1844" t="str">
            <v>LOADING S3 SLING BAGS</v>
          </cell>
          <cell r="O1844">
            <v>1.8055555555555554E-2</v>
          </cell>
          <cell r="P1844" t="str">
            <v>WAITING MATERIAL</v>
          </cell>
          <cell r="R1844">
            <v>0.22083333333333333</v>
          </cell>
          <cell r="S1844" t="str">
            <v>VESSEL CREW TAKE REST</v>
          </cell>
          <cell r="U1844">
            <v>6.9444444444444447E-4</v>
          </cell>
          <cell r="V1844" t="str">
            <v>WAITING MATERIAL</v>
          </cell>
          <cell r="X1844">
            <v>9.0277777777777776E-2</v>
          </cell>
          <cell r="Y1844" t="str">
            <v>WAITING MATERIAL</v>
          </cell>
          <cell r="AD1844">
            <v>6.9444444444444447E-4</v>
          </cell>
          <cell r="AE1844" t="str">
            <v>WAITING MATERIAL</v>
          </cell>
        </row>
        <row r="1845">
          <cell r="I1845">
            <v>5.6944444444444443E-2</v>
          </cell>
          <cell r="J1845" t="str">
            <v>WAITING SORE CRANE</v>
          </cell>
          <cell r="L1845">
            <v>5.6944444444444443E-2</v>
          </cell>
          <cell r="M1845" t="str">
            <v>LOADING S27 LOOSEBAG</v>
          </cell>
          <cell r="O1845">
            <v>5.0694444444444445E-2</v>
          </cell>
          <cell r="P1845" t="str">
            <v>WAITING MATERIAL</v>
          </cell>
          <cell r="U1845">
            <v>5.0694444444444445E-2</v>
          </cell>
          <cell r="V1845" t="str">
            <v>WAITING MATERIAL</v>
          </cell>
          <cell r="X1845">
            <v>0.12847222222222221</v>
          </cell>
          <cell r="Y1845" t="str">
            <v>WAITING MATERIAL</v>
          </cell>
          <cell r="AD1845">
            <v>5.0694444444444445E-2</v>
          </cell>
          <cell r="AE1845" t="str">
            <v>WAITING MATERIAL</v>
          </cell>
        </row>
        <row r="1846">
          <cell r="I1846">
            <v>9.3055555555555558E-2</v>
          </cell>
          <cell r="J1846" t="str">
            <v>WAITING SORE CRANE</v>
          </cell>
          <cell r="L1846">
            <v>0.11874999999999999</v>
          </cell>
          <cell r="M1846" t="str">
            <v>LOADING S7 SLING BAGS</v>
          </cell>
          <cell r="O1846">
            <v>9.0277777777777776E-2</v>
          </cell>
          <cell r="P1846" t="str">
            <v>WAITING MATERIAL</v>
          </cell>
          <cell r="U1846">
            <v>9.0277777777777776E-2</v>
          </cell>
          <cell r="V1846" t="str">
            <v>WAITING MATERIAL</v>
          </cell>
          <cell r="X1846">
            <v>0.17569444444444443</v>
          </cell>
          <cell r="Y1846" t="str">
            <v>WAITING MATERIAL</v>
          </cell>
          <cell r="AD1846">
            <v>9.0277777777777776E-2</v>
          </cell>
          <cell r="AE1846" t="str">
            <v>WAITING MATERIAL</v>
          </cell>
        </row>
        <row r="1847">
          <cell r="I1847">
            <v>0.14652777777777778</v>
          </cell>
          <cell r="J1847" t="str">
            <v>WAITING SORE CRANE</v>
          </cell>
          <cell r="L1847">
            <v>0.1423611111111111</v>
          </cell>
          <cell r="M1847" t="str">
            <v>LOADING S8 SLING BAGS</v>
          </cell>
          <cell r="O1847">
            <v>0.12847222222222221</v>
          </cell>
          <cell r="P1847" t="str">
            <v>WAITING MATERIAL</v>
          </cell>
          <cell r="U1847">
            <v>0.12847222222222221</v>
          </cell>
          <cell r="V1847" t="str">
            <v>WAITING MATERIAL</v>
          </cell>
          <cell r="X1847">
            <v>0.22222222222222221</v>
          </cell>
          <cell r="Y1847" t="str">
            <v>WAITING MATERIAL</v>
          </cell>
          <cell r="AD1847">
            <v>0.12847222222222221</v>
          </cell>
          <cell r="AE1847" t="str">
            <v>WAITING MATERIAL</v>
          </cell>
        </row>
        <row r="1848">
          <cell r="I1848">
            <v>0.1673611111111111</v>
          </cell>
          <cell r="J1848" t="str">
            <v>WAITING SORE CRANE</v>
          </cell>
          <cell r="L1848">
            <v>0.18819444444444444</v>
          </cell>
          <cell r="M1848" t="str">
            <v>LOADING S30 SLING BAGS</v>
          </cell>
          <cell r="O1848">
            <v>0.17569444444444443</v>
          </cell>
          <cell r="P1848" t="str">
            <v>WAITING MATERIAL</v>
          </cell>
          <cell r="U1848">
            <v>0.17569444444444443</v>
          </cell>
          <cell r="V1848" t="str">
            <v>WAITING MATERIAL</v>
          </cell>
          <cell r="AD1848">
            <v>0.17569444444444443</v>
          </cell>
          <cell r="AE1848" t="str">
            <v>WAITING MATERIAL</v>
          </cell>
        </row>
        <row r="1849">
          <cell r="I1849">
            <v>0.22222222222222221</v>
          </cell>
          <cell r="J1849" t="str">
            <v>WAITING SORE CRANE</v>
          </cell>
          <cell r="L1849">
            <v>0.22291666666666668</v>
          </cell>
          <cell r="M1849" t="str">
            <v>LOADING  S26 SLING BAGS</v>
          </cell>
          <cell r="O1849">
            <v>0.22222222222222221</v>
          </cell>
          <cell r="P1849" t="str">
            <v>WAITING MATERIAL</v>
          </cell>
          <cell r="U1849">
            <v>0.21875</v>
          </cell>
          <cell r="V1849" t="str">
            <v>WAITING MATERIAL</v>
          </cell>
          <cell r="AD1849">
            <v>0.22291666666666668</v>
          </cell>
          <cell r="AE1849" t="str">
            <v>WAITING MATERIAL</v>
          </cell>
        </row>
        <row r="1850">
          <cell r="J1850" t="str">
            <v>EASTERN CEBU</v>
          </cell>
          <cell r="M1850" t="str">
            <v>LADY OF PEACE</v>
          </cell>
          <cell r="P1850" t="str">
            <v>EMERALD STAR</v>
          </cell>
          <cell r="S1850" t="str">
            <v xml:space="preserve">  </v>
          </cell>
          <cell r="V1850" t="str">
            <v>JERIC JAY</v>
          </cell>
          <cell r="Y1850" t="str">
            <v>LADY ARMOR</v>
          </cell>
          <cell r="AB1850" t="str">
            <v>LADY OF ROSARY</v>
          </cell>
          <cell r="AE1850" t="str">
            <v>EFG 5</v>
          </cell>
        </row>
        <row r="1851">
          <cell r="I1851">
            <v>0.29166666666666669</v>
          </cell>
          <cell r="J1851" t="str">
            <v>KY TOOLBOX</v>
          </cell>
          <cell r="L1851">
            <v>0.29166666666666669</v>
          </cell>
          <cell r="M1851" t="str">
            <v>KY TOOLBOX</v>
          </cell>
          <cell r="O1851">
            <v>0.29166666666666669</v>
          </cell>
          <cell r="P1851" t="str">
            <v>KY TOOLBOX</v>
          </cell>
          <cell r="R1851" t="str">
            <v xml:space="preserve">  </v>
          </cell>
          <cell r="U1851">
            <v>0.29166666666666669</v>
          </cell>
          <cell r="V1851" t="str">
            <v>WAITING MATERIAL</v>
          </cell>
          <cell r="X1851">
            <v>0.29166666666666669</v>
          </cell>
          <cell r="Y1851" t="str">
            <v>NO BOOKING</v>
          </cell>
          <cell r="AA1851">
            <v>0.29166666666666669</v>
          </cell>
          <cell r="AB1851" t="str">
            <v>WAITING MATERIAL</v>
          </cell>
          <cell r="AD1851">
            <v>0.29166666666666669</v>
          </cell>
          <cell r="AE1851" t="str">
            <v>FOR CRANE INSPECTION</v>
          </cell>
        </row>
        <row r="1852">
          <cell r="I1852">
            <v>0.33333333333333331</v>
          </cell>
          <cell r="J1852" t="str">
            <v>WAITING VESSEL CRANE OPERATOR</v>
          </cell>
          <cell r="L1852">
            <v>0.34652777777777777</v>
          </cell>
          <cell r="M1852" t="str">
            <v>LOADING SLING S57</v>
          </cell>
          <cell r="O1852">
            <v>0.33333333333333331</v>
          </cell>
          <cell r="P1852" t="str">
            <v>WAITING SLING</v>
          </cell>
          <cell r="U1852">
            <v>0.45555555555555555</v>
          </cell>
          <cell r="V1852" t="str">
            <v>LOADING LAST TRUCK L37</v>
          </cell>
          <cell r="X1852">
            <v>0.79166666666666663</v>
          </cell>
          <cell r="Y1852" t="str">
            <v>NO BOOKING</v>
          </cell>
          <cell r="AA1852">
            <v>0.44097222222222221</v>
          </cell>
          <cell r="AB1852" t="str">
            <v>COMMENCE LOADING S42</v>
          </cell>
          <cell r="AD1852">
            <v>0.79166666666666663</v>
          </cell>
          <cell r="AE1852" t="str">
            <v>FOR CRANE INSPECTION</v>
          </cell>
        </row>
        <row r="1853">
          <cell r="I1853">
            <v>0.39305555555555555</v>
          </cell>
          <cell r="J1853" t="str">
            <v>LOADING SLING S35</v>
          </cell>
          <cell r="L1853">
            <v>0.38194444444444442</v>
          </cell>
          <cell r="M1853" t="str">
            <v>LOADING SLING L17</v>
          </cell>
          <cell r="O1853">
            <v>0.54166666666666663</v>
          </cell>
          <cell r="P1853" t="str">
            <v>WAITING PORTLAND SLING</v>
          </cell>
          <cell r="U1853">
            <v>0.46527777777777779</v>
          </cell>
          <cell r="V1853" t="str">
            <v>LOADING COMPLETE</v>
          </cell>
          <cell r="AA1853">
            <v>0.46250000000000002</v>
          </cell>
          <cell r="AB1853" t="str">
            <v>LOADING SLING S48</v>
          </cell>
        </row>
        <row r="1854">
          <cell r="I1854">
            <v>0.5</v>
          </cell>
          <cell r="J1854" t="str">
            <v>LUNCHBREAK</v>
          </cell>
          <cell r="L1854">
            <v>0.3888888888888889</v>
          </cell>
          <cell r="M1854" t="str">
            <v>STOP LOADING DUE TO SWELL</v>
          </cell>
          <cell r="O1854">
            <v>0.59444444444444444</v>
          </cell>
          <cell r="P1854" t="str">
            <v>LOADING SLING S57</v>
          </cell>
          <cell r="V1854" t="str">
            <v>LADY OF DIVINE GRACE</v>
          </cell>
          <cell r="AA1854">
            <v>0.5</v>
          </cell>
          <cell r="AB1854" t="str">
            <v>LUNCHBREAK</v>
          </cell>
        </row>
        <row r="1855">
          <cell r="I1855">
            <v>0.54166666666666663</v>
          </cell>
          <cell r="J1855" t="str">
            <v xml:space="preserve">WAITING SLING </v>
          </cell>
          <cell r="L1855">
            <v>0.54166666666666663</v>
          </cell>
          <cell r="M1855" t="str">
            <v>UNSAFE TO LOAD / SWELL</v>
          </cell>
          <cell r="O1855">
            <v>0.61805555555555558</v>
          </cell>
          <cell r="P1855" t="str">
            <v>LOADING SLING S7</v>
          </cell>
          <cell r="U1855">
            <v>0.63541666666666663</v>
          </cell>
          <cell r="V1855" t="str">
            <v>SECURED @ BERTH 7</v>
          </cell>
          <cell r="AA1855">
            <v>0.56458333333333333</v>
          </cell>
          <cell r="AB1855" t="str">
            <v>LOADING SLING GEO1</v>
          </cell>
        </row>
        <row r="1856">
          <cell r="G1856" t="str">
            <v xml:space="preserve"> </v>
          </cell>
          <cell r="I1856">
            <v>0.58333333333333337</v>
          </cell>
          <cell r="J1856" t="str">
            <v>UNSAFE TO LOAD / SWELL</v>
          </cell>
          <cell r="L1856">
            <v>0.80208333333333337</v>
          </cell>
          <cell r="M1856" t="str">
            <v>KY TOOLBOX</v>
          </cell>
          <cell r="O1856">
            <v>0.67777777777777781</v>
          </cell>
          <cell r="P1856" t="str">
            <v>LOADING TONNER S40</v>
          </cell>
          <cell r="U1856">
            <v>0.64513888888888893</v>
          </cell>
          <cell r="V1856" t="str">
            <v>LOADING SLING S41</v>
          </cell>
          <cell r="AA1856">
            <v>0.61041666666666672</v>
          </cell>
          <cell r="AB1856" t="str">
            <v>LOADING SLING L17</v>
          </cell>
        </row>
        <row r="1857">
          <cell r="I1857">
            <v>0.80208333333333337</v>
          </cell>
          <cell r="J1857" t="str">
            <v>KY TOOLBOX</v>
          </cell>
          <cell r="L1857">
            <v>0.82291666666666663</v>
          </cell>
          <cell r="M1857" t="str">
            <v>WAITING SORE CRANE</v>
          </cell>
          <cell r="O1857">
            <v>0.70763888888888893</v>
          </cell>
          <cell r="P1857" t="str">
            <v>COMPLETE LOADING</v>
          </cell>
          <cell r="U1857">
            <v>0.66805555555555551</v>
          </cell>
          <cell r="V1857" t="str">
            <v>LOADING SLING S22</v>
          </cell>
          <cell r="AA1857">
            <v>0.63194444444444442</v>
          </cell>
          <cell r="AB1857" t="str">
            <v>LOADING SLING L7</v>
          </cell>
        </row>
        <row r="1858">
          <cell r="I1858">
            <v>0.81944444444444442</v>
          </cell>
          <cell r="J1858" t="str">
            <v>UNSAFE TO LOAD / SWELL</v>
          </cell>
          <cell r="L1858">
            <v>0.84861111111111109</v>
          </cell>
          <cell r="M1858" t="str">
            <v>UNSAFE TO LOAD / SWELL</v>
          </cell>
          <cell r="U1858">
            <v>0.69513888888888886</v>
          </cell>
          <cell r="V1858" t="str">
            <v>LOADING SLING S30</v>
          </cell>
          <cell r="AA1858">
            <v>0.67708333333333337</v>
          </cell>
          <cell r="AB1858" t="str">
            <v>LOADING SLING S51</v>
          </cell>
        </row>
        <row r="1859">
          <cell r="I1859">
            <v>0.84861111111111109</v>
          </cell>
          <cell r="J1859" t="str">
            <v>LOADING G5 SLING BAGS</v>
          </cell>
          <cell r="L1859">
            <v>0.88958333333333328</v>
          </cell>
          <cell r="M1859" t="str">
            <v>UNSAFE TO LOAD / SWELL</v>
          </cell>
          <cell r="U1859">
            <v>0.72013888888888888</v>
          </cell>
          <cell r="V1859" t="str">
            <v>LOADING SLING S48</v>
          </cell>
          <cell r="AA1859">
            <v>0.69861111111111107</v>
          </cell>
          <cell r="AB1859" t="str">
            <v>LOADING SLING S59</v>
          </cell>
        </row>
        <row r="1860">
          <cell r="I1860">
            <v>0.91041666666666665</v>
          </cell>
          <cell r="J1860" t="str">
            <v>LOADING L37 SLING BAGS</v>
          </cell>
          <cell r="L1860">
            <v>0.93263888888888891</v>
          </cell>
          <cell r="M1860" t="str">
            <v>LOADING S53 SLING BAGS</v>
          </cell>
          <cell r="U1860">
            <v>0.80208333333333337</v>
          </cell>
          <cell r="V1860" t="str">
            <v>KY TOOLBOX</v>
          </cell>
          <cell r="AA1860">
            <v>0.72013888888888888</v>
          </cell>
          <cell r="AB1860" t="str">
            <v>LOADING SLING S3</v>
          </cell>
        </row>
        <row r="1861">
          <cell r="I1861">
            <v>0.95416666666666672</v>
          </cell>
          <cell r="J1861" t="str">
            <v>LOADING S4 SLING BAGS</v>
          </cell>
          <cell r="L1861">
            <v>0.95833333333333337</v>
          </cell>
          <cell r="M1861" t="str">
            <v>LOADING S32 SLING BAGS</v>
          </cell>
          <cell r="U1861">
            <v>0.82152777777777775</v>
          </cell>
          <cell r="V1861" t="str">
            <v xml:space="preserve">LOADING </v>
          </cell>
          <cell r="AA1861">
            <v>0.80208333333333337</v>
          </cell>
          <cell r="AB1861" t="str">
            <v>KY TOOLBOX</v>
          </cell>
        </row>
        <row r="1862">
          <cell r="I1862">
            <v>0.97222222222222221</v>
          </cell>
          <cell r="J1862" t="str">
            <v>LOADING S57 SLING BAGS</v>
          </cell>
          <cell r="L1862">
            <v>1.5277777777777777E-2</v>
          </cell>
          <cell r="M1862" t="str">
            <v>LOADING G3 SLING BAGS</v>
          </cell>
          <cell r="U1862">
            <v>0.85069444444444442</v>
          </cell>
          <cell r="V1862" t="str">
            <v>LOADING S7 TONNER BAGS</v>
          </cell>
          <cell r="AA1862">
            <v>0.81597222222222221</v>
          </cell>
          <cell r="AB1862" t="str">
            <v>LOADING S5 SLING BAGS</v>
          </cell>
        </row>
        <row r="1863">
          <cell r="I1863">
            <v>6.25E-2</v>
          </cell>
          <cell r="J1863" t="str">
            <v>LOADING S24 SLING BAGS</v>
          </cell>
          <cell r="L1863">
            <v>5.1388888888888887E-2</v>
          </cell>
          <cell r="M1863" t="str">
            <v>LOADING G4 SLING BAGS</v>
          </cell>
          <cell r="U1863">
            <v>0.88055555555555554</v>
          </cell>
          <cell r="V1863" t="str">
            <v>LOADING S24 TONNER BAGS</v>
          </cell>
          <cell r="AA1863">
            <v>0.85763888888888884</v>
          </cell>
          <cell r="AB1863" t="str">
            <v>LOADING S39 SLING BAGS</v>
          </cell>
        </row>
        <row r="1864">
          <cell r="I1864">
            <v>9.8611111111111108E-2</v>
          </cell>
          <cell r="J1864" t="str">
            <v>LOADING S49 SLING BAGS</v>
          </cell>
          <cell r="L1864">
            <v>8.7499999999999994E-2</v>
          </cell>
          <cell r="M1864" t="str">
            <v>LOADING S58 SLING BAGS</v>
          </cell>
          <cell r="U1864">
            <v>0.93888888888888888</v>
          </cell>
          <cell r="V1864" t="str">
            <v>LOADING S36 SLING BAGS</v>
          </cell>
          <cell r="AA1864">
            <v>0.90138888888888891</v>
          </cell>
          <cell r="AB1864" t="str">
            <v>LOADING S47 SLING BAGS</v>
          </cell>
        </row>
        <row r="1865">
          <cell r="I1865">
            <v>0.13680555555555557</v>
          </cell>
          <cell r="J1865" t="str">
            <v>WAITING SORE CRANE</v>
          </cell>
          <cell r="L1865">
            <v>0.14027777777777778</v>
          </cell>
          <cell r="M1865" t="str">
            <v>COMPLETE LOADING</v>
          </cell>
          <cell r="U1865">
            <v>0.96388888888888891</v>
          </cell>
          <cell r="V1865" t="str">
            <v>LOADING G2 TONNER BAGS</v>
          </cell>
          <cell r="AA1865">
            <v>0.94791666666666663</v>
          </cell>
          <cell r="AB1865" t="str">
            <v>LOADING S45 SLING BAGS</v>
          </cell>
        </row>
        <row r="1866">
          <cell r="I1866">
            <v>0.18958333333333333</v>
          </cell>
          <cell r="J1866" t="str">
            <v>LOADING L48 SLING BAGS</v>
          </cell>
          <cell r="U1866">
            <v>1.5277777777777777E-2</v>
          </cell>
          <cell r="V1866" t="str">
            <v>LOADING S8 TONNER BAGS</v>
          </cell>
          <cell r="AA1866">
            <v>0.98333333333333328</v>
          </cell>
          <cell r="AB1866" t="str">
            <v>LOADING S27</v>
          </cell>
        </row>
        <row r="1867">
          <cell r="I1867">
            <v>0.21666666666666667</v>
          </cell>
          <cell r="J1867" t="str">
            <v>LOADING S37 SLING BAGS</v>
          </cell>
          <cell r="U1867">
            <v>5.2777777777777778E-2</v>
          </cell>
          <cell r="V1867" t="str">
            <v>COMPLETE LOADING</v>
          </cell>
          <cell r="AA1867">
            <v>1.5972222222222221E-2</v>
          </cell>
          <cell r="AB1867" t="str">
            <v>LOADING S38 SLING BAGS</v>
          </cell>
        </row>
        <row r="1868">
          <cell r="AA1868">
            <v>5.6944444444444443E-2</v>
          </cell>
          <cell r="AB1868" t="str">
            <v>LOADING S55 SLING BAGS</v>
          </cell>
        </row>
        <row r="1869">
          <cell r="AA1869">
            <v>0.10138888888888889</v>
          </cell>
          <cell r="AB1869" t="str">
            <v>LOADING S51 SLING BAGS</v>
          </cell>
        </row>
        <row r="1870">
          <cell r="AA1870">
            <v>0.12569444444444444</v>
          </cell>
          <cell r="AB1870" t="str">
            <v>COMPLETE LOADING</v>
          </cell>
        </row>
        <row r="1871">
          <cell r="J1871" t="str">
            <v>EASTERN CEBU</v>
          </cell>
          <cell r="L1871" t="str">
            <v xml:space="preserve">  </v>
          </cell>
          <cell r="M1871" t="str">
            <v xml:space="preserve">  </v>
          </cell>
          <cell r="O1871" t="str">
            <v xml:space="preserve">  </v>
          </cell>
          <cell r="P1871" t="str">
            <v>JOHANNHA 5</v>
          </cell>
          <cell r="R1871" t="str">
            <v xml:space="preserve">  </v>
          </cell>
          <cell r="S1871" t="str">
            <v>NAPOLI</v>
          </cell>
          <cell r="U1871" t="str">
            <v xml:space="preserve"> </v>
          </cell>
          <cell r="V1871" t="str">
            <v xml:space="preserve">  </v>
          </cell>
          <cell r="Y1871" t="str">
            <v>LADY ARMOR</v>
          </cell>
          <cell r="AA1871" t="str">
            <v xml:space="preserve">  </v>
          </cell>
          <cell r="AB1871" t="str">
            <v xml:space="preserve">  </v>
          </cell>
          <cell r="AE1871" t="str">
            <v>EFG 5</v>
          </cell>
          <cell r="AG1871" t="str">
            <v xml:space="preserve"> </v>
          </cell>
          <cell r="AH1871" t="str">
            <v xml:space="preserve">  </v>
          </cell>
        </row>
        <row r="1872">
          <cell r="I1872">
            <v>0.29166666666666669</v>
          </cell>
          <cell r="J1872" t="str">
            <v>KY TOOLBOX</v>
          </cell>
          <cell r="O1872">
            <v>0.79166666666666663</v>
          </cell>
          <cell r="P1872" t="str">
            <v>WAITING MATERIAL</v>
          </cell>
          <cell r="R1872">
            <v>0.29166666666666669</v>
          </cell>
          <cell r="S1872" t="str">
            <v>NEW VESSEL</v>
          </cell>
          <cell r="X1872">
            <v>0.29166666666666669</v>
          </cell>
          <cell r="Y1872" t="str">
            <v>NO BOOKING</v>
          </cell>
          <cell r="AD1872">
            <v>0.29166666666666669</v>
          </cell>
          <cell r="AE1872" t="str">
            <v>WAITING MATERIAL</v>
          </cell>
        </row>
        <row r="1873">
          <cell r="I1873">
            <v>0.36944444444444446</v>
          </cell>
          <cell r="J1873" t="str">
            <v>LOADING SLING S24</v>
          </cell>
          <cell r="O1873">
            <v>0.83333333333333337</v>
          </cell>
          <cell r="P1873" t="str">
            <v>WAITING MATERIAL</v>
          </cell>
          <cell r="R1873">
            <v>0.70833333333333337</v>
          </cell>
          <cell r="S1873" t="str">
            <v>UNSAFE TO LOAD / SWELL</v>
          </cell>
          <cell r="X1873">
            <v>0.79166666666666663</v>
          </cell>
          <cell r="Y1873" t="str">
            <v>NO BOOKING</v>
          </cell>
          <cell r="AD1873">
            <v>0.70833333333333337</v>
          </cell>
          <cell r="AE1873" t="str">
            <v>OPENING HATCH</v>
          </cell>
        </row>
        <row r="1874">
          <cell r="I1874">
            <v>0.37847222222222221</v>
          </cell>
          <cell r="J1874" t="str">
            <v>WAITING SLING PREMUM</v>
          </cell>
          <cell r="O1874">
            <v>0.875</v>
          </cell>
          <cell r="P1874" t="str">
            <v>WAITING MATERIAL</v>
          </cell>
          <cell r="R1874">
            <v>0.8125</v>
          </cell>
          <cell r="S1874" t="str">
            <v>LOADING SLING BAGS</v>
          </cell>
          <cell r="AD1874">
            <v>0.72152777777777777</v>
          </cell>
          <cell r="AE1874" t="str">
            <v>COMMENCE LOADING S24</v>
          </cell>
        </row>
        <row r="1875">
          <cell r="I1875">
            <v>0.43402777777777779</v>
          </cell>
          <cell r="J1875" t="str">
            <v>LOADING SLING L39</v>
          </cell>
          <cell r="O1875">
            <v>0.91666666666666663</v>
          </cell>
          <cell r="P1875" t="str">
            <v>WAITING MATERIAL</v>
          </cell>
          <cell r="R1875">
            <v>0.84027777777777779</v>
          </cell>
          <cell r="S1875" t="str">
            <v>LOADING S50 SLING BAGS</v>
          </cell>
          <cell r="AD1875">
            <v>0.81597222222222221</v>
          </cell>
          <cell r="AE1875" t="str">
            <v>LOADING L31 SLING BAGS</v>
          </cell>
        </row>
        <row r="1876">
          <cell r="I1876">
            <v>0.44930555555555557</v>
          </cell>
          <cell r="J1876" t="str">
            <v>LOADING SLING S60</v>
          </cell>
          <cell r="O1876">
            <v>0.95833333333333337</v>
          </cell>
          <cell r="P1876" t="str">
            <v>WAITING MATERIAL</v>
          </cell>
          <cell r="R1876">
            <v>0.89722222222222225</v>
          </cell>
          <cell r="S1876" t="str">
            <v>LOADING S8 SLING BAGS</v>
          </cell>
          <cell r="AD1876">
            <v>0.84791666666666665</v>
          </cell>
          <cell r="AE1876" t="str">
            <v>LOADING S3 SLING BAGS</v>
          </cell>
        </row>
        <row r="1877">
          <cell r="I1877">
            <v>0.5</v>
          </cell>
          <cell r="J1877" t="str">
            <v>LUNCHBREAK</v>
          </cell>
          <cell r="O1877">
            <v>6.9444444444444447E-4</v>
          </cell>
          <cell r="P1877" t="str">
            <v>WAITING MATERIAL</v>
          </cell>
          <cell r="R1877">
            <v>0.92569444444444449</v>
          </cell>
          <cell r="S1877" t="str">
            <v>LOADING S5 SLING BAGS</v>
          </cell>
          <cell r="AD1877">
            <v>0.87569444444444444</v>
          </cell>
          <cell r="AE1877" t="str">
            <v>LOADING L48 SLING BAGS</v>
          </cell>
        </row>
        <row r="1878">
          <cell r="I1878">
            <v>0.54166666666666663</v>
          </cell>
          <cell r="J1878" t="str">
            <v>VESSEL BUNKERING</v>
          </cell>
          <cell r="O1878">
            <v>8.4027777777777785E-2</v>
          </cell>
          <cell r="P1878" t="str">
            <v>WAITING MATERIAL</v>
          </cell>
          <cell r="R1878">
            <v>0.97777777777777775</v>
          </cell>
          <cell r="S1878" t="str">
            <v>LOADING S43 SLING BAGS</v>
          </cell>
          <cell r="AD1878">
            <v>0.92291666666666672</v>
          </cell>
          <cell r="AE1878" t="str">
            <v>LOADING S2 SLING BAGS</v>
          </cell>
        </row>
        <row r="1879">
          <cell r="I1879">
            <v>0.58333333333333337</v>
          </cell>
          <cell r="J1879" t="str">
            <v>UNSAFE TO LOAD / SWELL</v>
          </cell>
          <cell r="O1879">
            <v>0.12569444444444444</v>
          </cell>
          <cell r="P1879" t="str">
            <v>COMMENCE LOADING S37 SLING BAGS</v>
          </cell>
          <cell r="R1879">
            <v>2.013888888888889E-2</v>
          </cell>
          <cell r="S1879" t="str">
            <v>LOADING S37 SLING BAGS</v>
          </cell>
          <cell r="AD1879">
            <v>0.95972222222222225</v>
          </cell>
          <cell r="AE1879" t="str">
            <v>LOADING S27 SLING BAGS</v>
          </cell>
        </row>
        <row r="1880">
          <cell r="I1880">
            <v>0.625</v>
          </cell>
          <cell r="J1880" t="str">
            <v>UNSAFE TO LOAD / SWELL</v>
          </cell>
          <cell r="O1880">
            <v>0.19305555555555556</v>
          </cell>
          <cell r="P1880" t="str">
            <v>LOADING S24 SLING BAGS</v>
          </cell>
          <cell r="AD1880">
            <v>1.5277777777777777E-2</v>
          </cell>
          <cell r="AE1880" t="str">
            <v>LOADING B5 SLING BAGS</v>
          </cell>
        </row>
        <row r="1881">
          <cell r="I1881">
            <v>0.71597222222222223</v>
          </cell>
          <cell r="J1881" t="str">
            <v>LOADING SLING S59</v>
          </cell>
          <cell r="AD1881">
            <v>4.3055555555555555E-2</v>
          </cell>
          <cell r="AE1881" t="str">
            <v>LOADING S32 SLING BAGS</v>
          </cell>
        </row>
        <row r="1882">
          <cell r="I1882">
            <v>0.8125</v>
          </cell>
          <cell r="J1882" t="str">
            <v>LOADING SLING BAGS</v>
          </cell>
          <cell r="AD1882">
            <v>8.3333333333333329E-2</v>
          </cell>
          <cell r="AE1882" t="str">
            <v>LOADING S3 SLING BAGS</v>
          </cell>
        </row>
        <row r="1883">
          <cell r="I1883">
            <v>0.86250000000000004</v>
          </cell>
          <cell r="J1883" t="str">
            <v>LOADING S56 TONNER BAGS</v>
          </cell>
          <cell r="AD1883">
            <v>0.125</v>
          </cell>
          <cell r="AE1883" t="str">
            <v>LOADING S22 SLING BAGS</v>
          </cell>
        </row>
        <row r="1884">
          <cell r="I1884">
            <v>0.89236111111111116</v>
          </cell>
          <cell r="J1884" t="str">
            <v>LOADING G1 TONNER BAGS</v>
          </cell>
          <cell r="AD1884">
            <v>0.1673611111111111</v>
          </cell>
          <cell r="AE1884" t="str">
            <v>LOADING L52 SLING BAGS</v>
          </cell>
        </row>
        <row r="1885">
          <cell r="I1885">
            <v>0.92361111111111116</v>
          </cell>
          <cell r="J1885" t="str">
            <v>LOADING TONNER BAGS</v>
          </cell>
        </row>
        <row r="1886">
          <cell r="I1886">
            <v>0.99791666666666667</v>
          </cell>
          <cell r="J1886" t="str">
            <v>LOADING S4 TONNER BAGS</v>
          </cell>
        </row>
        <row r="1887">
          <cell r="I1887">
            <v>3.8194444444444448E-2</v>
          </cell>
          <cell r="J1887" t="str">
            <v>LOADING S7 TONNER BAGS</v>
          </cell>
        </row>
        <row r="1888">
          <cell r="I1888">
            <v>5.7638888888888892E-2</v>
          </cell>
          <cell r="J1888" t="str">
            <v>LOADING S41 TONNER BAGS</v>
          </cell>
        </row>
        <row r="1889">
          <cell r="I1889">
            <v>0.1</v>
          </cell>
          <cell r="J1889" t="str">
            <v>LOADING S48 SLING BAGS</v>
          </cell>
        </row>
        <row r="1890">
          <cell r="I1890">
            <v>0.13541666666666666</v>
          </cell>
          <cell r="J1890" t="str">
            <v>LOADING S57 SLING BAGS</v>
          </cell>
        </row>
        <row r="1891">
          <cell r="I1891">
            <v>0.1736111111111111</v>
          </cell>
          <cell r="J1891" t="str">
            <v>LOADING L7 TONNER BAGS</v>
          </cell>
        </row>
        <row r="1892">
          <cell r="I1892">
            <v>0.22291666666666668</v>
          </cell>
          <cell r="J1892" t="str">
            <v>LOADING L5 SLING BAGS</v>
          </cell>
        </row>
        <row r="1893">
          <cell r="G1893" t="str">
            <v>JOHANNAH 7</v>
          </cell>
          <cell r="J1893" t="str">
            <v xml:space="preserve"> </v>
          </cell>
          <cell r="P1893" t="str">
            <v>JOHANNAH 5</v>
          </cell>
          <cell r="S1893" t="str">
            <v>NAPOLI</v>
          </cell>
          <cell r="V1893" t="str">
            <v>LADY OF REMEDY</v>
          </cell>
          <cell r="Y1893" t="str">
            <v>LADY ARMOR</v>
          </cell>
          <cell r="AE1893" t="str">
            <v>EFG 5</v>
          </cell>
        </row>
        <row r="1894">
          <cell r="F1894">
            <v>0.79166666666666663</v>
          </cell>
          <cell r="G1894" t="str">
            <v>WAITING MATERIAL</v>
          </cell>
          <cell r="I1894" t="str">
            <v xml:space="preserve">  </v>
          </cell>
          <cell r="J1894" t="str">
            <v xml:space="preserve"> </v>
          </cell>
          <cell r="O1894">
            <v>0.29166666666666669</v>
          </cell>
          <cell r="P1894" t="str">
            <v>WAITING MATERIAL</v>
          </cell>
          <cell r="R1894">
            <v>0.29166666666666669</v>
          </cell>
          <cell r="S1894" t="str">
            <v>KY TOOLBOX</v>
          </cell>
          <cell r="U1894">
            <v>0.79166666666666663</v>
          </cell>
          <cell r="V1894" t="str">
            <v>NO BOOKING</v>
          </cell>
          <cell r="X1894">
            <v>0.29166666666666669</v>
          </cell>
          <cell r="Y1894" t="str">
            <v>NO BOOKING</v>
          </cell>
          <cell r="AD1894">
            <v>0.29166666666666669</v>
          </cell>
          <cell r="AE1894" t="str">
            <v>KY TOOLBOX</v>
          </cell>
        </row>
        <row r="1895">
          <cell r="F1895">
            <v>0.95277777777777772</v>
          </cell>
          <cell r="G1895" t="str">
            <v>LOADING S27 SLING BAGS</v>
          </cell>
          <cell r="J1895" t="str">
            <v xml:space="preserve"> </v>
          </cell>
          <cell r="O1895">
            <v>0.39583333333333331</v>
          </cell>
          <cell r="P1895" t="str">
            <v>ONBOARD FORKLIFT</v>
          </cell>
          <cell r="R1895">
            <v>0.33333333333333331</v>
          </cell>
          <cell r="S1895" t="str">
            <v>LOADING SLING S42</v>
          </cell>
          <cell r="U1895">
            <v>7.7777777777777779E-2</v>
          </cell>
          <cell r="V1895" t="str">
            <v>LOADING L39 SLING BAGS</v>
          </cell>
          <cell r="X1895">
            <v>0.79166666666666663</v>
          </cell>
          <cell r="Y1895" t="str">
            <v>NO BOOKING</v>
          </cell>
          <cell r="AD1895">
            <v>0.35416666666666669</v>
          </cell>
          <cell r="AE1895" t="str">
            <v>LOADING SLING B5</v>
          </cell>
        </row>
        <row r="1896">
          <cell r="F1896">
            <v>0.98888888888888893</v>
          </cell>
          <cell r="G1896" t="str">
            <v>LOADING S60 SLING BAGS</v>
          </cell>
          <cell r="O1896">
            <v>0.41805555555555557</v>
          </cell>
          <cell r="P1896" t="str">
            <v>COMMENCE LOADING S22</v>
          </cell>
          <cell r="R1896">
            <v>0.37013888888888891</v>
          </cell>
          <cell r="S1896" t="str">
            <v>LOADING SLING S21</v>
          </cell>
          <cell r="U1896">
            <v>0.1076388888888889</v>
          </cell>
          <cell r="V1896" t="str">
            <v>LOADING S9 SLING BAGS</v>
          </cell>
          <cell r="AD1896">
            <v>0.34097222222222223</v>
          </cell>
          <cell r="AE1896" t="str">
            <v>LOADING SLING S45</v>
          </cell>
        </row>
        <row r="1897">
          <cell r="F1897">
            <v>1.1111111111111112E-2</v>
          </cell>
          <cell r="G1897" t="str">
            <v>LOADINGL37 SLING BAGS</v>
          </cell>
          <cell r="O1897">
            <v>0.43333333333333335</v>
          </cell>
          <cell r="P1897" t="str">
            <v>LOADING SLING F1</v>
          </cell>
          <cell r="R1897">
            <v>0.39374999999999999</v>
          </cell>
          <cell r="S1897" t="str">
            <v>LOADING SLING S7</v>
          </cell>
          <cell r="U1897">
            <v>0.13055555555555556</v>
          </cell>
          <cell r="V1897" t="str">
            <v>LOADING S53 SLING BAGS</v>
          </cell>
          <cell r="AD1897">
            <v>0.37847222222222221</v>
          </cell>
          <cell r="AE1897" t="str">
            <v>LOADING SLING SL37</v>
          </cell>
        </row>
        <row r="1898">
          <cell r="F1898">
            <v>5.6944444444444443E-2</v>
          </cell>
          <cell r="G1898" t="str">
            <v>LOADING S43 SLING BAGS</v>
          </cell>
          <cell r="O1898">
            <v>0.47013888888888888</v>
          </cell>
          <cell r="P1898" t="str">
            <v>LOADING SLING A17</v>
          </cell>
          <cell r="R1898">
            <v>0.42638888888888887</v>
          </cell>
          <cell r="S1898" t="str">
            <v>LOADING SLING S60</v>
          </cell>
          <cell r="U1898">
            <v>0.17708333333333334</v>
          </cell>
          <cell r="V1898" t="str">
            <v>LOADING S31 SLING BAGS</v>
          </cell>
          <cell r="AD1898">
            <v>0.39166666666666666</v>
          </cell>
          <cell r="AE1898" t="str">
            <v>LOADING SLING GEO 4</v>
          </cell>
        </row>
        <row r="1899">
          <cell r="F1899">
            <v>0.10069444444444445</v>
          </cell>
          <cell r="G1899" t="str">
            <v>LOADING S10 SLING BAGS</v>
          </cell>
          <cell r="O1899">
            <v>0.5</v>
          </cell>
          <cell r="P1899" t="str">
            <v>LUNCHBREAK</v>
          </cell>
          <cell r="R1899">
            <v>0.44444444444444442</v>
          </cell>
          <cell r="S1899" t="str">
            <v>LOADING SLING L47</v>
          </cell>
          <cell r="U1899">
            <v>0.21944444444444444</v>
          </cell>
          <cell r="V1899" t="str">
            <v>LOADING S29 SLING BAGS</v>
          </cell>
          <cell r="AD1899">
            <v>0.42777777777777776</v>
          </cell>
          <cell r="AE1899" t="str">
            <v>LOADING SLING S2</v>
          </cell>
        </row>
        <row r="1900">
          <cell r="F1900" t="str">
            <v>3::37</v>
          </cell>
          <cell r="G1900" t="str">
            <v>LOADING S3 SLING BAGS</v>
          </cell>
          <cell r="O1900">
            <v>0.54166666666666663</v>
          </cell>
          <cell r="P1900" t="str">
            <v>UNSAFE TO LOAD / SWELL</v>
          </cell>
          <cell r="R1900">
            <v>0.5</v>
          </cell>
          <cell r="S1900" t="str">
            <v>LUNCHBREAK</v>
          </cell>
          <cell r="AD1900">
            <v>0.45416666666666666</v>
          </cell>
          <cell r="AE1900" t="str">
            <v>LOADING SLING L50</v>
          </cell>
        </row>
        <row r="1901">
          <cell r="F1901">
            <v>0.18958333333333333</v>
          </cell>
          <cell r="G1901" t="str">
            <v>LOADING G4 SLING BAGS</v>
          </cell>
          <cell r="O1901">
            <v>0.57916666666666672</v>
          </cell>
          <cell r="P1901" t="str">
            <v>LOADING SLING GEO 5</v>
          </cell>
          <cell r="R1901">
            <v>0.54166666666666663</v>
          </cell>
          <cell r="S1901" t="str">
            <v>UNSAFE TO LOAD / SWELL</v>
          </cell>
          <cell r="AD1901">
            <v>0.5</v>
          </cell>
          <cell r="AE1901" t="str">
            <v>LUNCHBREAK</v>
          </cell>
        </row>
        <row r="1902">
          <cell r="O1902">
            <v>0.6020833333333333</v>
          </cell>
          <cell r="P1902" t="str">
            <v>LOADING SLING S43</v>
          </cell>
          <cell r="R1902">
            <v>0.70833333333333337</v>
          </cell>
          <cell r="S1902" t="str">
            <v>LOADING SLING L49</v>
          </cell>
          <cell r="AD1902">
            <v>0.54166666666666663</v>
          </cell>
          <cell r="AE1902" t="str">
            <v>UNSAFE TO LOAD / SWELL</v>
          </cell>
        </row>
        <row r="1903">
          <cell r="O1903">
            <v>0.625</v>
          </cell>
          <cell r="P1903" t="str">
            <v>LOADING SLING S49</v>
          </cell>
          <cell r="R1903">
            <v>0.79166666666666663</v>
          </cell>
          <cell r="S1903" t="str">
            <v>KY TOOLBOX</v>
          </cell>
          <cell r="AD1903">
            <v>0.8125</v>
          </cell>
          <cell r="AE1903" t="str">
            <v>LOADING S26 SLING BAGS</v>
          </cell>
        </row>
        <row r="1904">
          <cell r="O1904">
            <v>0.66388888888888886</v>
          </cell>
          <cell r="P1904" t="str">
            <v>LOADING SLING GEO 3</v>
          </cell>
          <cell r="R1904">
            <v>0.80555555555555558</v>
          </cell>
          <cell r="S1904" t="str">
            <v>LOADING S38 SLING BAGS</v>
          </cell>
          <cell r="AD1904">
            <v>0.85</v>
          </cell>
          <cell r="AE1904" t="str">
            <v>LOADING S55 SLING BAGS</v>
          </cell>
        </row>
        <row r="1905">
          <cell r="O1905">
            <v>0.68194444444444446</v>
          </cell>
          <cell r="P1905" t="str">
            <v>LOADING SLING S3</v>
          </cell>
          <cell r="R1905">
            <v>0.87986111111111109</v>
          </cell>
          <cell r="S1905" t="str">
            <v>LOADING S35 SLING  BAGS</v>
          </cell>
          <cell r="AD1905">
            <v>0.87916666666666665</v>
          </cell>
          <cell r="AE1905" t="str">
            <v>LOADING S32 SLING BAGS</v>
          </cell>
        </row>
        <row r="1906">
          <cell r="O1906">
            <v>0.70833333333333337</v>
          </cell>
          <cell r="P1906" t="str">
            <v>LOADING SLING S27</v>
          </cell>
          <cell r="R1906">
            <v>0.94305555555555554</v>
          </cell>
          <cell r="S1906" t="str">
            <v>LOADING S29 SLING BAGS</v>
          </cell>
          <cell r="AD1906">
            <v>0.92708333333333337</v>
          </cell>
          <cell r="AE1906" t="str">
            <v>LOADING S9 SLING BAGS</v>
          </cell>
        </row>
        <row r="1907">
          <cell r="O1907">
            <v>0.79166666666666663</v>
          </cell>
          <cell r="P1907" t="str">
            <v>KY TOOLBOX</v>
          </cell>
          <cell r="R1907">
            <v>0.97499999999999998</v>
          </cell>
          <cell r="S1907" t="str">
            <v>LOADING S30 SLING BAGS</v>
          </cell>
          <cell r="AD1907">
            <v>0.97499999999999998</v>
          </cell>
          <cell r="AE1907" t="str">
            <v>LOADING S56 SLING BAGS</v>
          </cell>
        </row>
        <row r="1908">
          <cell r="O1908">
            <v>0.80555555555555558</v>
          </cell>
          <cell r="P1908" t="str">
            <v>LOADING S53 SLING BAGS</v>
          </cell>
          <cell r="R1908">
            <v>1.5277777777777777E-2</v>
          </cell>
          <cell r="S1908" t="str">
            <v>LOADING S5 SLING BAGS</v>
          </cell>
          <cell r="AD1908">
            <v>4.1666666666666666E-3</v>
          </cell>
          <cell r="AE1908" t="str">
            <v>COMPLETE LOADING</v>
          </cell>
        </row>
        <row r="1909">
          <cell r="O1909">
            <v>0.8520833333333333</v>
          </cell>
          <cell r="P1909" t="str">
            <v>LOADING G2 SLING BAGS</v>
          </cell>
          <cell r="R1909">
            <v>5.1388888888888887E-2</v>
          </cell>
          <cell r="S1909" t="str">
            <v>LOADING S38 SLING BAGS</v>
          </cell>
          <cell r="AD1909" t="str">
            <v xml:space="preserve">  </v>
          </cell>
          <cell r="AE1909" t="str">
            <v xml:space="preserve">  </v>
          </cell>
        </row>
        <row r="1910">
          <cell r="O1910">
            <v>0.89166666666666672</v>
          </cell>
          <cell r="P1910" t="str">
            <v>LOADING S24 SLING BAGS</v>
          </cell>
          <cell r="R1910">
            <v>0.10208333333333333</v>
          </cell>
          <cell r="S1910" t="str">
            <v>LOADING S48 SLING BAGS</v>
          </cell>
        </row>
        <row r="1911">
          <cell r="O1911">
            <v>0.92777777777777781</v>
          </cell>
          <cell r="P1911" t="str">
            <v>LOADING S21 SLING BAGS</v>
          </cell>
          <cell r="R1911">
            <v>0.12847222222222221</v>
          </cell>
          <cell r="S1911" t="str">
            <v>LOADING S17 SLING BAGS</v>
          </cell>
        </row>
        <row r="1912">
          <cell r="O1912">
            <v>0.97986111111111107</v>
          </cell>
          <cell r="P1912" t="str">
            <v>LOADING L5 SLING BAGS</v>
          </cell>
          <cell r="R1912">
            <v>0.1673611111111111</v>
          </cell>
          <cell r="S1912" t="str">
            <v>LOADING S40 SLING BAGS</v>
          </cell>
        </row>
        <row r="1913">
          <cell r="O1913">
            <v>0.10138888888888889</v>
          </cell>
          <cell r="P1913" t="str">
            <v>COMPLETE LOADING</v>
          </cell>
          <cell r="R1913">
            <v>0.22777777777777777</v>
          </cell>
          <cell r="S1913" t="str">
            <v>LOADING S57 SLING BAGS</v>
          </cell>
        </row>
        <row r="1914">
          <cell r="G1914" t="str">
            <v>JOHANNAH 7</v>
          </cell>
          <cell r="O1914" t="str">
            <v xml:space="preserve">  </v>
          </cell>
          <cell r="P1914" t="str">
            <v>LADY OF COURAGE</v>
          </cell>
          <cell r="S1914" t="str">
            <v>NAPOLI</v>
          </cell>
          <cell r="V1914" t="str">
            <v>LADY OF REMEDY</v>
          </cell>
          <cell r="Y1914" t="str">
            <v>LADY ARMOR</v>
          </cell>
          <cell r="AB1914" t="str">
            <v>CHRISTIAN EDWARD</v>
          </cell>
          <cell r="AE1914" t="str">
            <v xml:space="preserve"> </v>
          </cell>
        </row>
        <row r="1915">
          <cell r="F1915">
            <v>0.29166666666666669</v>
          </cell>
          <cell r="G1915" t="str">
            <v>WAITING MATERIAL</v>
          </cell>
          <cell r="O1915">
            <v>0.87222222222222223</v>
          </cell>
          <cell r="P1915" t="str">
            <v>LOADING S2 SLING BAGS</v>
          </cell>
          <cell r="R1915">
            <v>0.29166666666666669</v>
          </cell>
          <cell r="S1915" t="str">
            <v>KY TOOLBOX</v>
          </cell>
          <cell r="U1915">
            <v>0.29166666666666669</v>
          </cell>
          <cell r="V1915" t="str">
            <v>KY TOOLBOX</v>
          </cell>
          <cell r="X1915">
            <v>0.29166666666666669</v>
          </cell>
          <cell r="Y1915" t="str">
            <v>NO BOOKING</v>
          </cell>
          <cell r="AA1915">
            <v>0.27638888888888891</v>
          </cell>
          <cell r="AB1915" t="str">
            <v>DOCKED &amp; SECURED</v>
          </cell>
        </row>
        <row r="1916">
          <cell r="F1916">
            <v>0.41666666666666669</v>
          </cell>
          <cell r="G1916" t="str">
            <v>UNSAFE TO LOAD / SWELL</v>
          </cell>
          <cell r="O1916">
            <v>0.99652777777777779</v>
          </cell>
          <cell r="P1916" t="str">
            <v>LOADING L47 SLING BAGS</v>
          </cell>
          <cell r="R1916">
            <v>0.33750000000000002</v>
          </cell>
          <cell r="S1916" t="str">
            <v>LOADING SLING S41</v>
          </cell>
          <cell r="U1916">
            <v>0.33819444444444446</v>
          </cell>
          <cell r="V1916" t="str">
            <v>LOADING SLING S37</v>
          </cell>
          <cell r="X1916">
            <v>0.79166666666666663</v>
          </cell>
          <cell r="Y1916" t="str">
            <v>NO BOOKING</v>
          </cell>
          <cell r="AA1916">
            <v>0.79166666666666663</v>
          </cell>
          <cell r="AB1916" t="str">
            <v>KY TOOLBOX</v>
          </cell>
        </row>
        <row r="1917">
          <cell r="F1917">
            <v>0.54166666666666663</v>
          </cell>
          <cell r="G1917" t="str">
            <v>UNSAFE TO LOAD / ROUGH SEA</v>
          </cell>
          <cell r="O1917">
            <v>6.5972222222222224E-2</v>
          </cell>
          <cell r="P1917" t="str">
            <v>LOADING S60 SLING BAGS</v>
          </cell>
          <cell r="R1917">
            <v>0.36458333333333331</v>
          </cell>
          <cell r="S1917" t="str">
            <v>WAITING MATERIAL LAST TRUCK</v>
          </cell>
          <cell r="U1917">
            <v>0.35</v>
          </cell>
          <cell r="V1917" t="str">
            <v>LOADING SLING S59</v>
          </cell>
          <cell r="X1917">
            <v>0.83333333333333337</v>
          </cell>
          <cell r="Y1917" t="str">
            <v>WAITING DELIVERY</v>
          </cell>
          <cell r="AA1917">
            <v>0.8125</v>
          </cell>
          <cell r="AB1917" t="str">
            <v>LOADING S24 SLING BAGS</v>
          </cell>
        </row>
        <row r="1918">
          <cell r="F1918">
            <v>0.79166666666666663</v>
          </cell>
          <cell r="G1918" t="str">
            <v>KY TOOLBOX</v>
          </cell>
          <cell r="O1918">
            <v>0.125</v>
          </cell>
          <cell r="P1918" t="str">
            <v>LOADING S36 SLING BAGS</v>
          </cell>
          <cell r="R1918">
            <v>0.58333333333333337</v>
          </cell>
          <cell r="S1918" t="str">
            <v xml:space="preserve">VESSEL BUNKERING </v>
          </cell>
          <cell r="U1918">
            <v>0.36319444444444443</v>
          </cell>
          <cell r="V1918" t="str">
            <v>LOADING SLING L47</v>
          </cell>
          <cell r="X1918">
            <v>0.87569444444444444</v>
          </cell>
          <cell r="Y1918" t="str">
            <v>NO LOADING  / SWELL</v>
          </cell>
          <cell r="AA1918">
            <v>0.85902777777777772</v>
          </cell>
          <cell r="AB1918" t="str">
            <v>LOADING A1 SLIGN BAGS</v>
          </cell>
        </row>
        <row r="1919">
          <cell r="F1919">
            <v>0.85833333333333328</v>
          </cell>
          <cell r="G1919" t="str">
            <v>LOADING A17 TONNER BAGS</v>
          </cell>
          <cell r="R1919">
            <v>0.61111111111111116</v>
          </cell>
          <cell r="S1919" t="str">
            <v>LOADING LAST TRUCK S36</v>
          </cell>
          <cell r="U1919">
            <v>0.40277777777777779</v>
          </cell>
          <cell r="V1919" t="str">
            <v>LOADING SLING S7</v>
          </cell>
          <cell r="X1919">
            <v>0.93263888888888891</v>
          </cell>
          <cell r="Y1919" t="str">
            <v>NO LOADING  / SWELL</v>
          </cell>
          <cell r="AA1919">
            <v>0.90694444444444444</v>
          </cell>
          <cell r="AB1919" t="str">
            <v>LOADING S37 SLING BAGS</v>
          </cell>
        </row>
        <row r="1920">
          <cell r="F1920">
            <v>0.89027777777777772</v>
          </cell>
          <cell r="G1920" t="str">
            <v>LOADING F1 TONNER BAGS</v>
          </cell>
          <cell r="R1920">
            <v>0.62708333333333333</v>
          </cell>
          <cell r="S1920" t="str">
            <v>LOADING COMPLETE</v>
          </cell>
          <cell r="U1920">
            <v>0.42916666666666664</v>
          </cell>
          <cell r="V1920" t="str">
            <v>LOADING SLING B5</v>
          </cell>
          <cell r="X1920">
            <v>0.95902777777777781</v>
          </cell>
          <cell r="Y1920" t="str">
            <v>NO LOADING  / SWELL</v>
          </cell>
          <cell r="AA1920">
            <v>0.94305555555555554</v>
          </cell>
          <cell r="AB1920" t="str">
            <v>LOADING S24 SLING BAGS</v>
          </cell>
        </row>
        <row r="1921">
          <cell r="F1921">
            <v>0.93263888888888891</v>
          </cell>
          <cell r="G1921" t="str">
            <v>LOADING F2 TONNER BAGS</v>
          </cell>
          <cell r="R1921" t="str">
            <v xml:space="preserve">  </v>
          </cell>
          <cell r="S1921" t="str">
            <v xml:space="preserve">  </v>
          </cell>
          <cell r="U1921">
            <v>0.44027777777777777</v>
          </cell>
          <cell r="V1921" t="str">
            <v>LOADING SLING S34</v>
          </cell>
          <cell r="X1921">
            <v>1.5277777777777777E-2</v>
          </cell>
          <cell r="Y1921" t="str">
            <v>NO LOADING  / SWELL</v>
          </cell>
          <cell r="AA1921">
            <v>0.96875</v>
          </cell>
          <cell r="AB1921" t="str">
            <v>LOADING S42 SLING BAGS</v>
          </cell>
        </row>
        <row r="1922">
          <cell r="F1922">
            <v>0.97430555555555554</v>
          </cell>
          <cell r="G1922" t="str">
            <v>LOADING B5 TONNER BAGS</v>
          </cell>
          <cell r="U1922">
            <v>0.45208333333333334</v>
          </cell>
          <cell r="V1922" t="str">
            <v>LOADING SLING S32</v>
          </cell>
          <cell r="X1922">
            <v>5.2083333333333336E-2</v>
          </cell>
          <cell r="Y1922" t="str">
            <v>NO LOADING  / SWELL</v>
          </cell>
          <cell r="AA1922">
            <v>1.5277777777777777E-2</v>
          </cell>
          <cell r="AB1922" t="str">
            <v>LOADING S51 SLING BAGS</v>
          </cell>
        </row>
        <row r="1923">
          <cell r="F1923">
            <v>1.6666666666666666E-2</v>
          </cell>
          <cell r="G1923" t="str">
            <v>LOADING S21 TONNER BAGS</v>
          </cell>
          <cell r="U1923">
            <v>0.5</v>
          </cell>
          <cell r="V1923" t="str">
            <v>LUNCHBREAK</v>
          </cell>
          <cell r="X1923">
            <v>0.10486111111111111</v>
          </cell>
          <cell r="Y1923" t="str">
            <v>NO LOADING  / SWELL</v>
          </cell>
          <cell r="AA1923">
            <v>7.013888888888889E-2</v>
          </cell>
          <cell r="AB1923" t="str">
            <v>LOADING S41 SLING BAGS</v>
          </cell>
        </row>
        <row r="1924">
          <cell r="F1924">
            <v>7.6388888888888895E-2</v>
          </cell>
          <cell r="G1924" t="str">
            <v>LOADING B5 TONNER BAGS</v>
          </cell>
          <cell r="U1924">
            <v>0.55972222222222223</v>
          </cell>
          <cell r="V1924" t="str">
            <v>LOADING SLING S24</v>
          </cell>
          <cell r="X1924">
            <v>0.1388888888888889</v>
          </cell>
          <cell r="Y1924" t="str">
            <v>NO LOADING  / SWELL</v>
          </cell>
          <cell r="AA1924">
            <v>9.7222222222222224E-2</v>
          </cell>
          <cell r="AB1924" t="str">
            <v>LOADING S9 SLING BAGS</v>
          </cell>
        </row>
        <row r="1925">
          <cell r="F1925">
            <v>0.10486111111111111</v>
          </cell>
          <cell r="G1925" t="str">
            <v>LOADING S17 TONNER BAGS</v>
          </cell>
          <cell r="U1925">
            <v>0.57430555555555551</v>
          </cell>
          <cell r="V1925" t="str">
            <v>LOADING SLING S5</v>
          </cell>
          <cell r="X1925">
            <v>0.1736111111111111</v>
          </cell>
          <cell r="Y1925" t="str">
            <v>NO LOADING  / SWELL</v>
          </cell>
          <cell r="AA1925">
            <v>0.14791666666666667</v>
          </cell>
          <cell r="AB1925" t="str">
            <v>LOADING S4 SLING BAGS</v>
          </cell>
        </row>
        <row r="1926">
          <cell r="F1926">
            <v>0.1388888888888889</v>
          </cell>
          <cell r="G1926" t="str">
            <v>LOADING L51 TONNER BAGS</v>
          </cell>
          <cell r="U1926">
            <v>0.58680555555555558</v>
          </cell>
          <cell r="V1926" t="str">
            <v>LOADING SLING S27</v>
          </cell>
          <cell r="X1926">
            <v>0.22222222222222221</v>
          </cell>
          <cell r="Y1926" t="str">
            <v>NO LOADING  / SWELL</v>
          </cell>
          <cell r="AA1926">
            <v>0.18055555555555555</v>
          </cell>
          <cell r="AB1926" t="str">
            <v>LOADING S58 SLING BAGS</v>
          </cell>
        </row>
        <row r="1927">
          <cell r="F1927">
            <v>0.18194444444444444</v>
          </cell>
          <cell r="G1927" t="str">
            <v>LOADING L37 TONNER BAGS</v>
          </cell>
          <cell r="U1927">
            <v>0.60833333333333328</v>
          </cell>
          <cell r="V1927" t="str">
            <v>LOADING SLING S26</v>
          </cell>
          <cell r="AA1927">
            <v>0.21944444444444444</v>
          </cell>
          <cell r="AB1927" t="str">
            <v>LOADING S22 SLIGN BAGS</v>
          </cell>
        </row>
        <row r="1928">
          <cell r="F1928">
            <v>0.21875</v>
          </cell>
          <cell r="G1928" t="str">
            <v>LOADING S57  TONNER BAGS</v>
          </cell>
          <cell r="U1928">
            <v>0.62152777777777779</v>
          </cell>
          <cell r="V1928" t="str">
            <v>LOADING SLING L49</v>
          </cell>
          <cell r="AA1928">
            <v>0.22916666666666666</v>
          </cell>
          <cell r="AB1928" t="str">
            <v>LOADING S50 SLING BAGS</v>
          </cell>
        </row>
        <row r="1929">
          <cell r="U1929">
            <v>0.66805555555555551</v>
          </cell>
          <cell r="V1929" t="str">
            <v>LOADING SLING S6</v>
          </cell>
        </row>
        <row r="1930">
          <cell r="U1930">
            <v>0.68125000000000002</v>
          </cell>
          <cell r="V1930" t="str">
            <v>LOADING SLING S2</v>
          </cell>
        </row>
        <row r="1931">
          <cell r="U1931">
            <v>0.69722222222222219</v>
          </cell>
          <cell r="V1931" t="str">
            <v>LOADING SLING S60</v>
          </cell>
        </row>
        <row r="1932">
          <cell r="U1932">
            <v>0.7104166666666667</v>
          </cell>
          <cell r="V1932" t="str">
            <v>LOADING SLING S22</v>
          </cell>
        </row>
        <row r="1933">
          <cell r="U1933">
            <v>0.72222222222222221</v>
          </cell>
          <cell r="V1933" t="str">
            <v>LOADING SLING S45</v>
          </cell>
        </row>
        <row r="1934">
          <cell r="U1934">
            <v>0.73472222222222228</v>
          </cell>
          <cell r="V1934" t="str">
            <v>WAITING LAPULAPU LAST TRUCK</v>
          </cell>
        </row>
        <row r="1935">
          <cell r="U1935">
            <v>0.79166666666666663</v>
          </cell>
          <cell r="V1935" t="str">
            <v>KY TOOLBOX</v>
          </cell>
        </row>
        <row r="1936">
          <cell r="U1936">
            <v>0.82638888888888884</v>
          </cell>
          <cell r="V1936" t="str">
            <v>LOADING L5 SLING BAGS</v>
          </cell>
        </row>
        <row r="1937">
          <cell r="U1937">
            <v>0.83194444444444449</v>
          </cell>
          <cell r="V1937" t="str">
            <v>COMPLETE LOADING</v>
          </cell>
        </row>
        <row r="1938">
          <cell r="D1938" t="str">
            <v>BARGE JB 5</v>
          </cell>
          <cell r="G1938" t="str">
            <v>JOHANNAH 7</v>
          </cell>
          <cell r="P1938" t="str">
            <v>LADY OF COURAGE</v>
          </cell>
          <cell r="U1938" t="str">
            <v xml:space="preserve">  </v>
          </cell>
          <cell r="V1938" t="str">
            <v xml:space="preserve">  </v>
          </cell>
          <cell r="Y1938" t="str">
            <v>LADY ARMOR</v>
          </cell>
          <cell r="AB1938" t="str">
            <v>CHRISTIAN EDWARD</v>
          </cell>
          <cell r="AE1938" t="str">
            <v xml:space="preserve">NIEVES </v>
          </cell>
        </row>
        <row r="1939">
          <cell r="C1939">
            <v>0.33333333333333331</v>
          </cell>
          <cell r="D1939" t="str">
            <v>DOCKING MANUEVER</v>
          </cell>
          <cell r="F1939">
            <v>0.29166666666666669</v>
          </cell>
          <cell r="G1939" t="str">
            <v>KY TOOLBOX</v>
          </cell>
          <cell r="O1939">
            <v>0.29166666666666669</v>
          </cell>
          <cell r="P1939" t="str">
            <v>KY TOOLBOX</v>
          </cell>
          <cell r="X1939">
            <v>0.29166666666666669</v>
          </cell>
          <cell r="Y1939" t="str">
            <v>KY TOOLBOX</v>
          </cell>
          <cell r="AA1939">
            <v>0.29166666666666669</v>
          </cell>
          <cell r="AB1939" t="str">
            <v>KY TOOLBOX</v>
          </cell>
          <cell r="AD1939">
            <v>0.2951388888888889</v>
          </cell>
          <cell r="AE1939" t="str">
            <v>DOCKED &amp; SECURED</v>
          </cell>
        </row>
        <row r="1940">
          <cell r="C1940">
            <v>0.41666666666666669</v>
          </cell>
          <cell r="D1940" t="str">
            <v>DOCKED &amp;  SECURED</v>
          </cell>
          <cell r="F1940">
            <v>0.3125</v>
          </cell>
          <cell r="G1940" t="str">
            <v>PRE LOADING PREP</v>
          </cell>
          <cell r="O1940">
            <v>0.3125</v>
          </cell>
          <cell r="P1940" t="str">
            <v>PRE LOADING PREP</v>
          </cell>
          <cell r="X1940">
            <v>0.3125</v>
          </cell>
          <cell r="Y1940" t="str">
            <v>PRE LOADING PREP</v>
          </cell>
          <cell r="AA1940">
            <v>0.3125</v>
          </cell>
          <cell r="AB1940" t="str">
            <v>PRE LOADING PREP</v>
          </cell>
          <cell r="AD1940">
            <v>0.33333333333333331</v>
          </cell>
          <cell r="AE1940" t="str">
            <v>FOR CRANE INSPECTION</v>
          </cell>
        </row>
        <row r="1941">
          <cell r="C1941">
            <v>0.54166666666666663</v>
          </cell>
          <cell r="D1941" t="str">
            <v>UNSAFE TO LOAD / ROUGH SEA</v>
          </cell>
          <cell r="F1941">
            <v>0.33958333333333335</v>
          </cell>
          <cell r="G1941" t="str">
            <v>LOADING TONNER S32</v>
          </cell>
          <cell r="O1941">
            <v>0.34027777777777779</v>
          </cell>
          <cell r="P1941" t="str">
            <v>LOADING SLING GEO 5</v>
          </cell>
          <cell r="X1941">
            <v>0.33333333333333331</v>
          </cell>
          <cell r="Y1941" t="str">
            <v>OPENING HATCH</v>
          </cell>
          <cell r="AA1941">
            <v>0.33333333333333331</v>
          </cell>
          <cell r="AB1941" t="str">
            <v>OPENING HATCH</v>
          </cell>
          <cell r="AD1941">
            <v>0.54166666666666663</v>
          </cell>
          <cell r="AE1941" t="str">
            <v>OPENING HATCH</v>
          </cell>
        </row>
        <row r="1942">
          <cell r="C1942">
            <v>0.79861111111111116</v>
          </cell>
          <cell r="D1942" t="str">
            <v>KY TOOLBOX</v>
          </cell>
          <cell r="F1942">
            <v>0.37916666666666665</v>
          </cell>
          <cell r="G1942" t="str">
            <v>LOADING TONNER S49</v>
          </cell>
          <cell r="O1942">
            <v>0.39513888888888887</v>
          </cell>
          <cell r="P1942" t="str">
            <v>LOADING SLING L39</v>
          </cell>
          <cell r="X1942">
            <v>0.34027777777777779</v>
          </cell>
          <cell r="Y1942" t="str">
            <v>WAITING LAPULAPU (PRIO SLING)</v>
          </cell>
          <cell r="AA1942">
            <v>0.375</v>
          </cell>
          <cell r="AB1942" t="str">
            <v>FL PULLOUT</v>
          </cell>
          <cell r="AD1942">
            <v>0.5708333333333333</v>
          </cell>
          <cell r="AE1942" t="str">
            <v>COMMENCE LOADING F1</v>
          </cell>
        </row>
        <row r="1943">
          <cell r="C1943">
            <v>0.80555555555555558</v>
          </cell>
          <cell r="D1943" t="str">
            <v>UNSAFE TO LOAD / ROUGH SEA</v>
          </cell>
          <cell r="F1943">
            <v>0.40138888888888891</v>
          </cell>
          <cell r="G1943" t="str">
            <v>LOADING TONNER S55</v>
          </cell>
          <cell r="O1943">
            <v>0.45416666666666666</v>
          </cell>
          <cell r="P1943" t="str">
            <v>LOADING SLING L5</v>
          </cell>
          <cell r="X1943">
            <v>0.39583333333333331</v>
          </cell>
          <cell r="Y1943" t="str">
            <v>LOADING SLING  L52</v>
          </cell>
          <cell r="AA1943">
            <v>0.39583333333333331</v>
          </cell>
          <cell r="AB1943" t="str">
            <v xml:space="preserve">LOADING SLING </v>
          </cell>
          <cell r="AD1943">
            <v>0.58888888888888891</v>
          </cell>
          <cell r="AE1943" t="str">
            <v>LOADING SLING L47</v>
          </cell>
        </row>
        <row r="1944">
          <cell r="C1944">
            <v>0.84791666666666665</v>
          </cell>
          <cell r="D1944" t="str">
            <v>UNSAFE TO LOAD / ROUGH SEA</v>
          </cell>
          <cell r="F1944">
            <v>0.42152777777777778</v>
          </cell>
          <cell r="G1944" t="str">
            <v>LOADING TONNER S56</v>
          </cell>
          <cell r="O1944">
            <v>0.5</v>
          </cell>
          <cell r="P1944" t="str">
            <v>LUNCHBREAK</v>
          </cell>
          <cell r="X1944">
            <v>0.4375</v>
          </cell>
          <cell r="Y1944" t="str">
            <v>LOADING SLING S54</v>
          </cell>
          <cell r="AA1944">
            <v>0.40486111111111112</v>
          </cell>
          <cell r="AB1944" t="str">
            <v>LOADIG SLING S53</v>
          </cell>
          <cell r="AD1944">
            <v>0.625</v>
          </cell>
          <cell r="AE1944" t="str">
            <v>ONBOARD FORKLIFT</v>
          </cell>
        </row>
        <row r="1945">
          <cell r="C1945">
            <v>0.875</v>
          </cell>
          <cell r="D1945" t="str">
            <v>UNSAFE TO LOAD / ROUGH SEA</v>
          </cell>
          <cell r="F1945">
            <v>0.4465277777777778</v>
          </cell>
          <cell r="G1945" t="str">
            <v>LOADING TONNER S59</v>
          </cell>
          <cell r="O1945">
            <v>0.54166666666666663</v>
          </cell>
          <cell r="P1945" t="str">
            <v>ONBOARD FORKLIFT</v>
          </cell>
          <cell r="X1945">
            <v>0.46180555555555558</v>
          </cell>
          <cell r="Y1945" t="str">
            <v>LOADING TONNER S5</v>
          </cell>
          <cell r="AA1945">
            <v>0.41875000000000001</v>
          </cell>
          <cell r="AB1945" t="str">
            <v>LOADING SLING S29</v>
          </cell>
          <cell r="AD1945">
            <v>0.64583333333333337</v>
          </cell>
          <cell r="AE1945" t="str">
            <v xml:space="preserve">LOADING SLING </v>
          </cell>
        </row>
        <row r="1946">
          <cell r="C1946">
            <v>0.91666666666666663</v>
          </cell>
          <cell r="D1946" t="str">
            <v>UNSAFE TO LOAD / ROUGH SEA</v>
          </cell>
          <cell r="F1946">
            <v>0.4597222222222222</v>
          </cell>
          <cell r="G1946" t="str">
            <v>LOADING TONNER S2</v>
          </cell>
          <cell r="O1946">
            <v>0.58333333333333337</v>
          </cell>
          <cell r="P1946" t="str">
            <v>LOADING SLING L50</v>
          </cell>
          <cell r="X1946">
            <v>0.5</v>
          </cell>
          <cell r="Y1946" t="str">
            <v>LUNCHBREAK</v>
          </cell>
          <cell r="AA1946">
            <v>0.43125000000000002</v>
          </cell>
          <cell r="AB1946" t="str">
            <v>LOADING SLING S10</v>
          </cell>
          <cell r="AD1946">
            <v>0.66319444444444442</v>
          </cell>
          <cell r="AE1946" t="str">
            <v>LOADING SLING A1</v>
          </cell>
        </row>
        <row r="1947">
          <cell r="C1947">
            <v>0.95833333333333337</v>
          </cell>
          <cell r="D1947" t="str">
            <v>UNSAFE TO LOAD / ROUGH SEA</v>
          </cell>
          <cell r="F1947">
            <v>0.5</v>
          </cell>
          <cell r="G1947" t="str">
            <v>LUNCHBREAK</v>
          </cell>
          <cell r="O1947">
            <v>0.59930555555555554</v>
          </cell>
          <cell r="P1947" t="str">
            <v>LOADING SLING S43</v>
          </cell>
          <cell r="X1947">
            <v>0.54166666666666663</v>
          </cell>
          <cell r="Y1947" t="str">
            <v>UNSAFE TO LOAD / ROUGH SEA</v>
          </cell>
          <cell r="AA1947">
            <v>0.44236111111111109</v>
          </cell>
          <cell r="AB1947" t="str">
            <v>LOADING SLING S45</v>
          </cell>
          <cell r="AD1947">
            <v>0.67361111111111116</v>
          </cell>
          <cell r="AE1947" t="str">
            <v>LOADING SLING L50</v>
          </cell>
        </row>
        <row r="1948">
          <cell r="C1948">
            <v>4.1666666666666664E-2</v>
          </cell>
          <cell r="D1948" t="str">
            <v>UNSAFE TO LOAD / ROUGH SEA</v>
          </cell>
          <cell r="F1948">
            <v>0.54166666666666663</v>
          </cell>
          <cell r="G1948" t="str">
            <v>VESSEL BUNKERING</v>
          </cell>
          <cell r="O1948">
            <v>0.625</v>
          </cell>
          <cell r="P1948" t="str">
            <v xml:space="preserve">VESSEL BUNKERING </v>
          </cell>
          <cell r="X1948">
            <v>0.79861111111111116</v>
          </cell>
          <cell r="Y1948" t="str">
            <v>KY TOOLBOX</v>
          </cell>
          <cell r="AA1948">
            <v>0.4513888888888889</v>
          </cell>
          <cell r="AB1948" t="str">
            <v>LOADING COMPLETE</v>
          </cell>
          <cell r="AD1948">
            <v>0.70138888888888884</v>
          </cell>
          <cell r="AE1948" t="str">
            <v>LOADING SLING S49</v>
          </cell>
        </row>
        <row r="1949">
          <cell r="C1949">
            <v>8.3333333333333329E-2</v>
          </cell>
          <cell r="D1949" t="str">
            <v>UNSAFE TO LOAD / ROUGH SEA</v>
          </cell>
          <cell r="F1949">
            <v>0.58333333333333337</v>
          </cell>
          <cell r="G1949" t="str">
            <v>UNSAFE TO LOAD / ROUGH SEA</v>
          </cell>
          <cell r="O1949">
            <v>0.67708333333333337</v>
          </cell>
          <cell r="P1949" t="str">
            <v>LOADING SLING S31</v>
          </cell>
          <cell r="X1949">
            <v>0.80555555555555558</v>
          </cell>
          <cell r="Y1949" t="str">
            <v>UNSAFE TO LOAD / ROUGH SEA</v>
          </cell>
          <cell r="AD1949">
            <v>0.79861111111111116</v>
          </cell>
          <cell r="AE1949" t="str">
            <v>KY TOOLBOX</v>
          </cell>
        </row>
        <row r="1950">
          <cell r="C1950">
            <v>0.125</v>
          </cell>
          <cell r="D1950" t="str">
            <v>UNSAFE TO LOAD / ROUGH SEA</v>
          </cell>
          <cell r="F1950">
            <v>0.79861111111111116</v>
          </cell>
          <cell r="G1950" t="str">
            <v>KY TOOLBOX</v>
          </cell>
          <cell r="O1950">
            <v>0.69305555555555554</v>
          </cell>
          <cell r="P1950" t="str">
            <v>LOADING SLING S30</v>
          </cell>
          <cell r="X1950">
            <v>0.85416666666666663</v>
          </cell>
          <cell r="Y1950" t="str">
            <v>UNSAFE TO LOAD / ROUGH SEA</v>
          </cell>
          <cell r="AD1950">
            <v>0.80902777777777779</v>
          </cell>
          <cell r="AE1950" t="str">
            <v>LOADING S57 SLING BAGS</v>
          </cell>
        </row>
        <row r="1951">
          <cell r="C1951">
            <v>0.16666666666666666</v>
          </cell>
          <cell r="D1951" t="str">
            <v>UNSAFE TO LOAD / ROUGH SEA</v>
          </cell>
          <cell r="F1951">
            <v>0.84722222222222221</v>
          </cell>
          <cell r="G1951" t="str">
            <v>LOADING S24 TONNER BAGS</v>
          </cell>
          <cell r="O1951">
            <v>0.71597222222222223</v>
          </cell>
          <cell r="P1951" t="str">
            <v>LOADING SLING S6</v>
          </cell>
          <cell r="X1951">
            <v>0.875</v>
          </cell>
          <cell r="Y1951" t="str">
            <v>UNSAFE TO LOAD / ROUGH SEA</v>
          </cell>
          <cell r="AD1951">
            <v>0.85416666666666663</v>
          </cell>
          <cell r="AE1951" t="str">
            <v>LOADING L49 SLING BAGS</v>
          </cell>
        </row>
        <row r="1952">
          <cell r="C1952">
            <v>0.22916666666666666</v>
          </cell>
          <cell r="D1952" t="str">
            <v>UNSAFE TO LOAD / ROUGH SEA</v>
          </cell>
          <cell r="F1952">
            <v>0.94652777777777775</v>
          </cell>
          <cell r="G1952" t="str">
            <v>LOADING G3 TONNER BAGS</v>
          </cell>
          <cell r="O1952">
            <v>0.79861111111111116</v>
          </cell>
          <cell r="P1952" t="str">
            <v>KY TOOLBOX</v>
          </cell>
          <cell r="X1952">
            <v>0.91666666666666663</v>
          </cell>
          <cell r="Y1952" t="str">
            <v>UNSAFE TO LOAD / ROUGH SEA</v>
          </cell>
          <cell r="AD1952">
            <v>0.88194444444444442</v>
          </cell>
          <cell r="AE1952" t="str">
            <v>LOADING L39 SLING BAGS</v>
          </cell>
        </row>
        <row r="1953">
          <cell r="F1953">
            <v>1.1111111111111112E-2</v>
          </cell>
          <cell r="G1953" t="str">
            <v>LOADING B5 TONNER BAGS</v>
          </cell>
          <cell r="O1953">
            <v>0.84027777777777779</v>
          </cell>
          <cell r="P1953" t="str">
            <v xml:space="preserve">LOADING L37 SLING </v>
          </cell>
          <cell r="X1953">
            <v>0.95833333333333337</v>
          </cell>
          <cell r="Y1953" t="str">
            <v>UNSAFE TO LOAD / ROUGH SEA</v>
          </cell>
          <cell r="AD1953">
            <v>0.95625000000000004</v>
          </cell>
          <cell r="AE1953" t="str">
            <v>LOADING S22 SLING BAGS</v>
          </cell>
        </row>
        <row r="1954">
          <cell r="F1954">
            <v>6.25E-2</v>
          </cell>
          <cell r="G1954" t="str">
            <v>LOADING A17 TONNER BAGS</v>
          </cell>
          <cell r="O1954">
            <v>0.90277777777777779</v>
          </cell>
          <cell r="P1954" t="str">
            <v>LOADING S57 SLING BAGS</v>
          </cell>
          <cell r="X1954">
            <v>4.3055555555555555E-2</v>
          </cell>
          <cell r="Y1954" t="str">
            <v>UNSAFE TO LOAD / ROUGH SEA</v>
          </cell>
          <cell r="AD1954">
            <v>0.97916666666666663</v>
          </cell>
          <cell r="AE1954" t="str">
            <v>LOADING S55 SLING BAGS</v>
          </cell>
        </row>
        <row r="1955">
          <cell r="F1955">
            <v>9.7222222222222224E-2</v>
          </cell>
          <cell r="G1955" t="str">
            <v>WAITING MATERIAL</v>
          </cell>
          <cell r="O1955">
            <v>0.93125000000000002</v>
          </cell>
          <cell r="P1955" t="str">
            <v>LOADING S57 TONNER BAGS</v>
          </cell>
          <cell r="X1955">
            <v>0.10625</v>
          </cell>
          <cell r="Y1955" t="str">
            <v>UNSAFE TO LOAD / ROUGH SEA</v>
          </cell>
          <cell r="AD1955">
            <v>9.7222222222222224E-3</v>
          </cell>
          <cell r="AE1955" t="str">
            <v>LOADING S56 SLING BAGS</v>
          </cell>
        </row>
        <row r="1956">
          <cell r="F1956">
            <v>0.13541666666666666</v>
          </cell>
          <cell r="G1956" t="str">
            <v>WAITING MATERIAL</v>
          </cell>
          <cell r="O1956">
            <v>0.96875</v>
          </cell>
          <cell r="P1956" t="str">
            <v>LOADING L37 SLING BAGS</v>
          </cell>
          <cell r="X1956">
            <v>0.13541666666666666</v>
          </cell>
          <cell r="Y1956" t="str">
            <v>UNSAFE TO LOAD / ROUGH SEA</v>
          </cell>
          <cell r="AD1956">
            <v>0.10416666666666667</v>
          </cell>
          <cell r="AE1956" t="str">
            <v>LOADING S50 SLING BAGS</v>
          </cell>
        </row>
        <row r="1957">
          <cell r="F1957">
            <v>0.18263888888888888</v>
          </cell>
          <cell r="G1957" t="str">
            <v>WAITING MATERIAL</v>
          </cell>
          <cell r="O1957">
            <v>1.3888888888888889E-3</v>
          </cell>
          <cell r="P1957" t="str">
            <v>WAITING DELIVERY</v>
          </cell>
          <cell r="X1957">
            <v>0.18055555555555555</v>
          </cell>
          <cell r="Y1957" t="str">
            <v>UNSAFE TO LOAD / ROUGH SEA</v>
          </cell>
          <cell r="AD1957">
            <v>0.13541666666666666</v>
          </cell>
          <cell r="AE1957" t="str">
            <v>LOADING S41 SLING BAGS</v>
          </cell>
        </row>
        <row r="1958">
          <cell r="F1958">
            <v>0.22916666666666666</v>
          </cell>
          <cell r="G1958" t="str">
            <v>WAITING MATERIAL</v>
          </cell>
          <cell r="O1958">
            <v>4.8611111111111112E-2</v>
          </cell>
          <cell r="P1958" t="str">
            <v>WAITING DELIVERY</v>
          </cell>
          <cell r="X1958">
            <v>0.22916666666666666</v>
          </cell>
          <cell r="Y1958" t="str">
            <v>UNSAFE TO LOAD / ROUGH SEA</v>
          </cell>
          <cell r="AD1958">
            <v>0.18819444444444444</v>
          </cell>
          <cell r="AE1958" t="str">
            <v>LOADING S37 SLING BAGS</v>
          </cell>
        </row>
        <row r="1959">
          <cell r="O1959">
            <v>0.11805555555555555</v>
          </cell>
          <cell r="P1959" t="str">
            <v>WAITING DELIVERY</v>
          </cell>
          <cell r="AD1959">
            <v>0.22569444444444445</v>
          </cell>
          <cell r="AE1959" t="str">
            <v>LOADING S60 SLING BAGS</v>
          </cell>
        </row>
        <row r="1960">
          <cell r="D1960" t="str">
            <v>BARGE JB 5</v>
          </cell>
          <cell r="G1960" t="str">
            <v>JOHANNAH 7</v>
          </cell>
          <cell r="M1960" t="str">
            <v>INFINITY 8</v>
          </cell>
          <cell r="P1960" t="str">
            <v>LADY OF COURAGE</v>
          </cell>
          <cell r="Y1960" t="str">
            <v>LADY ARMOR</v>
          </cell>
          <cell r="AB1960" t="str">
            <v>LADY OF WISDOM</v>
          </cell>
          <cell r="AE1960" t="str">
            <v>NIEVES</v>
          </cell>
        </row>
        <row r="1961">
          <cell r="C1961">
            <v>0.29166666666666669</v>
          </cell>
          <cell r="D1961" t="str">
            <v>KY TOOLBOX</v>
          </cell>
          <cell r="F1961">
            <v>0.29166666666666669</v>
          </cell>
          <cell r="G1961" t="str">
            <v>WAITING MATERIAL</v>
          </cell>
          <cell r="L1961">
            <v>0.29166666666666669</v>
          </cell>
          <cell r="M1961" t="str">
            <v>NEW SECURED VESSEL</v>
          </cell>
          <cell r="O1961">
            <v>0.29166666666666669</v>
          </cell>
          <cell r="P1961" t="str">
            <v>FORKLIFT PULLOUT</v>
          </cell>
          <cell r="X1961">
            <v>0.29166666666666669</v>
          </cell>
          <cell r="Y1961" t="str">
            <v>KY TOOLBOX</v>
          </cell>
          <cell r="AA1961">
            <v>0.35416666666666669</v>
          </cell>
          <cell r="AB1961" t="str">
            <v>DOCKING MANUEVER</v>
          </cell>
          <cell r="AD1961">
            <v>0.29166666666666669</v>
          </cell>
          <cell r="AE1961" t="str">
            <v>KY TOOLBOX</v>
          </cell>
        </row>
        <row r="1962">
          <cell r="C1962">
            <v>0.35416666666666669</v>
          </cell>
          <cell r="D1962" t="str">
            <v>FORKLIFT ONBOARD</v>
          </cell>
          <cell r="F1962">
            <v>0.54166666666666663</v>
          </cell>
          <cell r="G1962" t="str">
            <v>UNSAFE TO LOAD / ROUGH SEA</v>
          </cell>
          <cell r="L1962">
            <v>0.33333333333333331</v>
          </cell>
          <cell r="M1962" t="str">
            <v>WAITING MATERIAL</v>
          </cell>
          <cell r="O1962">
            <v>0.35208333333333336</v>
          </cell>
          <cell r="P1962" t="str">
            <v>LOADING TONNER L37</v>
          </cell>
          <cell r="X1962">
            <v>0.34027777777777779</v>
          </cell>
          <cell r="Y1962" t="str">
            <v>LOADING TONNER S44</v>
          </cell>
          <cell r="AA1962">
            <v>0.3611111111111111</v>
          </cell>
          <cell r="AB1962" t="str">
            <v>DOCKED &amp; SECURED</v>
          </cell>
          <cell r="AD1962">
            <v>0.33333333333333331</v>
          </cell>
          <cell r="AE1962" t="str">
            <v>LOADING SLING L5</v>
          </cell>
        </row>
        <row r="1963">
          <cell r="C1963">
            <v>0.37430555555555556</v>
          </cell>
          <cell r="D1963" t="str">
            <v>COMMENCE LOADING S54</v>
          </cell>
          <cell r="L1963">
            <v>0.41666666666666669</v>
          </cell>
          <cell r="M1963" t="str">
            <v>OPENING HATCH</v>
          </cell>
          <cell r="O1963">
            <v>0.37847222222222221</v>
          </cell>
          <cell r="P1963" t="str">
            <v>WAITING MATERIAL</v>
          </cell>
          <cell r="X1963">
            <v>0.3576388888888889</v>
          </cell>
          <cell r="Y1963" t="str">
            <v>LOADING TONNER S21</v>
          </cell>
          <cell r="AA1963">
            <v>0.375</v>
          </cell>
          <cell r="AB1963" t="str">
            <v>FOR CRANE INSPECTION</v>
          </cell>
          <cell r="AD1963">
            <v>0.36944444444444446</v>
          </cell>
          <cell r="AE1963" t="str">
            <v>LOADING SLING L48</v>
          </cell>
        </row>
        <row r="1964">
          <cell r="C1964">
            <v>0.38333333333333336</v>
          </cell>
          <cell r="D1964" t="str">
            <v>LOADING SLING S59</v>
          </cell>
          <cell r="L1964">
            <v>0.4375</v>
          </cell>
          <cell r="M1964" t="str">
            <v>COMMENCE LOADING L39</v>
          </cell>
          <cell r="O1964">
            <v>0.54166666666666663</v>
          </cell>
          <cell r="P1964" t="str">
            <v>WAITING LAPULAPU</v>
          </cell>
          <cell r="X1964">
            <v>0.40625</v>
          </cell>
          <cell r="Y1964" t="str">
            <v>LOADING TONNER S17</v>
          </cell>
          <cell r="AA1964">
            <v>0.64444444444444449</v>
          </cell>
          <cell r="AB1964" t="str">
            <v xml:space="preserve">COMMENCE LOADING L48 </v>
          </cell>
          <cell r="AD1964">
            <v>0.4513888888888889</v>
          </cell>
          <cell r="AE1964" t="str">
            <v>VESSEL BUNKERING</v>
          </cell>
        </row>
        <row r="1965">
          <cell r="C1965">
            <v>0.40069444444444446</v>
          </cell>
          <cell r="D1965" t="str">
            <v>LOADING SLING S36</v>
          </cell>
          <cell r="L1965">
            <v>0.45902777777777776</v>
          </cell>
          <cell r="M1965" t="str">
            <v>WAITING MATERIAL</v>
          </cell>
          <cell r="O1965">
            <v>0.56944444444444442</v>
          </cell>
          <cell r="P1965" t="str">
            <v>LOADING TONNER APLUS</v>
          </cell>
          <cell r="X1965">
            <v>0.42986111111111114</v>
          </cell>
          <cell r="Y1965" t="str">
            <v>WAITING MATERIAL</v>
          </cell>
          <cell r="AA1965">
            <v>0.66736111111111107</v>
          </cell>
          <cell r="AB1965" t="str">
            <v>LOADING SLING S50</v>
          </cell>
          <cell r="AD1965">
            <v>0.5</v>
          </cell>
          <cell r="AE1965" t="str">
            <v>LUNCHBREAK</v>
          </cell>
        </row>
        <row r="1966">
          <cell r="C1966">
            <v>0.40902777777777777</v>
          </cell>
          <cell r="D1966" t="str">
            <v>LOADING SLING L7</v>
          </cell>
          <cell r="L1966">
            <v>0.54166666666666663</v>
          </cell>
          <cell r="M1966" t="str">
            <v>WAITING LAPULAPU / GEO</v>
          </cell>
          <cell r="O1966">
            <v>0.61111111111111116</v>
          </cell>
          <cell r="P1966" t="str">
            <v>LOADING TONNER L47</v>
          </cell>
          <cell r="X1966">
            <v>0.625</v>
          </cell>
          <cell r="Y1966" t="str">
            <v>WAITING AVAILABLE SHORECRANE</v>
          </cell>
          <cell r="AA1966">
            <v>0.7055555555555556</v>
          </cell>
          <cell r="AB1966" t="str">
            <v>LOADING SLING S21</v>
          </cell>
          <cell r="AD1966">
            <v>0.54166666666666663</v>
          </cell>
          <cell r="AE1966" t="str">
            <v>WAITING APLUS - SLING</v>
          </cell>
        </row>
        <row r="1967">
          <cell r="C1967">
            <v>0.4284722222222222</v>
          </cell>
          <cell r="D1967" t="str">
            <v>LOADING SLING GEO 4</v>
          </cell>
          <cell r="L1967">
            <v>0.5625</v>
          </cell>
          <cell r="M1967" t="str">
            <v>LOADING SLING L37</v>
          </cell>
          <cell r="O1967">
            <v>0.67013888888888884</v>
          </cell>
          <cell r="P1967" t="str">
            <v>LOADING SLING S59</v>
          </cell>
          <cell r="AA1967">
            <v>0.71875</v>
          </cell>
          <cell r="AB1967" t="str">
            <v>LOADING SLING B5</v>
          </cell>
          <cell r="AD1967">
            <v>0.56041666666666667</v>
          </cell>
          <cell r="AE1967" t="str">
            <v>LOADING SLING A1</v>
          </cell>
        </row>
        <row r="1968">
          <cell r="C1968">
            <v>0.43958333333333333</v>
          </cell>
          <cell r="D1968" t="str">
            <v>LOADING SLING S31</v>
          </cell>
          <cell r="L1968">
            <v>0.60347222222222219</v>
          </cell>
          <cell r="M1968" t="str">
            <v>LOADING SLING GEO 1</v>
          </cell>
          <cell r="O1968">
            <v>0.68819444444444444</v>
          </cell>
          <cell r="P1968" t="str">
            <v xml:space="preserve">WAITING GEO </v>
          </cell>
          <cell r="AD1968">
            <v>0.57777777777777772</v>
          </cell>
          <cell r="AE1968" t="str">
            <v>LOADING TONNER B5</v>
          </cell>
        </row>
        <row r="1969">
          <cell r="C1969">
            <v>0.45694444444444443</v>
          </cell>
          <cell r="D1969" t="str">
            <v>LOADING SLING S48</v>
          </cell>
          <cell r="L1969">
            <v>0.65</v>
          </cell>
          <cell r="M1969" t="str">
            <v>LOADING SLING S54</v>
          </cell>
          <cell r="AD1969">
            <v>0.59930555555555554</v>
          </cell>
          <cell r="AE1969" t="str">
            <v>LOADING TONNER F2</v>
          </cell>
        </row>
        <row r="1970">
          <cell r="C1970">
            <v>0.46597222222222223</v>
          </cell>
          <cell r="D1970" t="str">
            <v>LOADING SLING S37</v>
          </cell>
          <cell r="L1970">
            <v>0.68958333333333333</v>
          </cell>
          <cell r="M1970" t="str">
            <v>LOADING SLING S17</v>
          </cell>
          <cell r="AD1970">
            <v>0.66666666666666663</v>
          </cell>
          <cell r="AE1970" t="str">
            <v>LOADING TONNER GEO 3</v>
          </cell>
        </row>
        <row r="1971">
          <cell r="C1971">
            <v>0.5</v>
          </cell>
          <cell r="D1971" t="str">
            <v>LUNCHBREAK</v>
          </cell>
          <cell r="AD1971">
            <v>0.67777777777777781</v>
          </cell>
          <cell r="AE1971" t="str">
            <v>WAITING MATERIAL</v>
          </cell>
        </row>
        <row r="1972">
          <cell r="C1972">
            <v>0.54166666666666663</v>
          </cell>
          <cell r="D1972" t="str">
            <v>UNSAFE TO LOAD / ROUGH SEA</v>
          </cell>
        </row>
        <row r="1973">
          <cell r="C1973">
            <v>0.57430555555555551</v>
          </cell>
          <cell r="D1973" t="str">
            <v>LOADING SLING L50</v>
          </cell>
        </row>
        <row r="1974">
          <cell r="C1974">
            <v>0.61111111111111116</v>
          </cell>
          <cell r="D1974" t="str">
            <v>LOADING SLING GEO 4</v>
          </cell>
        </row>
        <row r="1975">
          <cell r="C1975">
            <v>0.62361111111111112</v>
          </cell>
          <cell r="D1975" t="str">
            <v>LOADING SLING L17</v>
          </cell>
        </row>
        <row r="1976">
          <cell r="C1976">
            <v>0.64236111111111116</v>
          </cell>
          <cell r="D1976" t="str">
            <v>LOADING SLING S2</v>
          </cell>
        </row>
        <row r="1977">
          <cell r="C1977">
            <v>0.68055555555555558</v>
          </cell>
          <cell r="D1977" t="str">
            <v>LOADING SLING S53</v>
          </cell>
        </row>
        <row r="1978">
          <cell r="C1978">
            <v>0.6958333333333333</v>
          </cell>
          <cell r="D1978" t="str">
            <v>LOADING SLING L31</v>
          </cell>
        </row>
        <row r="1979">
          <cell r="C1979">
            <v>0.71666666666666667</v>
          </cell>
          <cell r="D1979" t="str">
            <v>LOADING SLING S39</v>
          </cell>
        </row>
      </sheetData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RGE_DAILY_INPUT"/>
      <sheetName val="PVT_DAILY_SUM"/>
      <sheetName val="PVT_BER1"/>
      <sheetName val="PVT_BER2"/>
      <sheetName val="PVT_BER3"/>
      <sheetName val="INPUT SHT TRL"/>
      <sheetName val="PVT_BER5"/>
      <sheetName val="PVT_BER6"/>
      <sheetName val="PVT_BER7"/>
      <sheetName val="PVT_BER8"/>
      <sheetName val="PVT_BER9"/>
      <sheetName val="PVT_BER10"/>
      <sheetName val="PVT_MERGE_INPUT"/>
      <sheetName val="FOR ACTG REP"/>
      <sheetName val="BERTHING NUM"/>
      <sheetName val="LOAD CAUSE DELAY "/>
      <sheetName val="CEMENTCLASS_LOAD TYP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6">
          <cell r="A16" t="str">
            <v>20X50</v>
          </cell>
        </row>
        <row r="17">
          <cell r="A17" t="str">
            <v>SMALL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S53"/>
  <sheetViews>
    <sheetView showGridLines="0" tabSelected="1" zoomScaleNormal="100" workbookViewId="0">
      <selection activeCell="K36" sqref="K36"/>
    </sheetView>
  </sheetViews>
  <sheetFormatPr defaultRowHeight="12.75" x14ac:dyDescent="0.2"/>
  <cols>
    <col min="1" max="1" width="2" style="8" customWidth="1"/>
    <col min="2" max="2" width="12.28515625" style="8" customWidth="1"/>
    <col min="3" max="3" width="19.140625" style="8" customWidth="1"/>
    <col min="4" max="4" width="14.140625" style="8" customWidth="1"/>
    <col min="5" max="5" width="10.85546875" style="8" customWidth="1"/>
    <col min="6" max="6" width="9.85546875" style="8" bestFit="1" customWidth="1"/>
    <col min="7" max="7" width="12.7109375" style="8" customWidth="1"/>
    <col min="8" max="8" width="12.42578125" style="8" bestFit="1" customWidth="1"/>
    <col min="9" max="10" width="10" style="8" bestFit="1" customWidth="1"/>
    <col min="11" max="11" width="12.85546875" style="145" customWidth="1"/>
    <col min="12" max="12" width="11" style="146" bestFit="1" customWidth="1"/>
    <col min="13" max="13" width="13.5703125" style="8" customWidth="1"/>
    <col min="14" max="14" width="18.85546875" style="8" customWidth="1"/>
    <col min="15" max="16384" width="9.140625" style="8"/>
  </cols>
  <sheetData>
    <row r="1" spans="1:19" s="1" customFormat="1" x14ac:dyDescent="0.2">
      <c r="K1" s="2"/>
      <c r="L1" s="3"/>
    </row>
    <row r="2" spans="1:19" ht="21" customHeight="1" x14ac:dyDescent="0.35">
      <c r="A2" s="4"/>
      <c r="B2" s="4"/>
      <c r="C2" s="5"/>
      <c r="D2" s="4"/>
      <c r="E2" s="6" t="s">
        <v>0</v>
      </c>
      <c r="F2" s="6"/>
      <c r="G2" s="6"/>
      <c r="H2" s="6"/>
      <c r="I2" s="6"/>
      <c r="J2" s="6"/>
      <c r="K2" s="6"/>
      <c r="L2" s="7"/>
      <c r="M2" s="4"/>
      <c r="N2" s="4"/>
      <c r="O2" s="4"/>
      <c r="P2" s="4"/>
      <c r="Q2" s="4"/>
      <c r="R2" s="4"/>
      <c r="S2" s="4"/>
    </row>
    <row r="3" spans="1:19" ht="15" customHeight="1" x14ac:dyDescent="0.2">
      <c r="A3" s="9"/>
      <c r="B3" s="10" t="s">
        <v>1</v>
      </c>
      <c r="C3" s="11" t="s">
        <v>2</v>
      </c>
      <c r="D3" s="11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1" t="s">
        <v>8</v>
      </c>
      <c r="J3" s="13" t="s">
        <v>9</v>
      </c>
      <c r="K3" s="13" t="s">
        <v>10</v>
      </c>
      <c r="L3" s="14" t="s">
        <v>11</v>
      </c>
      <c r="M3" s="14"/>
      <c r="N3" s="13" t="s">
        <v>12</v>
      </c>
      <c r="O3" s="15" t="s">
        <v>13</v>
      </c>
      <c r="P3" s="4"/>
      <c r="Q3" s="4"/>
      <c r="R3" s="4"/>
      <c r="S3" s="4"/>
    </row>
    <row r="4" spans="1:19" ht="15" x14ac:dyDescent="0.25">
      <c r="A4" s="9"/>
      <c r="B4" s="16" t="s">
        <v>14</v>
      </c>
      <c r="C4" s="17" t="str">
        <f>'[1]SEDC PORT VESSELS'!D5</f>
        <v>BARGE JB 5</v>
      </c>
      <c r="D4" s="18">
        <f>'[1]SEDC PORT VESSELS'!E5</f>
        <v>1</v>
      </c>
      <c r="E4" s="19">
        <f>'[1]SEDC PORT VESSELS'!F5</f>
        <v>85000</v>
      </c>
      <c r="F4" s="18">
        <f>SUMIFS('[1]INPUT DATA'!N:N,'[1]INPUT DATA'!D:D,C4,'[1]INPUT DATA'!E:E,D4)</f>
        <v>41500</v>
      </c>
      <c r="G4" s="18">
        <f>SUMIFS('[1]INPUT DATA'!AA:AA,'[1]INPUT DATA'!D:D,C4,'[1]INPUT DATA'!E:E,D4)</f>
        <v>14500</v>
      </c>
      <c r="H4" s="18">
        <f>E4-G4</f>
        <v>70500</v>
      </c>
      <c r="I4" s="20">
        <f>IF(E4=0,"",G4/E4)</f>
        <v>0.17058823529411765</v>
      </c>
      <c r="J4" s="18">
        <f>F4-G4</f>
        <v>27000</v>
      </c>
      <c r="K4" s="21">
        <f t="array" ref="K4">LOOKUP(2,1/('[1]STATEMENT OF FACTS'!C:C&lt;&gt;""),'[1]STATEMENT OF FACTS'!C:C)</f>
        <v>0.71666666666666667</v>
      </c>
      <c r="L4" s="22" t="str">
        <f t="array" ref="L4">LOOKUP(2,1/('[1]STATEMENT OF FACTS'!D:D&lt;&gt;""),'[1]STATEMENT OF FACTS'!D:D)</f>
        <v>LOADING SLING S39</v>
      </c>
      <c r="M4" s="22"/>
      <c r="N4" s="23" t="str">
        <f>'[1]SEDC PORT VESSELS'!G5</f>
        <v>CRANE 4 / FL 2</v>
      </c>
      <c r="O4" s="24">
        <f ca="1">IFERROR(NOW()-K4,0)</f>
        <v>46270.137417245372</v>
      </c>
      <c r="P4" s="4"/>
      <c r="Q4" s="4"/>
      <c r="R4" s="4"/>
      <c r="S4" s="4"/>
    </row>
    <row r="5" spans="1:19" ht="15" x14ac:dyDescent="0.25">
      <c r="A5" s="9"/>
      <c r="B5" s="25" t="s">
        <v>15</v>
      </c>
      <c r="C5" s="26" t="str">
        <f>'[1]SEDC PORT VESSELS'!D6</f>
        <v>JOHANNAH 7</v>
      </c>
      <c r="D5" s="27">
        <f>'[1]SEDC PORT VESSELS'!E6</f>
        <v>5</v>
      </c>
      <c r="E5" s="19">
        <f>'[1]SEDC PORT VESSELS'!F6</f>
        <v>65000</v>
      </c>
      <c r="F5" s="19">
        <f>SUMIFS('[1]INPUT DATA'!N:N,'[1]INPUT DATA'!D:D,C5,'[1]INPUT DATA'!E:E,D5)</f>
        <v>34000</v>
      </c>
      <c r="G5" s="19">
        <f>SUMIFS('[1]INPUT DATA'!AA:AA,'[1]INPUT DATA'!D:D,C5,'[1]INPUT DATA'!E:E,D5)</f>
        <v>33000</v>
      </c>
      <c r="H5" s="19">
        <f t="shared" ref="H5:H13" si="0">E5-G5</f>
        <v>32000</v>
      </c>
      <c r="I5" s="20">
        <f t="shared" ref="I5:I14" si="1">IF(E5=0,"",G5/E5)</f>
        <v>0.50769230769230766</v>
      </c>
      <c r="J5" s="19">
        <f>F5-G5</f>
        <v>1000</v>
      </c>
      <c r="K5" s="21">
        <f t="array" ref="K5">LOOKUP(2,1/('[1]STATEMENT OF FACTS'!F:F&lt;&gt;""),'[1]STATEMENT OF FACTS'!F:F)</f>
        <v>0.54166666666666663</v>
      </c>
      <c r="L5" s="28" t="str">
        <f t="array" ref="L5">LOOKUP(2,1/('[1]STATEMENT OF FACTS'!G:G&lt;&gt;""),'[1]STATEMENT OF FACTS'!G:G)</f>
        <v>UNSAFE TO LOAD / ROUGH SEA</v>
      </c>
      <c r="M5" s="28"/>
      <c r="N5" s="23">
        <f>'[1]SEDC PORT VESSELS'!G6</f>
        <v>0</v>
      </c>
      <c r="O5" s="24">
        <f ca="1">IFERROR(NOW()-K5,0)</f>
        <v>46270.312417245375</v>
      </c>
      <c r="P5" s="4"/>
      <c r="Q5" s="4"/>
      <c r="R5" s="4"/>
      <c r="S5" s="4"/>
    </row>
    <row r="6" spans="1:19" ht="15" x14ac:dyDescent="0.25">
      <c r="A6" s="9"/>
      <c r="B6" s="16" t="s">
        <v>16</v>
      </c>
      <c r="C6" s="17" t="str">
        <f>'[1]SEDC PORT VESSELS'!D7</f>
        <v>VACANT</v>
      </c>
      <c r="D6" s="18">
        <f>'[1]SEDC PORT VESSELS'!E7</f>
        <v>0</v>
      </c>
      <c r="E6" s="18">
        <f>'[1]SEDC PORT VESSELS'!F7</f>
        <v>0</v>
      </c>
      <c r="F6" s="18">
        <f>SUMIFS('[1]INPUT DATA'!N:N,'[1]INPUT DATA'!D:D,C6,'[1]INPUT DATA'!E:E,D6)</f>
        <v>0</v>
      </c>
      <c r="G6" s="18">
        <f>SUMIFS('[1]INPUT DATA'!AA:AA,'[1]INPUT DATA'!D:D,C6,'[1]INPUT DATA'!E:E,D6)</f>
        <v>0</v>
      </c>
      <c r="H6" s="18">
        <f t="shared" si="0"/>
        <v>0</v>
      </c>
      <c r="I6" s="20" t="str">
        <f t="shared" si="1"/>
        <v/>
      </c>
      <c r="J6" s="18">
        <f t="shared" ref="J6:J13" si="2">F6-G6</f>
        <v>0</v>
      </c>
      <c r="K6" s="21" t="str">
        <f t="array" ref="K6">LOOKUP(2,1/('[1]STATEMENT OF FACTS'!I:I&lt;&gt;""),'[1]STATEMENT OF FACTS'!I:I)</f>
        <v xml:space="preserve">  </v>
      </c>
      <c r="L6" s="28" t="str">
        <f t="array" ref="L6">LOOKUP(2,1/('[1]STATEMENT OF FACTS'!J:J&lt;&gt;""),'[1]STATEMENT OF FACTS'!J:J)</f>
        <v xml:space="preserve"> </v>
      </c>
      <c r="M6" s="28"/>
      <c r="N6" s="23">
        <f>'[1]SEDC PORT VESSELS'!G7</f>
        <v>0</v>
      </c>
      <c r="O6" s="24">
        <f t="shared" ref="O6:O13" ca="1" si="3">IFERROR(NOW()-K6,0)</f>
        <v>0</v>
      </c>
      <c r="P6" s="4"/>
      <c r="Q6" s="4"/>
      <c r="R6" s="4"/>
      <c r="S6" s="4"/>
    </row>
    <row r="7" spans="1:19" ht="15" x14ac:dyDescent="0.25">
      <c r="A7" s="9"/>
      <c r="B7" s="25" t="s">
        <v>17</v>
      </c>
      <c r="C7" s="26" t="str">
        <f>'[1]SEDC PORT VESSELS'!D8</f>
        <v>INFINITY 8</v>
      </c>
      <c r="D7" s="27">
        <f>'[1]SEDC PORT VESSELS'!E8</f>
        <v>4</v>
      </c>
      <c r="E7" s="19">
        <f>'[1]SEDC PORT VESSELS'!F8</f>
        <v>45000</v>
      </c>
      <c r="F7" s="19">
        <f>SUMIFS('[1]INPUT DATA'!N:N,'[1]INPUT DATA'!D:D,C7,'[1]INPUT DATA'!E:E,D7)</f>
        <v>6000</v>
      </c>
      <c r="G7" s="19">
        <f>SUMIFS('[1]INPUT DATA'!AA:AA,'[1]INPUT DATA'!D:D,C7,'[1]INPUT DATA'!E:E,D7)</f>
        <v>5000</v>
      </c>
      <c r="H7" s="27">
        <f>E7-G7</f>
        <v>40000</v>
      </c>
      <c r="I7" s="29">
        <f t="shared" si="1"/>
        <v>0.1111111111111111</v>
      </c>
      <c r="J7" s="27">
        <f t="shared" si="2"/>
        <v>1000</v>
      </c>
      <c r="K7" s="30">
        <f t="array" ref="K7">LOOKUP(2,1/('[1]STATEMENT OF FACTS'!L:L&lt;&gt;""),'[1]STATEMENT OF FACTS'!L:L)</f>
        <v>0.68958333333333333</v>
      </c>
      <c r="L7" s="31" t="str">
        <f t="array" ref="L7">LOOKUP(2,1/('[1]STATEMENT OF FACTS'!M:M&lt;&gt;""),'[1]STATEMENT OF FACTS'!M:M)</f>
        <v>LOADING SLING S17</v>
      </c>
      <c r="M7" s="31"/>
      <c r="N7" s="23">
        <f>'[1]SEDC PORT VESSELS'!G8</f>
        <v>0</v>
      </c>
      <c r="O7" s="24">
        <f t="shared" ca="1" si="3"/>
        <v>46270.164500578707</v>
      </c>
      <c r="P7" s="4"/>
      <c r="Q7" s="4"/>
      <c r="R7" s="4"/>
      <c r="S7" s="4"/>
    </row>
    <row r="8" spans="1:19" ht="15" x14ac:dyDescent="0.25">
      <c r="A8" s="9"/>
      <c r="B8" s="16" t="s">
        <v>18</v>
      </c>
      <c r="C8" s="17" t="str">
        <f>'[1]SEDC PORT VESSELS'!D9</f>
        <v>LADY OF COURAGE</v>
      </c>
      <c r="D8" s="18">
        <f>'[1]SEDC PORT VESSELS'!E9</f>
        <v>7</v>
      </c>
      <c r="E8" s="18">
        <f>'[1]SEDC PORT VESSELS'!F9</f>
        <v>25000</v>
      </c>
      <c r="F8" s="18">
        <f>SUMIFS('[1]INPUT DATA'!N:N,'[1]INPUT DATA'!D:D,C8,'[1]INPUT DATA'!E:E,D8)</f>
        <v>19500</v>
      </c>
      <c r="G8" s="18">
        <f>SUMIFS('[1]INPUT DATA'!AA:AA,'[1]INPUT DATA'!D:D,C8,'[1]INPUT DATA'!E:E,D8)</f>
        <v>18500</v>
      </c>
      <c r="H8" s="18">
        <f t="shared" ref="H8:H16" si="4">E8-G8</f>
        <v>6500</v>
      </c>
      <c r="I8" s="20">
        <f t="shared" si="1"/>
        <v>0.74</v>
      </c>
      <c r="J8" s="18">
        <f>F8-G8</f>
        <v>1000</v>
      </c>
      <c r="K8" s="21">
        <f t="array" ref="K8">LOOKUP(2,1/('[1]STATEMENT OF FACTS'!O:O&lt;&gt;""),'[1]STATEMENT OF FACTS'!O:O)</f>
        <v>0.68819444444444444</v>
      </c>
      <c r="L8" s="28" t="str">
        <f t="array" ref="L8">LOOKUP(2,1/('[1]STATEMENT OF FACTS'!P:P&lt;&gt;""),'[1]STATEMENT OF FACTS'!P:P)</f>
        <v xml:space="preserve">WAITING GEO </v>
      </c>
      <c r="M8" s="28"/>
      <c r="N8" s="23">
        <f>'[1]SEDC PORT VESSELS'!G9</f>
        <v>0</v>
      </c>
      <c r="O8" s="24">
        <f t="shared" ca="1" si="3"/>
        <v>46270.165889467593</v>
      </c>
      <c r="P8" s="4"/>
      <c r="Q8" s="4"/>
      <c r="R8" s="4"/>
      <c r="S8" s="4"/>
    </row>
    <row r="9" spans="1:19" ht="15" x14ac:dyDescent="0.25">
      <c r="A9" s="9"/>
      <c r="B9" s="25" t="s">
        <v>19</v>
      </c>
      <c r="C9" s="26" t="str">
        <f>'[1]SEDC PORT VESSELS'!D10</f>
        <v>VACANT</v>
      </c>
      <c r="D9" s="27">
        <f>'[1]SEDC PORT VESSELS'!E10</f>
        <v>0</v>
      </c>
      <c r="E9" s="19">
        <f>'[1]SEDC PORT VESSELS'!F10</f>
        <v>0</v>
      </c>
      <c r="F9" s="19">
        <f>SUMIFS('[1]INPUT DATA'!N:N,'[1]INPUT DATA'!D:D,C9,'[1]INPUT DATA'!E:E,D9)</f>
        <v>0</v>
      </c>
      <c r="G9" s="27">
        <f>SUMIFS('[1]INPUT DATA'!AA:AA,'[1]INPUT DATA'!D:D,C9,'[1]INPUT DATA'!E:E,D9)</f>
        <v>0</v>
      </c>
      <c r="H9" s="27">
        <f t="shared" si="4"/>
        <v>0</v>
      </c>
      <c r="I9" s="29" t="str">
        <f t="shared" si="1"/>
        <v/>
      </c>
      <c r="J9" s="27">
        <f t="shared" ref="J9:J16" si="5">F9-G9</f>
        <v>0</v>
      </c>
      <c r="K9" s="30" t="str">
        <f t="array" ref="K9">LOOKUP(2,1/('[1]STATEMENT OF FACTS'!R:R&lt;&gt;""),'[1]STATEMENT OF FACTS'!R:R)</f>
        <v xml:space="preserve">  </v>
      </c>
      <c r="L9" s="31" t="str">
        <f t="array" ref="L9">LOOKUP(2,1/('[1]STATEMENT OF FACTS'!S:S&lt;&gt;""),'[1]STATEMENT OF FACTS'!S:S)</f>
        <v xml:space="preserve">  </v>
      </c>
      <c r="M9" s="31"/>
      <c r="N9" s="23">
        <f>'[1]SEDC PORT VESSELS'!G10</f>
        <v>0</v>
      </c>
      <c r="O9" s="24">
        <f t="shared" ca="1" si="3"/>
        <v>0</v>
      </c>
      <c r="P9" s="4"/>
      <c r="Q9" s="4"/>
      <c r="R9" s="4"/>
      <c r="S9" s="4"/>
    </row>
    <row r="10" spans="1:19" ht="15" x14ac:dyDescent="0.25">
      <c r="A10" s="9"/>
      <c r="B10" s="16" t="s">
        <v>20</v>
      </c>
      <c r="C10" s="17" t="str">
        <f>'[1]SEDC PORT VESSELS'!D11</f>
        <v>VACANT</v>
      </c>
      <c r="D10" s="18" t="str">
        <f>'[1]SEDC PORT VESSELS'!E11</f>
        <v xml:space="preserve"> </v>
      </c>
      <c r="E10" s="18">
        <f>'[1]SEDC PORT VESSELS'!F11</f>
        <v>0</v>
      </c>
      <c r="F10" s="18">
        <f>SUMIFS('[1]INPUT DATA'!N:N,'[1]INPUT DATA'!D:D,C10,'[1]INPUT DATA'!E:E,D10)</f>
        <v>0</v>
      </c>
      <c r="G10" s="18">
        <f>SUMIFS('[1]INPUT DATA'!AA:AA,'[1]INPUT DATA'!D:D,C10,'[1]INPUT DATA'!E:E,D10)</f>
        <v>0</v>
      </c>
      <c r="H10" s="18">
        <f t="shared" si="4"/>
        <v>0</v>
      </c>
      <c r="I10" s="20" t="str">
        <f t="shared" si="1"/>
        <v/>
      </c>
      <c r="J10" s="18">
        <f t="shared" si="5"/>
        <v>0</v>
      </c>
      <c r="K10" s="21" t="str">
        <f t="array" ref="K10">LOOKUP(2,1/('[1]STATEMENT OF FACTS'!U:U&lt;&gt;""),'[1]STATEMENT OF FACTS'!U:U)</f>
        <v xml:space="preserve">  </v>
      </c>
      <c r="L10" s="28" t="str">
        <f t="array" ref="L10">LOOKUP(2,1/('[1]STATEMENT OF FACTS'!V:V&lt;&gt;""),'[1]STATEMENT OF FACTS'!V:V)</f>
        <v xml:space="preserve">  </v>
      </c>
      <c r="M10" s="28"/>
      <c r="N10" s="23" t="str">
        <f>'[1]SEDC PORT VESSELS'!G11</f>
        <v xml:space="preserve"> </v>
      </c>
      <c r="O10" s="24">
        <f t="shared" ca="1" si="3"/>
        <v>0</v>
      </c>
      <c r="P10" s="4"/>
      <c r="Q10" s="4"/>
      <c r="R10" s="4"/>
      <c r="S10" s="4"/>
    </row>
    <row r="11" spans="1:19" ht="15" x14ac:dyDescent="0.25">
      <c r="A11" s="9"/>
      <c r="B11" s="25" t="s">
        <v>21</v>
      </c>
      <c r="C11" s="26" t="str">
        <f>'[1]SEDC PORT VESSELS'!D12</f>
        <v>LADY ARMOR</v>
      </c>
      <c r="D11" s="27">
        <f>'[1]SEDC PORT VESSELS'!E12</f>
        <v>5</v>
      </c>
      <c r="E11" s="19">
        <f>'[1]SEDC PORT VESSELS'!F12</f>
        <v>17000</v>
      </c>
      <c r="F11" s="19">
        <f>SUMIFS('[1]INPUT DATA'!N:N,'[1]INPUT DATA'!D:D,C11,'[1]INPUT DATA'!E:E,D11)</f>
        <v>8000</v>
      </c>
      <c r="G11" s="19">
        <f>SUMIFS('[1]INPUT DATA'!AA:AA,'[1]INPUT DATA'!D:D,C11,'[1]INPUT DATA'!E:E,D11)</f>
        <v>6000</v>
      </c>
      <c r="H11" s="27">
        <f t="shared" si="4"/>
        <v>11000</v>
      </c>
      <c r="I11" s="29">
        <f t="shared" si="1"/>
        <v>0.35294117647058826</v>
      </c>
      <c r="J11" s="27">
        <f t="shared" si="5"/>
        <v>2000</v>
      </c>
      <c r="K11" s="30">
        <f t="array" ref="K11">LOOKUP(2,1/('[1]STATEMENT OF FACTS'!X:X&lt;&gt;""),'[1]STATEMENT OF FACTS'!X:X)</f>
        <v>0.625</v>
      </c>
      <c r="L11" s="31" t="str">
        <f t="array" ref="L11">LOOKUP(2,1/('[1]STATEMENT OF FACTS'!Y:Y&lt;&gt;""),'[1]STATEMENT OF FACTS'!Y:Y)</f>
        <v>WAITING AVAILABLE SHORECRANE</v>
      </c>
      <c r="M11" s="31"/>
      <c r="N11" s="23">
        <f>'[1]SEDC PORT VESSELS'!G12</f>
        <v>0</v>
      </c>
      <c r="O11" s="24">
        <f t="shared" ca="1" si="3"/>
        <v>46270.22908391204</v>
      </c>
      <c r="P11" s="4"/>
      <c r="Q11" s="4"/>
      <c r="R11" s="4"/>
      <c r="S11" s="4"/>
    </row>
    <row r="12" spans="1:19" ht="15" x14ac:dyDescent="0.25">
      <c r="A12" s="9"/>
      <c r="B12" s="16" t="s">
        <v>22</v>
      </c>
      <c r="C12" s="17" t="str">
        <f>'[1]SEDC PORT VESSELS'!D13</f>
        <v>LADY OF WISDOM</v>
      </c>
      <c r="D12" s="18">
        <f>'[1]SEDC PORT VESSELS'!E13</f>
        <v>6</v>
      </c>
      <c r="E12" s="18">
        <f>'[1]SEDC PORT VESSELS'!F13</f>
        <v>30000</v>
      </c>
      <c r="F12" s="18">
        <f>SUMIFS('[1]INPUT DATA'!N:N,'[1]INPUT DATA'!D:D,C12,'[1]INPUT DATA'!E:E,D12)</f>
        <v>6000</v>
      </c>
      <c r="G12" s="18">
        <f>SUMIFS('[1]INPUT DATA'!AA:AA,'[1]INPUT DATA'!D:D,C12,'[1]INPUT DATA'!E:E,D12)</f>
        <v>4000</v>
      </c>
      <c r="H12" s="18">
        <f t="shared" si="4"/>
        <v>26000</v>
      </c>
      <c r="I12" s="20">
        <f>IF(E12=0,"",G12/E12)</f>
        <v>0.13333333333333333</v>
      </c>
      <c r="J12" s="18">
        <f t="shared" si="5"/>
        <v>2000</v>
      </c>
      <c r="K12" s="21">
        <f t="array" ref="K12">LOOKUP(2,1/('[1]STATEMENT OF FACTS'!AA:AA&lt;&gt;""),'[1]STATEMENT OF FACTS'!AA:AA)</f>
        <v>0.71875</v>
      </c>
      <c r="L12" s="28" t="str">
        <f t="array" ref="L12">LOOKUP(2,1/('[1]STATEMENT OF FACTS'!AB:AB&lt;&gt;""),'[1]STATEMENT OF FACTS'!AB:AB)</f>
        <v>LOADING SLING B5</v>
      </c>
      <c r="M12" s="28"/>
      <c r="N12" s="23" t="str">
        <f>'[1]SEDC PORT VESSELS'!G13</f>
        <v>SANNY 2</v>
      </c>
      <c r="O12" s="24">
        <f t="shared" ca="1" si="3"/>
        <v>46270.13533391204</v>
      </c>
      <c r="P12" s="4"/>
      <c r="Q12" s="4"/>
      <c r="R12" s="4"/>
      <c r="S12" s="4"/>
    </row>
    <row r="13" spans="1:19" ht="15" x14ac:dyDescent="0.25">
      <c r="A13" s="9"/>
      <c r="B13" s="25" t="s">
        <v>23</v>
      </c>
      <c r="C13" s="26" t="str">
        <f>'[1]SEDC PORT VESSELS'!D14</f>
        <v>NIEVES</v>
      </c>
      <c r="D13" s="27">
        <f>'[1]SEDC PORT VESSELS'!E14</f>
        <v>2</v>
      </c>
      <c r="E13" s="19">
        <f>'[1]SEDC PORT VESSELS'!F14</f>
        <v>28000</v>
      </c>
      <c r="F13" s="19">
        <f>SUMIFS('[1]INPUT DATA'!N:N,'[1]INPUT DATA'!D:D,C13,'[1]INPUT DATA'!E:E,D13)</f>
        <v>24000</v>
      </c>
      <c r="G13" s="19">
        <f>SUMIFS('[1]INPUT DATA'!AA:AA,'[1]INPUT DATA'!D:D,C13,'[1]INPUT DATA'!E:E,D13)</f>
        <v>24000</v>
      </c>
      <c r="H13" s="27">
        <f t="shared" si="4"/>
        <v>4000</v>
      </c>
      <c r="I13" s="29">
        <f t="shared" ref="I13:I22" si="6">IF(E13=0,"",G13/E13)</f>
        <v>0.8571428571428571</v>
      </c>
      <c r="J13" s="27">
        <f t="shared" si="5"/>
        <v>0</v>
      </c>
      <c r="K13" s="30">
        <f t="array" ref="K13">LOOKUP(2,1/('[1]STATEMENT OF FACTS'!AD:AD&lt;&gt;""),'[1]STATEMENT OF FACTS'!AD:AD)</f>
        <v>0.67777777777777781</v>
      </c>
      <c r="L13" s="31" t="str">
        <f t="array" ref="L13">LOOKUP(2,1/('[1]STATEMENT OF FACTS'!AE:AE&lt;&gt;""),'[1]STATEMENT OF FACTS'!AE:AE)</f>
        <v>WAITING MATERIAL</v>
      </c>
      <c r="M13" s="31"/>
      <c r="N13" s="23">
        <f>'[1]SEDC PORT VESSELS'!G14</f>
        <v>0</v>
      </c>
      <c r="O13" s="24">
        <f t="shared" ca="1" si="3"/>
        <v>46270.176306134264</v>
      </c>
      <c r="P13" s="4"/>
      <c r="Q13" s="4"/>
      <c r="R13" s="4"/>
      <c r="S13" s="4"/>
    </row>
    <row r="14" spans="1:19" ht="15" x14ac:dyDescent="0.25">
      <c r="A14" s="9"/>
      <c r="B14" s="16" t="s">
        <v>24</v>
      </c>
      <c r="C14" s="17" t="str">
        <f>'[1]SEDC PORT VESSELS'!D15</f>
        <v>VACANT</v>
      </c>
      <c r="D14" s="18">
        <f>'[1]SEDC PORT VESSELS'!E15</f>
        <v>0</v>
      </c>
      <c r="E14" s="18">
        <f>'[1]SEDC PORT VESSELS'!F15</f>
        <v>0</v>
      </c>
      <c r="F14" s="18">
        <f>SUMIFS('[1]INPUT DATA'!N:N,'[1]INPUT DATA'!D:D,C14,'[1]INPUT DATA'!E:E,D14)</f>
        <v>0</v>
      </c>
      <c r="G14" s="18">
        <f>SUMIFS('[1]INPUT DATA'!AA:AA,'[1]INPUT DATA'!D:D,C14,'[1]INPUT DATA'!E:E,D14)</f>
        <v>0</v>
      </c>
      <c r="H14" s="18">
        <f>E14-G14</f>
        <v>0</v>
      </c>
      <c r="I14" s="20" t="str">
        <f t="shared" si="6"/>
        <v/>
      </c>
      <c r="J14" s="18">
        <f>F14-G14</f>
        <v>0</v>
      </c>
      <c r="K14" s="21" t="str">
        <f t="array" ref="K14">LOOKUP(2,1/('[1]STATEMENT OF FACTS'!AG:AG&lt;&gt;""),'[1]STATEMENT OF FACTS'!AG:AG)</f>
        <v xml:space="preserve"> </v>
      </c>
      <c r="L14" s="28" t="str">
        <f t="array" ref="L14">LOOKUP(2,1/('[1]STATEMENT OF FACTS'!AH:AH&lt;&gt;""),'[1]STATEMENT OF FACTS'!AH:AH)</f>
        <v xml:space="preserve">  </v>
      </c>
      <c r="M14" s="28"/>
      <c r="N14" s="23">
        <f>'[1]SEDC PORT VESSELS'!G15</f>
        <v>0</v>
      </c>
      <c r="O14" s="24">
        <f ca="1">IFERROR(NOW()-K14,0)</f>
        <v>0</v>
      </c>
      <c r="P14" s="4"/>
      <c r="Q14" s="4"/>
      <c r="R14" s="4"/>
      <c r="S14" s="4"/>
    </row>
    <row r="15" spans="1:19" x14ac:dyDescent="0.2">
      <c r="A15" s="9"/>
      <c r="B15" s="32"/>
      <c r="C15" s="33" t="s">
        <v>25</v>
      </c>
      <c r="D15" s="34"/>
      <c r="E15" s="35">
        <f>SUM(E4:E14)</f>
        <v>295000</v>
      </c>
      <c r="F15" s="36">
        <f>SUM(F4:F14)</f>
        <v>139000</v>
      </c>
      <c r="G15" s="36">
        <f>SUM(G4:G14)</f>
        <v>105000</v>
      </c>
      <c r="H15" s="36">
        <f>SUM(H4:H14)</f>
        <v>190000</v>
      </c>
      <c r="I15" s="37">
        <f>AVERAGE(I4:I14)</f>
        <v>0.41040128872061649</v>
      </c>
      <c r="J15" s="36">
        <f>SUM(J4:J14)</f>
        <v>34000</v>
      </c>
      <c r="K15" s="38"/>
      <c r="L15" s="39"/>
      <c r="M15" s="40"/>
      <c r="N15" s="40"/>
      <c r="O15" s="41"/>
      <c r="P15" s="4"/>
      <c r="Q15" s="4"/>
      <c r="R15" s="4"/>
      <c r="S15" s="4"/>
    </row>
    <row r="16" spans="1:19" x14ac:dyDescent="0.2">
      <c r="A16" s="42"/>
      <c r="B16" s="32"/>
      <c r="C16" s="43"/>
      <c r="D16" s="44"/>
      <c r="E16" s="45"/>
      <c r="F16" s="46"/>
      <c r="G16" s="46"/>
      <c r="H16" s="46"/>
      <c r="I16" s="47"/>
      <c r="J16" s="46"/>
      <c r="K16" s="48"/>
      <c r="L16" s="39"/>
      <c r="M16" s="40"/>
      <c r="N16" s="49"/>
      <c r="O16" s="50"/>
      <c r="P16" s="4"/>
      <c r="Q16" s="4"/>
      <c r="R16" s="4"/>
      <c r="S16" s="4"/>
    </row>
    <row r="17" spans="1:19" ht="15" customHeight="1" x14ac:dyDescent="0.2">
      <c r="A17" s="4"/>
      <c r="B17" s="51" t="s">
        <v>26</v>
      </c>
      <c r="C17" s="52" t="s">
        <v>2</v>
      </c>
      <c r="D17" s="52"/>
      <c r="E17" s="53" t="s">
        <v>27</v>
      </c>
      <c r="F17" s="54" t="s">
        <v>28</v>
      </c>
      <c r="G17" s="54"/>
      <c r="H17" s="53" t="s">
        <v>7</v>
      </c>
      <c r="I17" s="55" t="s">
        <v>8</v>
      </c>
      <c r="J17" s="56"/>
      <c r="K17" s="56" t="s">
        <v>10</v>
      </c>
      <c r="L17" s="14" t="s">
        <v>11</v>
      </c>
      <c r="M17" s="14"/>
      <c r="N17" s="56" t="s">
        <v>12</v>
      </c>
      <c r="O17" s="57" t="s">
        <v>13</v>
      </c>
      <c r="P17" s="4"/>
      <c r="Q17" s="4"/>
      <c r="R17" s="4"/>
      <c r="S17" s="4"/>
    </row>
    <row r="18" spans="1:19" ht="15" x14ac:dyDescent="0.25">
      <c r="A18" s="4"/>
      <c r="B18" s="58" t="s">
        <v>29</v>
      </c>
      <c r="C18" s="59" t="str">
        <f>'[1]SEDC PORT VESSELS'!B22</f>
        <v>VESSEL 1</v>
      </c>
      <c r="D18" s="59"/>
      <c r="E18" s="60" t="str">
        <f>'[1]SEDC PORT VESSELS'!D22</f>
        <v>COAL</v>
      </c>
      <c r="F18" s="61">
        <f>'[1]SEDC PORT VESSELS'!E22</f>
        <v>0.5</v>
      </c>
      <c r="G18" s="61"/>
      <c r="H18" s="47">
        <f>'[1]SEDC PORT VESSELS'!G22</f>
        <v>0.5</v>
      </c>
      <c r="I18" s="62">
        <f>F18</f>
        <v>0.5</v>
      </c>
      <c r="J18" s="46"/>
      <c r="K18" s="63">
        <f>'[1]SEDC PORT VESSELS'!H22</f>
        <v>4.1666666666666664E-2</v>
      </c>
      <c r="L18" s="64" t="str">
        <f>'[1]SEDC PORT VESSELS'!I22</f>
        <v>STOP DISCHARGE</v>
      </c>
      <c r="M18" s="64"/>
      <c r="N18" s="65" t="str">
        <f>'[1]SEDC PORT VESSELS'!K22</f>
        <v>SDLG</v>
      </c>
      <c r="O18" s="24">
        <f ca="1">IFERROR(NOW()-K18,0)</f>
        <v>46270.812417245375</v>
      </c>
      <c r="P18" s="4"/>
      <c r="Q18" s="4"/>
      <c r="R18" s="4"/>
      <c r="S18" s="4"/>
    </row>
    <row r="19" spans="1:19" ht="15" x14ac:dyDescent="0.25">
      <c r="A19" s="4"/>
      <c r="B19" s="66" t="s">
        <v>30</v>
      </c>
      <c r="C19" s="67" t="str">
        <f>'[1]SEDC PORT VESSELS'!B23</f>
        <v>VESSEL 2</v>
      </c>
      <c r="D19" s="67"/>
      <c r="E19" s="68" t="str">
        <f>'[1]SEDC PORT VESSELS'!D23</f>
        <v>COAL</v>
      </c>
      <c r="F19" s="69">
        <f>'[1]SEDC PORT VESSELS'!E23</f>
        <v>0.5</v>
      </c>
      <c r="G19" s="69"/>
      <c r="H19" s="70">
        <f>'[1]SEDC PORT VESSELS'!G23</f>
        <v>0.5</v>
      </c>
      <c r="I19" s="29">
        <f>F19</f>
        <v>0.5</v>
      </c>
      <c r="J19" s="71"/>
      <c r="K19" s="72">
        <f>'[1]SEDC PORT VESSELS'!H23</f>
        <v>4.1666666666666664E-2</v>
      </c>
      <c r="L19" s="73" t="str">
        <f>'[1]SEDC PORT VESSELS'!I23</f>
        <v>STOP DISCHARGE</v>
      </c>
      <c r="M19" s="73"/>
      <c r="N19" s="74" t="str">
        <f>'[1]SEDC PORT VESSELS'!K23</f>
        <v>SDLG</v>
      </c>
      <c r="O19" s="24">
        <f t="shared" ref="O19:O20" ca="1" si="7">IFERROR(NOW()-K19,0)</f>
        <v>46270.812417245375</v>
      </c>
      <c r="P19" s="4"/>
      <c r="Q19" s="4"/>
      <c r="R19" s="4"/>
      <c r="S19" s="4"/>
    </row>
    <row r="20" spans="1:19" ht="15" x14ac:dyDescent="0.25">
      <c r="A20" s="75"/>
      <c r="B20" s="58" t="s">
        <v>31</v>
      </c>
      <c r="C20" s="59" t="str">
        <f>'[1]SEDC PORT VESSELS'!B24</f>
        <v>VESSEL 3</v>
      </c>
      <c r="D20" s="59"/>
      <c r="E20" s="60" t="str">
        <f>'[1]SEDC PORT VESSELS'!D24</f>
        <v>COAL</v>
      </c>
      <c r="F20" s="61">
        <f>'[1]SEDC PORT VESSELS'!E24</f>
        <v>0.05</v>
      </c>
      <c r="G20" s="61"/>
      <c r="H20" s="47">
        <f>'[1]SEDC PORT VESSELS'!G24</f>
        <v>0.95</v>
      </c>
      <c r="I20" s="62">
        <f>F20</f>
        <v>0.05</v>
      </c>
      <c r="J20" s="46"/>
      <c r="K20" s="63">
        <f>'[1]SEDC PORT VESSELS'!H24</f>
        <v>4.1666666666666664E-2</v>
      </c>
      <c r="L20" s="76" t="str">
        <f>'[1]SEDC PORT VESSELS'!I24</f>
        <v xml:space="preserve">STOP DISCHARGE </v>
      </c>
      <c r="M20" s="76"/>
      <c r="N20" s="65" t="str">
        <f>'[1]SEDC PORT VESSELS'!K24</f>
        <v>SDLG</v>
      </c>
      <c r="O20" s="24">
        <f t="shared" ca="1" si="7"/>
        <v>46270.812417245375</v>
      </c>
      <c r="P20" s="4"/>
      <c r="Q20" s="4"/>
      <c r="R20" s="4"/>
      <c r="S20" s="4"/>
    </row>
    <row r="21" spans="1:19" ht="15" x14ac:dyDescent="0.25">
      <c r="A21" s="77"/>
      <c r="B21" s="66"/>
      <c r="C21" s="78"/>
      <c r="D21" s="78"/>
      <c r="E21" s="68"/>
      <c r="F21" s="79"/>
      <c r="G21" s="79"/>
      <c r="H21" s="79"/>
      <c r="I21" s="80"/>
      <c r="J21" s="81"/>
      <c r="K21" s="72"/>
      <c r="L21" s="82"/>
      <c r="M21" s="82"/>
      <c r="N21" s="74"/>
      <c r="O21" s="24"/>
      <c r="P21" s="4"/>
      <c r="Q21" s="4"/>
      <c r="R21" s="4"/>
      <c r="S21" s="4"/>
    </row>
    <row r="22" spans="1:19" x14ac:dyDescent="0.2">
      <c r="A22" s="77"/>
      <c r="B22" s="51" t="s">
        <v>32</v>
      </c>
      <c r="C22" s="52" t="s">
        <v>2</v>
      </c>
      <c r="D22" s="52"/>
      <c r="E22" s="53" t="s">
        <v>27</v>
      </c>
      <c r="F22" s="54" t="s">
        <v>28</v>
      </c>
      <c r="G22" s="54"/>
      <c r="H22" s="53" t="s">
        <v>7</v>
      </c>
      <c r="I22" s="55" t="s">
        <v>8</v>
      </c>
      <c r="J22" s="56"/>
      <c r="K22" s="56" t="s">
        <v>10</v>
      </c>
      <c r="L22" s="14" t="s">
        <v>11</v>
      </c>
      <c r="M22" s="14"/>
      <c r="N22" s="56" t="s">
        <v>12</v>
      </c>
      <c r="O22" s="57" t="s">
        <v>13</v>
      </c>
      <c r="P22" s="4"/>
      <c r="Q22" s="4"/>
      <c r="R22" s="4"/>
      <c r="S22" s="4"/>
    </row>
    <row r="23" spans="1:19" ht="15" x14ac:dyDescent="0.25">
      <c r="A23" s="77"/>
      <c r="B23" s="83" t="s">
        <v>24</v>
      </c>
      <c r="C23" s="84" t="str">
        <f>'[1]SEDC PORT VESSELS'!B27</f>
        <v>VESSEL 4</v>
      </c>
      <c r="D23" s="84"/>
      <c r="E23" s="85" t="str">
        <f>'[1]SEDC PORT VESSELS'!D27</f>
        <v>COAL</v>
      </c>
      <c r="F23" s="61">
        <f>'[1]SEDC PORT VESSELS'!E27</f>
        <v>0.05</v>
      </c>
      <c r="G23" s="61"/>
      <c r="H23" s="47">
        <f>'[1]SEDC PORT VESSELS'!G27</f>
        <v>0.95</v>
      </c>
      <c r="I23" s="62">
        <f>F23</f>
        <v>0.05</v>
      </c>
      <c r="J23" s="46"/>
      <c r="K23" s="63">
        <f>'[1]SEDC PORT VESSELS'!H27</f>
        <v>4.1666666666666664E-2</v>
      </c>
      <c r="L23" s="64">
        <f>'[1]SEDC PORT VESSELS'!J27</f>
        <v>0</v>
      </c>
      <c r="M23" s="64"/>
      <c r="N23" s="65" t="str">
        <f>'[1]SEDC PORT VESSELS'!K27</f>
        <v>SDLG</v>
      </c>
      <c r="O23" s="65"/>
      <c r="P23" s="4"/>
      <c r="Q23" s="4"/>
      <c r="R23" s="4"/>
      <c r="S23" s="4"/>
    </row>
    <row r="24" spans="1:19" ht="15.75" customHeight="1" x14ac:dyDescent="0.2">
      <c r="A24" s="77"/>
      <c r="B24" s="86" t="s">
        <v>33</v>
      </c>
      <c r="C24" s="87" t="str">
        <f ca="1">TEXT(EOMONTH(TODAY(),-1),"MMMM")</f>
        <v>August</v>
      </c>
      <c r="D24" s="87" t="str">
        <f ca="1">TEXT(TODAY(),"MMMM")</f>
        <v>September</v>
      </c>
      <c r="E24" s="87" t="s">
        <v>34</v>
      </c>
      <c r="F24" s="88"/>
      <c r="G24" s="89" t="s">
        <v>35</v>
      </c>
      <c r="H24" s="89"/>
      <c r="I24" s="89"/>
      <c r="J24" s="89"/>
      <c r="K24" s="89"/>
      <c r="L24" s="90"/>
      <c r="M24" s="91" t="s">
        <v>36</v>
      </c>
      <c r="N24" s="90"/>
      <c r="O24" s="4"/>
      <c r="P24" s="4"/>
      <c r="Q24" s="4"/>
      <c r="R24" s="4"/>
      <c r="S24" s="4"/>
    </row>
    <row r="25" spans="1:19" ht="15" x14ac:dyDescent="0.25">
      <c r="A25" s="77"/>
      <c r="B25" s="92" t="s">
        <v>37</v>
      </c>
      <c r="C25" s="93">
        <f t="array" aca="1" ref="C25" ca="1">SUMPRODUCT(
('[1]INPUT DATA'!$A$4:$A$6728&gt;=EOMONTH(TODAY(),-2)+1)*
('[1]INPUT DATA'!$A$4:$A$6728&lt;=EOMONTH(TODAY(),-1))*
('[1]INPUT DATA'!$H$4:$H$6728="SAFISCOR")*
('[1]INPUT DATA'!$N$4:$N$6728)
)</f>
        <v>1054675</v>
      </c>
      <c r="D25" s="94">
        <f t="array" aca="1" ref="D25" ca="1">SUMPRODUCT(
('[1]INPUT DATA'!$A$4:$A$6728&gt;=EOMONTH(TODAY(),-1)+1)*
('[1]INPUT DATA'!$A$4:$A$6728&lt;=EOMONTH(TODAY(),0))*
('[1]INPUT DATA'!$H$4:$H$6728="SAFISCOR")*
('[1]INPUT DATA'!$N$4:$N$6728)
)</f>
        <v>179000</v>
      </c>
      <c r="E25" s="94">
        <f ca="1">SUMPRODUCT(
('[1]INPUT DATA'!$A$4:$A$6728=
IF(MOD(NOW(),1)&lt;TIME(8,0,0),TODAY()-1,TODAY()))*
('[1]INPUT DATA'!$H$4:$H$6728="SAFISCOR")*
('[1]INPUT DATA'!$N$4:$N$6728)
)</f>
        <v>25000</v>
      </c>
      <c r="F25" s="88"/>
      <c r="G25" s="95"/>
      <c r="H25" s="96">
        <v>2025</v>
      </c>
      <c r="I25" s="95">
        <v>2026</v>
      </c>
      <c r="J25" s="95"/>
      <c r="K25" s="97">
        <v>2025</v>
      </c>
      <c r="L25" s="98">
        <v>2026</v>
      </c>
      <c r="M25" s="99" t="s">
        <v>38</v>
      </c>
      <c r="N25" s="100">
        <f t="array" aca="1" ref="N25" ca="1">SUMPRODUCT(
('[1]INPUT DATA'!$Y$4:$Y$6728=
IF(MOD(NOW(),1)&lt;TIME(8,0,0),TODAY()-1,TODAY()))*
('[1]INPUT DATA'!$Z$4:$Z$6728=1)*
('[1]INPUT DATA'!$AA$4:$AA$6728)
)</f>
        <v>36500</v>
      </c>
      <c r="O25" s="4"/>
      <c r="P25" s="4"/>
      <c r="Q25" s="4"/>
      <c r="R25" s="4"/>
      <c r="S25" s="4"/>
    </row>
    <row r="26" spans="1:19" x14ac:dyDescent="0.2">
      <c r="A26" s="77"/>
      <c r="B26" s="101" t="s">
        <v>39</v>
      </c>
      <c r="C26" s="102">
        <f t="array" aca="1" ref="C26" ca="1">SUMPRODUCT(
('[1]INPUT DATA'!$A$4:$A$6728&gt;=EOMONTH(TODAY(),-2)+1)*
('[1]INPUT DATA'!$A$4:$A$6728&lt;=EOMONTH(TODAY(),-1))*
('[1]INPUT DATA'!$H$4:$H$6728="lapu-lapu")*
('[1]INPUT DATA'!$N$4:$N$6728)
)</f>
        <v>220240</v>
      </c>
      <c r="D26" s="103">
        <f ca="1">SUMPRODUCT(
('[1]INPUT DATA'!$A$4:$A$6728&gt;=EOMONTH(TODAY(),-1)+1)*
('[1]INPUT DATA'!$A$4:$A$6728&lt;=EOMONTH(TODAY(),0))*
('[1]INPUT DATA'!$H$4:$H$6728="LAPU-LAPU")*
('[1]INPUT DATA'!$N$4:$N$6728)
)</f>
        <v>47000</v>
      </c>
      <c r="E26" s="104">
        <f ca="1">SUMPRODUCT(
('[1]INPUT DATA'!$A$4:$A$6728=
IF(MOD(NOW(),1)&lt;TIME(8,0,0),TODAY()-1,TODAY()))*
('[1]INPUT DATA'!$H$4:$H$6728="LAPU-LAPU")*
('[1]INPUT DATA'!$N$4:$N$6728)
)</f>
        <v>8000</v>
      </c>
      <c r="F26" s="88"/>
      <c r="G26" s="105" t="s">
        <v>40</v>
      </c>
      <c r="H26" s="106">
        <v>1513170</v>
      </c>
      <c r="I26" s="107">
        <f>SUMPRODUCT((MONTH('[1]INPUT DATA'!$A$4:$A$6728)=1)*(YEAR('[1]INPUT DATA'!$A$4:$A$6728)=2026)*('[1]INPUT DATA'!$AA$4:$AA$6728))</f>
        <v>1219792</v>
      </c>
      <c r="J26" s="105" t="s">
        <v>41</v>
      </c>
      <c r="K26" s="108">
        <v>1185200</v>
      </c>
      <c r="L26" s="109">
        <f>SUMPRODUCT((MONTH('[1]INPUT DATA'!$A$4:$A$6728)=7)*(YEAR('[1]INPUT DATA'!$A$4:$A$6728)=2026)*('[1]INPUT DATA'!$AA$4:$AA$6728))</f>
        <v>1137600</v>
      </c>
      <c r="M26" s="99" t="s">
        <v>42</v>
      </c>
      <c r="N26" s="100">
        <f t="array" aca="1" ref="N26" ca="1">SUMPRODUCT(
('[1]INPUT DATA'!$Y$4:$Y$6728=
IF(MOD(NOW(),1)&lt;TIME(8,0,0),TODAY()-1,TODAY()))*
('[1]INPUT DATA'!$Z$4:$Z$6728=2)*
('[1]INPUT DATA'!$AA$4:$AA$6728)
)</f>
        <v>0</v>
      </c>
      <c r="O26" s="4"/>
      <c r="P26" s="4"/>
      <c r="Q26" s="4"/>
      <c r="R26" s="4"/>
      <c r="S26" s="4"/>
    </row>
    <row r="27" spans="1:19" ht="15.75" x14ac:dyDescent="0.25">
      <c r="A27" s="77"/>
      <c r="B27" s="92" t="s">
        <v>43</v>
      </c>
      <c r="C27" s="93">
        <f t="array" aca="1" ref="C27" ca="1">SUMPRODUCT(
('[1]INPUT DATA'!$A$4:$A$6728&gt;=EOMONTH(TODAY(),-2)+1)*
('[1]INPUT DATA'!$A$4:$A$6728&lt;=EOMONTH(TODAY(),-1))*
('[1]INPUT DATA'!$H$4:$H$6728="badie")*
('[1]INPUT DATA'!$N$4:$N$6728)
)</f>
        <v>53080</v>
      </c>
      <c r="D27" s="94">
        <f ca="1">SUMPRODUCT(
('[1]INPUT DATA'!$A$4:$A$6728&gt;=EOMONTH(TODAY(),-1)+1)*
('[1]INPUT DATA'!$A$4:$A$6728&lt;=EOMONTH(TODAY(),0))*
('[1]INPUT DATA'!$H$4:$H$6728="BADIE")*
('[1]INPUT DATA'!$N$4:$N$6728)
)</f>
        <v>9000</v>
      </c>
      <c r="E27" s="94">
        <f ca="1">SUMPRODUCT(
('[1]INPUT DATA'!$A$4:$A$6728=
IF(MOD(NOW(),1)&lt;TIME(8,0,0),TODAY()-1,TODAY()))*
('[1]INPUT DATA'!$H$4:$H$6728="BADIE")*
('[1]INPUT DATA'!$N$4:$N$6728)
)</f>
        <v>2000</v>
      </c>
      <c r="F27" s="88"/>
      <c r="G27" s="110" t="s">
        <v>44</v>
      </c>
      <c r="H27" s="111">
        <v>1422330</v>
      </c>
      <c r="I27" s="112">
        <f>SUMPRODUCT((MONTH('[1]INPUT DATA'!$A$4:$A$6728)=2)*(YEAR('[1]INPUT DATA'!$A$4:$A$6728)=2026)*('[1]INPUT DATA'!$AA$4:$AA$6728))</f>
        <v>1351343</v>
      </c>
      <c r="J27" s="110" t="s">
        <v>45</v>
      </c>
      <c r="K27" s="113">
        <v>1275600</v>
      </c>
      <c r="L27" s="114">
        <f t="array" ref="L27">SUMPRODUCT((MONTH('[1]INPUT DATA'!$A$4:$A$6728)=8)*(YEAR('[1]INPUT DATA'!$A$4:$A$6728)=2026)*('[1]INPUT DATA'!$AA$4:$AA$6728))</f>
        <v>1538975</v>
      </c>
      <c r="M27" s="115" t="s">
        <v>46</v>
      </c>
      <c r="N27" s="116">
        <f ca="1">N25+N26</f>
        <v>36500</v>
      </c>
      <c r="O27" s="4"/>
      <c r="P27" s="4"/>
      <c r="Q27" s="4"/>
      <c r="R27" s="4"/>
      <c r="S27" s="4"/>
    </row>
    <row r="28" spans="1:19" ht="15" x14ac:dyDescent="0.25">
      <c r="A28" s="77"/>
      <c r="B28" s="101" t="s">
        <v>47</v>
      </c>
      <c r="C28" s="102">
        <f t="array" aca="1" ref="C28" ca="1">SUMPRODUCT(
('[1]INPUT DATA'!$A$4:$A$6728&gt;=EOMONTH(TODAY(),-2)+1)*
('[1]INPUT DATA'!$A$4:$A$6728&lt;=EOMONTH(TODAY(),-1))*
('[1]INPUT DATA'!$H$4:$H$6728="GEO")*
('[1]INPUT DATA'!$N$4:$N$6728)
)</f>
        <v>138080</v>
      </c>
      <c r="D28" s="103">
        <f ca="1">SUMPRODUCT(
('[1]INPUT DATA'!$A$4:$A$6728&gt;=EOMONTH(TODAY(),-1)+1)*
('[1]INPUT DATA'!$A$4:$A$6728&lt;=EOMONTH(TODAY(),0))*
('[1]INPUT DATA'!$H$4:$H$6728="GEO")*
('[1]INPUT DATA'!$N$4:$N$6728)
)</f>
        <v>23000</v>
      </c>
      <c r="E28" s="104">
        <f ca="1">SUMPRODUCT(
('[1]INPUT DATA'!$A$4:$A$6728=
IF(MOD(NOW(),1)&lt;TIME(8,0,0),TODAY()-1,TODAY()))*
('[1]INPUT DATA'!$H$4:$H$6728="GEO")*
('[1]INPUT DATA'!$N$4:$N$6728)
)</f>
        <v>5000</v>
      </c>
      <c r="F28" s="88"/>
      <c r="G28" s="105" t="s">
        <v>48</v>
      </c>
      <c r="H28" s="106">
        <v>1529850</v>
      </c>
      <c r="I28" s="107">
        <f t="array" ref="I28">SUMPRODUCT((MONTH('[1]INPUT DATA'!$A$4:$A$6728)=3)*(YEAR('[1]INPUT DATA'!$A$4:$A$6728)=2026)*('[1]INPUT DATA'!$AA$4:$AA$6728))</f>
        <v>1778988</v>
      </c>
      <c r="J28" s="105" t="s">
        <v>49</v>
      </c>
      <c r="K28" s="108">
        <v>1333325</v>
      </c>
      <c r="L28" s="109">
        <f t="array" ref="L28">SUMPRODUCT((MONTH('[1]INPUT DATA'!$A$4:$A$6728)=9)*(YEAR('[1]INPUT DATA'!$A$4:$A$6728)=2026)*('[1]INPUT DATA'!$AA$4:$AA$6728))</f>
        <v>237000</v>
      </c>
      <c r="M28" s="117" t="s">
        <v>50</v>
      </c>
      <c r="N28" s="118"/>
      <c r="O28" s="4"/>
      <c r="P28" s="4"/>
      <c r="Q28" s="4"/>
      <c r="R28" s="4"/>
      <c r="S28" s="4"/>
    </row>
    <row r="29" spans="1:19" x14ac:dyDescent="0.2">
      <c r="A29" s="77"/>
      <c r="B29" s="92" t="s">
        <v>51</v>
      </c>
      <c r="C29" s="93">
        <f t="array" aca="1" ref="C29" ca="1">SUMPRODUCT(
('[1]INPUT DATA'!$A$4:$A$6728&gt;=EOMONTH(TODAY(),-2)+1)*
('[1]INPUT DATA'!$A$4:$A$6728&lt;=EOMONTH(TODAY(),-1))*
('[1]INPUT DATA'!$H$4:$H$6728="UCES")*
('[1]INPUT DATA'!$N$4:$N$6728)
)</f>
        <v>0</v>
      </c>
      <c r="D29" s="94">
        <f ca="1">SUMPRODUCT(
('[1]INPUT DATA'!$A$4:$A$6728&gt;=EOMONTH(TODAY(),-1)+1)*
('[1]INPUT DATA'!$A$4:$A$6728&lt;=EOMONTH(TODAY(),0))*
('[1]INPUT DATA'!$H$4:$H$6728="UCES")*
('[1]INPUT DATA'!$N$4:$N$6728)
)</f>
        <v>0</v>
      </c>
      <c r="E29" s="94">
        <f ca="1">SUMPRODUCT(
('[1]INPUT DATA'!$A$4:$A$6728=
IF(MOD(NOW(),1)&lt;TIME(8,0,0),TODAY()-1,TODAY()))*
('[1]INPUT DATA'!$H$4:$H$6728="UCES")*
('[1]INPUT DATA'!$N$4:$N$6728)
)</f>
        <v>0</v>
      </c>
      <c r="F29" s="88"/>
      <c r="G29" s="110" t="s">
        <v>52</v>
      </c>
      <c r="H29" s="111">
        <v>1655225</v>
      </c>
      <c r="I29" s="112">
        <f t="array" ref="I29">SUMPRODUCT((MONTH('[1]INPUT DATA'!$A$4:$A$6728)=4)*(YEAR('[1]INPUT DATA'!$A$4:$A$6728)=2026)*('[1]INPUT DATA'!$AA$4:$AA$6728))</f>
        <v>1326652</v>
      </c>
      <c r="J29" s="110" t="s">
        <v>53</v>
      </c>
      <c r="K29" s="113">
        <v>1568249</v>
      </c>
      <c r="L29" s="114">
        <f t="array" ref="L29">SUMPRODUCT((MONTH('[1]INPUT DATA'!$A$4:$A$6728)=10)*(YEAR('[1]INPUT DATA'!$A$4:$A$6728)=2026)*('[1]INPUT DATA'!$AA$4:$AA$6728))</f>
        <v>0</v>
      </c>
      <c r="M29" s="119" t="s">
        <v>37</v>
      </c>
      <c r="N29" s="120">
        <f t="array" ref="N29">SUMPRODUCT(
(ISNUMBER(MATCH('[1]INPUT DATA'!$D$4:$D$6728&amp;"|"&amp;'[1]INPUT DATA'!$E$4:$E$6728,
$C$4:$C$14&amp;"|"&amp;$D$4:$D$14,0)))*
('[1]INPUT DATA'!$H$4:$H$6728="SAFISCOR")*
('[1]INPUT DATA'!$N$4:$N$6728)
)
-
SUMPRODUCT(
(ISNUMBER(MATCH('[1]INPUT DATA'!$D$4:$D$6728&amp;"|"&amp;'[1]INPUT DATA'!$E$4:$E$6728,
$C$4:$C$13&amp;"|"&amp;$D$4:$D$13,0)))*
('[1]INPUT DATA'!$H$4:$H$6728="SAFISCOR")*
('[1]INPUT DATA'!$AA$4:$AA$6728)
)</f>
        <v>30000</v>
      </c>
      <c r="O29" s="4"/>
      <c r="P29" s="4"/>
      <c r="Q29" s="4"/>
      <c r="R29" s="4"/>
      <c r="S29" s="4"/>
    </row>
    <row r="30" spans="1:19" x14ac:dyDescent="0.2">
      <c r="A30" s="77"/>
      <c r="B30" s="101" t="s">
        <v>54</v>
      </c>
      <c r="C30" s="102">
        <f t="array" aca="1" ref="C30" ca="1">SUMPRODUCT(
('[1]INPUT DATA'!$A$4:$A$6728&gt;=EOMONTH(TODAY(),-2)+1)*
('[1]INPUT DATA'!$A$4:$A$6728&lt;=EOMONTH(TODAY(),-1))*
('[1]INPUT DATA'!$H$4:$H$6728="APLUS")*
('[1]INPUT DATA'!$N$4:$N$6728)
)</f>
        <v>41000</v>
      </c>
      <c r="D30" s="103">
        <f t="array" aca="1" ref="D30" ca="1">SUMPRODUCT(
('[1]INPUT DATA'!$A$4:$A$6728&gt;=EOMONTH(TODAY(),-1)+1)*
('[1]INPUT DATA'!$A$4:$A$6728&lt;=EOMONTH(TODAY(),0))*
('[1]INPUT DATA'!$H$4:$H$6728="APLUS")*
('[1]INPUT DATA'!$N$4:$N$6728)
)</f>
        <v>7000</v>
      </c>
      <c r="E30" s="104">
        <f t="array" aca="1" ref="E30" ca="1">SUMPRODUCT(
('[1]INPUT DATA'!$A$4:$A$6728=
IF(MOD(NOW(),1)&lt;TIME(8,0,0),TODAY()-1,TODAY()))*
('[1]INPUT DATA'!$H$4:$H$6728="APLUS")*
('[1]INPUT DATA'!$N$4:$N$6728)
)</f>
        <v>2000</v>
      </c>
      <c r="F30" s="88"/>
      <c r="G30" s="105" t="s">
        <v>55</v>
      </c>
      <c r="H30" s="106">
        <v>1526425</v>
      </c>
      <c r="I30" s="107">
        <f t="array" ref="I30">SUMPRODUCT((MONTH('[1]INPUT DATA'!$A$4:$A$6728)=5)*(YEAR('[1]INPUT DATA'!$A$4:$A$6728)=2026)*('[1]INPUT DATA'!$AA$4:$AA$6728))</f>
        <v>1836632</v>
      </c>
      <c r="J30" s="105" t="s">
        <v>56</v>
      </c>
      <c r="K30" s="108">
        <v>1014250</v>
      </c>
      <c r="L30" s="109">
        <f t="array" ref="L30">SUMPRODUCT((MONTH('[1]INPUT DATA'!$A$4:$A$6728)=11)*(YEAR('[1]INPUT DATA'!$A$4:$A$6728)=2026)*('[1]INPUT DATA'!$AA$4:$AA$6728))</f>
        <v>0</v>
      </c>
      <c r="M30" s="99" t="s">
        <v>39</v>
      </c>
      <c r="N30" s="121">
        <f>SUMPRODUCT(
(ISNUMBER(MATCH('[1]INPUT DATA'!$D$4:$D$6728&amp;"|"&amp;'[1]INPUT DATA'!$E$4:$E$6728,
$C$4:$C$14&amp;"|"&amp;$D$4:$D$14,0)))*
('[1]INPUT DATA'!$H$4:$H$6728="LAPU-LAPU")*
('[1]INPUT DATA'!$N$4:$N$6728)
)
-
SUMPRODUCT(
(ISNUMBER(MATCH('[1]INPUT DATA'!$D$4:$D$6728&amp;"|"&amp;'[1]INPUT DATA'!$E$4:$E$6728,
$C$4:$C$13&amp;"|"&amp;$D$4:$D$13,0)))*
('[1]INPUT DATA'!$H$4:$H$6728="LAPU-LAPU")*
('[1]INPUT DATA'!$AA$4:$AA$6728)
)</f>
        <v>2000</v>
      </c>
      <c r="O30" s="4"/>
      <c r="P30" s="4"/>
      <c r="Q30" s="4"/>
      <c r="R30" s="4"/>
      <c r="S30" s="4"/>
    </row>
    <row r="31" spans="1:19" x14ac:dyDescent="0.2">
      <c r="A31" s="77"/>
      <c r="B31" s="92" t="s">
        <v>57</v>
      </c>
      <c r="C31" s="93">
        <f t="array" aca="1" ref="C31" ca="1">SUMPRODUCT(
('[1]INPUT DATA'!$A$4:$A$6728&gt;=EOMONTH(TODAY(),-2)+1)*
('[1]INPUT DATA'!$A$4:$A$6728&lt;=EOMONTH(TODAY(),-1))*
('[1]INPUT DATA'!$H$4:$H$6728="FULACHE")*
('[1]INPUT DATA'!$N$4:$N$6728)
)</f>
        <v>38000</v>
      </c>
      <c r="D31" s="94">
        <f t="array" aca="1" ref="D31" ca="1">SUMPRODUCT(
('[1]INPUT DATA'!$A$4:$A$6728&gt;=EOMONTH(TODAY(),-1)+1)*
('[1]INPUT DATA'!$A$4:$A$6728&lt;=EOMONTH(TODAY(),0))*
('[1]INPUT DATA'!$H$4:$H$6728="FULACHE")*
('[1]INPUT DATA'!$N$4:$N$6728)
)</f>
        <v>6000</v>
      </c>
      <c r="E31" s="94">
        <f t="array" aca="1" ref="E31" ca="1">SUMPRODUCT(
('[1]INPUT DATA'!$A$4:$A$6728=
IF(MOD(NOW(),1)&lt;TIME(8,0,0),TODAY()-1,TODAY()))*
('[1]INPUT DATA'!$H$4:$H$6728="FULACHE")*
('[1]INPUT DATA'!$N$4:$N$6728)
)</f>
        <v>1000</v>
      </c>
      <c r="F31" s="88"/>
      <c r="G31" s="122" t="s">
        <v>58</v>
      </c>
      <c r="H31" s="111">
        <v>1399850</v>
      </c>
      <c r="I31" s="123">
        <f t="array" ref="I31">SUMPRODUCT((MONTH('[1]INPUT DATA'!$A$4:$A$6728)=6)*(YEAR('[1]INPUT DATA'!$A$4:$A$6728)=2026)*('[1]INPUT DATA'!$AA$4:$AA$6728))</f>
        <v>1645728</v>
      </c>
      <c r="J31" s="122" t="s">
        <v>59</v>
      </c>
      <c r="K31" s="113">
        <v>1193484</v>
      </c>
      <c r="L31" s="124">
        <f t="array" ref="L31">SUMPRODUCT((MONTH('[1]INPUT DATA'!$A$4:$A$6728)=12)*(YEAR('[1]INPUT DATA'!$A$4:$A$6728)=2026)*('[1]INPUT DATA'!$AA$4:$AA$6728))</f>
        <v>0</v>
      </c>
      <c r="M31" s="99" t="s">
        <v>43</v>
      </c>
      <c r="N31" s="121">
        <f t="array" ref="N31">SUMPRODUCT(
(ISNUMBER(MATCH('[1]INPUT DATA'!$D$4:$D$6728&amp;"|"&amp;'[1]INPUT DATA'!$E$4:$E$6728,
$C$4:$C$14&amp;"|"&amp;$D$4:$D$14,0)))*
('[1]INPUT DATA'!$H$4:$H$6728="BADIE")*
('[1]INPUT DATA'!$N$4:$N$6728)
)
-
SUMPRODUCT(
(ISNUMBER(MATCH('[1]INPUT DATA'!$D$4:$D$6728&amp;"|"&amp;'[1]INPUT DATA'!$E$4:$E$6728,
$C$4:$C$13&amp;"|"&amp;$D$4:$D$13,0)))*
('[1]INPUT DATA'!$H$4:$H$6728="BADIE")*
('[1]INPUT DATA'!$AA$4:$AA$6728)
)</f>
        <v>0</v>
      </c>
      <c r="O31" s="4"/>
      <c r="P31" s="4"/>
      <c r="Q31" s="4"/>
      <c r="R31" s="4"/>
      <c r="S31" s="4"/>
    </row>
    <row r="32" spans="1:19" ht="15" x14ac:dyDescent="0.25">
      <c r="A32" s="4"/>
      <c r="B32" s="125" t="s">
        <v>46</v>
      </c>
      <c r="C32" s="126">
        <f ca="1">SUM(C25:C31)</f>
        <v>1545075</v>
      </c>
      <c r="D32" s="126">
        <f ca="1">SUM(D25:D31)</f>
        <v>271000</v>
      </c>
      <c r="E32" s="126">
        <f ca="1">SUM(E25:E31)</f>
        <v>43000</v>
      </c>
      <c r="F32" s="88"/>
      <c r="G32" s="88"/>
      <c r="H32" s="88"/>
      <c r="I32" s="88"/>
      <c r="J32" s="127" t="s">
        <v>46</v>
      </c>
      <c r="K32" s="128">
        <f>SUM(H26:H31,K26:K31)</f>
        <v>16616958</v>
      </c>
      <c r="L32" s="129">
        <f>SUM(I26:I31,L26:L31)</f>
        <v>12072710</v>
      </c>
      <c r="M32" s="23" t="s">
        <v>47</v>
      </c>
      <c r="N32" s="130">
        <f t="array" ref="N32">SUMPRODUCT(
(ISNUMBER(MATCH('[1]INPUT DATA'!$D$4:$D$6728&amp;"|"&amp;'[1]INPUT DATA'!$E$4:$E$6728,
$C$4:$C$14&amp;"|"&amp;$D$4:$D$14,0)))*
('[1]INPUT DATA'!$H$4:$H$6728="GEO")*
('[1]INPUT DATA'!$N$4:$N$6728)
)
-
SUMPRODUCT(
(ISNUMBER(MATCH('[1]INPUT DATA'!$D$4:$D$6728&amp;"|"&amp;'[1]INPUT DATA'!$E$4:$E$6728,
$C$4:$C$13&amp;"|"&amp;$D$4:$D$13,0)))*
('[1]INPUT DATA'!$H$4:$H$6728="GEO")*
('[1]INPUT DATA'!$AA$4:$AA$6728)
)</f>
        <v>2000</v>
      </c>
      <c r="O32" s="4"/>
      <c r="P32" s="4"/>
      <c r="Q32" s="4"/>
      <c r="R32" s="4"/>
      <c r="S32" s="4"/>
    </row>
    <row r="33" spans="1:19" ht="15" x14ac:dyDescent="0.25">
      <c r="A33" s="4"/>
      <c r="B33" s="4"/>
      <c r="C33" s="131"/>
      <c r="D33" s="132" t="str">
        <f>'[1]SEDC PORT VESSELS'!J7</f>
        <v>Officer on Duty</v>
      </c>
      <c r="E33" s="133"/>
      <c r="F33" s="134" t="str">
        <f>'[1]SEDC PORT VESSELS'!J3</f>
        <v>Equipment Available</v>
      </c>
      <c r="G33" s="134"/>
      <c r="H33" s="134" t="str">
        <f>'[1]SEDC PORT VESSELS'!L3</f>
        <v># of stevedor Per Shift</v>
      </c>
      <c r="I33" s="134"/>
      <c r="J33" s="66"/>
      <c r="K33" s="135"/>
      <c r="L33" s="7"/>
      <c r="M33" s="74" t="s">
        <v>51</v>
      </c>
      <c r="N33" s="121">
        <f>SUMPRODUCT(
(ISNUMBER(MATCH('[1]INPUT DATA'!$D$4:$D$6728&amp;"|"&amp;'[1]INPUT DATA'!$E$4:$E$6728,
$C$4:$C$14&amp;"|"&amp;$D$4:$D$14,0)))*
('[1]INPUT DATA'!$H$4:$H$6728="UCES")*
('[1]INPUT DATA'!$N$4:$N$6728)
)
-
SUMPRODUCT(
(ISNUMBER(MATCH('[1]INPUT DATA'!$D$4:$D$6728&amp;"|"&amp;'[1]INPUT DATA'!$E$4:$E$6728,
$C$4:$C$13&amp;"|"&amp;$D$4:$D$13,0)))*
('[1]INPUT DATA'!$H$4:$H$6728="UCES")*
('[1]INPUT DATA'!$AA$4:$AA$6728)
)</f>
        <v>0</v>
      </c>
      <c r="O33" s="4"/>
      <c r="P33" s="4"/>
      <c r="Q33" s="4"/>
      <c r="R33" s="4"/>
      <c r="S33" s="4"/>
    </row>
    <row r="34" spans="1:19" x14ac:dyDescent="0.2">
      <c r="A34" s="4"/>
      <c r="B34" s="4"/>
      <c r="C34" s="136" t="s">
        <v>60</v>
      </c>
      <c r="D34" s="92" t="str">
        <f>'[1]SEDC PORT VESSELS'!K8</f>
        <v>BERNABE,A</v>
      </c>
      <c r="E34" s="137"/>
      <c r="F34" s="138" t="str">
        <f>'[1]SEDC PORT VESSELS'!J4</f>
        <v>Crane</v>
      </c>
      <c r="G34" s="138" t="str">
        <f>'[1]SEDC PORT VESSELS'!K4</f>
        <v>Forklift</v>
      </c>
      <c r="H34" s="138">
        <f>'[1]SEDC PORT VESSELS'!L4</f>
        <v>43</v>
      </c>
      <c r="I34" s="138"/>
      <c r="J34" s="66"/>
      <c r="K34" s="135"/>
      <c r="L34" s="7"/>
      <c r="M34" s="23" t="s">
        <v>54</v>
      </c>
      <c r="N34" s="130">
        <f t="array" ref="N34">SUMPRODUCT(
(ISNUMBER(MATCH('[1]INPUT DATA'!$D$4:$D$6728&amp;"|"&amp;'[1]INPUT DATA'!$E$4:$E$6728,
$C$4:$C$14&amp;"|"&amp;$D$4:$D$14,0)))*
('[1]INPUT DATA'!$H$4:$H$6728="APLUS")*
('[1]INPUT DATA'!$N$4:$N$6728)
)
-
SUMPRODUCT(
(ISNUMBER(MATCH('[1]INPUT DATA'!$D$4:$D$6728&amp;"|"&amp;'[1]INPUT DATA'!$E$4:$E$6728,
$C$4:$C$13&amp;"|"&amp;$D$4:$D$13,0)))*
('[1]INPUT DATA'!$H$4:$H$6728="APLUS")*
('[1]INPUT DATA'!$AA$4:$AA$6728)
)</f>
        <v>0</v>
      </c>
      <c r="O34" s="4"/>
      <c r="P34" s="4"/>
      <c r="Q34" s="4"/>
      <c r="R34" s="4"/>
      <c r="S34" s="4"/>
    </row>
    <row r="35" spans="1:19" x14ac:dyDescent="0.2">
      <c r="A35" s="4"/>
      <c r="B35" s="4"/>
      <c r="C35" s="136" t="s">
        <v>61</v>
      </c>
      <c r="D35" s="139" t="str">
        <f>'[1]SEDC PORT VESSELS'!K9</f>
        <v>OBIAL,R / DALUSA,E</v>
      </c>
      <c r="E35" s="139"/>
      <c r="F35" s="138">
        <f>'[1]SEDC PORT VESSELS'!J5</f>
        <v>3</v>
      </c>
      <c r="G35" s="138">
        <f>'[1]SEDC PORT VESSELS'!K5</f>
        <v>6</v>
      </c>
      <c r="H35" s="137"/>
      <c r="I35" s="137"/>
      <c r="J35" s="4"/>
      <c r="K35" s="135"/>
      <c r="L35" s="7"/>
      <c r="M35" s="140" t="s">
        <v>57</v>
      </c>
      <c r="N35" s="141">
        <f t="array" ref="N35">SUMPRODUCT(
(ISNUMBER(MATCH('[1]INPUT DATA'!$D$4:$D$6728&amp;"|"&amp;'[1]INPUT DATA'!$E$4:$E$6728,
$C$4:$C$14&amp;"|"&amp;$D$4:$D$14,0)))*
('[1]INPUT DATA'!$H$4:$H$6728="FULACHE")*
('[1]INPUT DATA'!$N$4:$N$6728)
)
-
SUMPRODUCT(
(ISNUMBER(MATCH('[1]INPUT DATA'!$D$4:$D$6728&amp;"|"&amp;'[1]INPUT DATA'!$E$4:$E$6728,
$C$4:$C$13&amp;"|"&amp;$D$4:$D$13,0)))*
('[1]INPUT DATA'!$H$4:$H$6728="FULACHE")*
('[1]INPUT DATA'!$AA$4:$AA$6728)
)</f>
        <v>0</v>
      </c>
      <c r="O35" s="4"/>
      <c r="P35" s="4"/>
      <c r="Q35" s="4"/>
      <c r="R35" s="4"/>
      <c r="S35" s="4"/>
    </row>
    <row r="36" spans="1:19" x14ac:dyDescent="0.2">
      <c r="A36" s="4"/>
      <c r="B36" s="4"/>
      <c r="C36" s="136" t="str">
        <f>'[1]SEDC PORT VESSELS'!J10</f>
        <v>PMC</v>
      </c>
      <c r="D36" s="142" t="str">
        <f>'[1]SEDC PORT VESSELS'!K10</f>
        <v>JOAN / WILLIAM</v>
      </c>
      <c r="E36" s="142"/>
      <c r="F36" s="4"/>
      <c r="G36" s="4"/>
      <c r="H36" s="4"/>
      <c r="I36" s="4"/>
      <c r="J36" s="4"/>
      <c r="K36" s="135"/>
      <c r="L36" s="7"/>
      <c r="M36" s="74" t="s">
        <v>46</v>
      </c>
      <c r="N36" s="143">
        <f>SUM(N29:N35)</f>
        <v>34000</v>
      </c>
      <c r="O36" s="4"/>
      <c r="P36" s="4"/>
      <c r="Q36" s="4"/>
      <c r="R36" s="4"/>
      <c r="S36" s="4"/>
    </row>
    <row r="37" spans="1:19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135"/>
      <c r="L37" s="7"/>
      <c r="M37" s="4"/>
      <c r="N37" s="144">
        <f ca="1">NOW()</f>
        <v>46270.854083680555</v>
      </c>
      <c r="O37" s="4"/>
      <c r="P37" s="4"/>
      <c r="Q37" s="4"/>
      <c r="R37" s="4"/>
      <c r="S37" s="4"/>
    </row>
    <row r="38" spans="1:19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135"/>
      <c r="L38" s="7"/>
      <c r="M38" s="4"/>
      <c r="N38" s="4"/>
      <c r="O38" s="4"/>
      <c r="P38" s="4"/>
      <c r="Q38" s="4"/>
      <c r="R38" s="4"/>
      <c r="S38" s="4"/>
    </row>
    <row r="39" spans="1:19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135"/>
      <c r="L39" s="7"/>
      <c r="M39" s="4"/>
      <c r="N39" s="4"/>
      <c r="O39" s="4"/>
      <c r="P39" s="4"/>
      <c r="Q39" s="4"/>
      <c r="R39" s="4"/>
      <c r="S39" s="4"/>
    </row>
    <row r="40" spans="1:19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135"/>
      <c r="L40" s="7"/>
      <c r="M40" s="4"/>
      <c r="N40" s="4"/>
      <c r="O40" s="4"/>
      <c r="P40" s="4"/>
      <c r="Q40" s="4"/>
      <c r="R40" s="4"/>
      <c r="S40" s="4"/>
    </row>
    <row r="41" spans="1:19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135"/>
      <c r="L41" s="7"/>
      <c r="M41" s="4"/>
      <c r="N41" s="4"/>
      <c r="O41" s="4"/>
      <c r="P41" s="4"/>
      <c r="Q41" s="4"/>
      <c r="R41" s="4"/>
      <c r="S41" s="4"/>
    </row>
    <row r="42" spans="1:19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135"/>
      <c r="L42" s="7"/>
      <c r="M42" s="4"/>
      <c r="N42" s="4"/>
      <c r="O42" s="4"/>
      <c r="P42" s="4"/>
      <c r="Q42" s="4"/>
      <c r="R42" s="4"/>
      <c r="S42" s="4"/>
    </row>
    <row r="43" spans="1:19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135"/>
      <c r="L43" s="7"/>
      <c r="M43" s="4"/>
      <c r="N43" s="4"/>
      <c r="O43" s="4"/>
      <c r="P43" s="4"/>
      <c r="Q43" s="4"/>
      <c r="R43" s="4"/>
      <c r="S43" s="4"/>
    </row>
    <row r="44" spans="1:19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135"/>
      <c r="L44" s="7"/>
      <c r="M44" s="4"/>
      <c r="N44" s="4"/>
      <c r="O44" s="4"/>
      <c r="P44" s="4"/>
      <c r="Q44" s="4"/>
      <c r="R44" s="4"/>
      <c r="S44" s="4"/>
    </row>
    <row r="45" spans="1:19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135"/>
      <c r="L45" s="7"/>
      <c r="M45" s="4"/>
      <c r="N45" s="4"/>
      <c r="O45" s="4"/>
      <c r="P45" s="4"/>
      <c r="Q45" s="4"/>
      <c r="R45" s="4"/>
      <c r="S45" s="4"/>
    </row>
    <row r="46" spans="1:19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135"/>
      <c r="L46" s="7"/>
      <c r="M46" s="4"/>
      <c r="N46" s="4"/>
      <c r="O46" s="4"/>
      <c r="P46" s="4"/>
      <c r="Q46" s="4"/>
      <c r="R46" s="4"/>
      <c r="S46" s="4"/>
    </row>
    <row r="47" spans="1:19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135"/>
      <c r="L47" s="7"/>
      <c r="M47" s="4"/>
      <c r="N47" s="4"/>
      <c r="O47" s="4"/>
      <c r="P47" s="4"/>
      <c r="Q47" s="4"/>
      <c r="R47" s="4"/>
      <c r="S47" s="4"/>
    </row>
    <row r="48" spans="1:19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135"/>
      <c r="L48" s="7"/>
      <c r="M48" s="4"/>
      <c r="N48" s="4"/>
      <c r="O48" s="4"/>
      <c r="P48" s="4"/>
      <c r="Q48" s="4"/>
      <c r="R48" s="4"/>
      <c r="S48" s="4"/>
    </row>
    <row r="49" spans="1:19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135"/>
      <c r="L49" s="7"/>
      <c r="M49" s="4"/>
      <c r="N49" s="4"/>
      <c r="O49" s="4"/>
      <c r="P49" s="4"/>
      <c r="Q49" s="4"/>
      <c r="R49" s="4"/>
      <c r="S49" s="4"/>
    </row>
    <row r="50" spans="1:19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135"/>
      <c r="L50" s="7"/>
      <c r="M50" s="4"/>
      <c r="N50" s="4"/>
      <c r="O50" s="4"/>
      <c r="P50" s="4"/>
      <c r="Q50" s="4"/>
      <c r="R50" s="4"/>
      <c r="S50" s="4"/>
    </row>
    <row r="51" spans="1:19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135"/>
      <c r="L51" s="7"/>
      <c r="M51" s="4"/>
      <c r="N51" s="4"/>
      <c r="O51" s="4"/>
      <c r="P51" s="4"/>
      <c r="Q51" s="4"/>
      <c r="R51" s="4"/>
      <c r="S51" s="4"/>
    </row>
    <row r="52" spans="1:19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135"/>
      <c r="L52" s="7"/>
      <c r="M52" s="4"/>
      <c r="N52" s="4"/>
      <c r="O52" s="4"/>
      <c r="P52" s="4"/>
      <c r="Q52" s="4"/>
      <c r="R52" s="4"/>
      <c r="S52" s="4"/>
    </row>
    <row r="53" spans="1:19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135"/>
      <c r="L53" s="7"/>
      <c r="M53" s="4"/>
      <c r="N53" s="4"/>
      <c r="O53" s="4"/>
      <c r="P53" s="4"/>
      <c r="Q53" s="4"/>
      <c r="R53" s="4"/>
      <c r="S53" s="4"/>
    </row>
  </sheetData>
  <mergeCells count="38">
    <mergeCell ref="D36:E36"/>
    <mergeCell ref="G24:L24"/>
    <mergeCell ref="M24:N24"/>
    <mergeCell ref="M28:N28"/>
    <mergeCell ref="F33:G33"/>
    <mergeCell ref="H33:I33"/>
    <mergeCell ref="D35:E35"/>
    <mergeCell ref="C22:D22"/>
    <mergeCell ref="F22:G22"/>
    <mergeCell ref="L22:M22"/>
    <mergeCell ref="C23:D23"/>
    <mergeCell ref="F23:G23"/>
    <mergeCell ref="L23:M23"/>
    <mergeCell ref="C19:D19"/>
    <mergeCell ref="F19:G19"/>
    <mergeCell ref="L19:M19"/>
    <mergeCell ref="C20:D20"/>
    <mergeCell ref="F20:G20"/>
    <mergeCell ref="L20:M20"/>
    <mergeCell ref="L14:M14"/>
    <mergeCell ref="C17:D17"/>
    <mergeCell ref="F17:G17"/>
    <mergeCell ref="L17:M17"/>
    <mergeCell ref="C18:D18"/>
    <mergeCell ref="F18:G18"/>
    <mergeCell ref="L18:M18"/>
    <mergeCell ref="L8:M8"/>
    <mergeCell ref="L9:M9"/>
    <mergeCell ref="L10:M10"/>
    <mergeCell ref="L11:M11"/>
    <mergeCell ref="L12:M12"/>
    <mergeCell ref="L13:M13"/>
    <mergeCell ref="E2:K2"/>
    <mergeCell ref="L3:M3"/>
    <mergeCell ref="L4:M4"/>
    <mergeCell ref="L5:M5"/>
    <mergeCell ref="L6:M6"/>
    <mergeCell ref="L7:M7"/>
  </mergeCells>
  <conditionalFormatting sqref="I4:I14">
    <cfRule type="dataBar" priority="7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{BBAAAF67-5ADB-45CA-BFE6-BF30F36A17C3}</x14:id>
        </ext>
      </extLst>
    </cfRule>
  </conditionalFormatting>
  <conditionalFormatting sqref="C4:C14">
    <cfRule type="containsText" dxfId="3" priority="6" operator="containsText" text="vacant">
      <formula>NOT(ISERROR(SEARCH("vacant",C4)))</formula>
    </cfRule>
  </conditionalFormatting>
  <conditionalFormatting sqref="L3">
    <cfRule type="containsText" dxfId="2" priority="5" operator="containsText" text="ongoing">
      <formula>NOT(ISERROR(SEARCH("ongoing",L3)))</formula>
    </cfRule>
  </conditionalFormatting>
  <conditionalFormatting sqref="I18:I21">
    <cfRule type="dataBar" priority="4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{E8EB3722-B254-4885-82A0-4F8EDDB40BE1}</x14:id>
        </ext>
      </extLst>
    </cfRule>
  </conditionalFormatting>
  <conditionalFormatting sqref="L17">
    <cfRule type="containsText" dxfId="1" priority="3" operator="containsText" text="ongoing">
      <formula>NOT(ISERROR(SEARCH("ongoing",L17)))</formula>
    </cfRule>
  </conditionalFormatting>
  <conditionalFormatting sqref="L22">
    <cfRule type="containsText" dxfId="0" priority="2" operator="containsText" text="ongoing">
      <formula>NOT(ISERROR(SEARCH("ongoing",L22)))</formula>
    </cfRule>
  </conditionalFormatting>
  <conditionalFormatting sqref="I23">
    <cfRule type="dataBar" priority="1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{AA9835DC-28AB-4983-BB4F-F7287DCD4C39}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AAAF67-5ADB-45CA-BFE6-BF30F36A17C3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0"/>
              <x14:negativeFillColor rgb="FFFF0000"/>
              <x14:axisColor rgb="FF000000"/>
            </x14:dataBar>
          </x14:cfRule>
          <xm:sqref>I4:I14</xm:sqref>
        </x14:conditionalFormatting>
        <x14:conditionalFormatting xmlns:xm="http://schemas.microsoft.com/office/excel/2006/main">
          <x14:cfRule type="dataBar" id="{E8EB3722-B254-4885-82A0-4F8EDDB40BE1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0"/>
              <x14:negativeFillColor rgb="FFFF0000"/>
              <x14:axisColor rgb="FF000000"/>
            </x14:dataBar>
          </x14:cfRule>
          <xm:sqref>I18:I21</xm:sqref>
        </x14:conditionalFormatting>
        <x14:conditionalFormatting xmlns:xm="http://schemas.microsoft.com/office/excel/2006/main">
          <x14:cfRule type="dataBar" id="{AA9835DC-28AB-4983-BB4F-F7287DCD4C39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0"/>
              <x14:negativeFillColor rgb="FFFF0000"/>
              <x14:axisColor rgb="FF000000"/>
            </x14:dataBar>
          </x14:cfRule>
          <xm:sqref>I23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 Operation 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 IU IB IU IM ™</dc:creator>
  <cp:lastModifiedBy>IB IU IB IU IM ™</cp:lastModifiedBy>
  <dcterms:created xsi:type="dcterms:W3CDTF">2026-09-05T12:29:39Z</dcterms:created>
  <dcterms:modified xsi:type="dcterms:W3CDTF">2026-09-05T12:29:54Z</dcterms:modified>
</cp:coreProperties>
</file>